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efrag-my.sharepoint.com/personal/sergio_carosio_efrag_org/Documents/Desktop/Repository Destination/Digital-Template-to-XBRL-Converter-1/digital-templates/"/>
    </mc:Choice>
  </mc:AlternateContent>
  <xr:revisionPtr revIDLastSave="4418" documentId="8_{8F8C91A4-9BAF-480E-93C6-D7EABA290476}" xr6:coauthVersionLast="47" xr6:coauthVersionMax="47" xr10:uidLastSave="{6DD1F9C7-EE06-4459-B116-CE0CFFB91FF6}"/>
  <bookViews>
    <workbookView xWindow="-108" yWindow="-108" windowWidth="23256" windowHeight="13896" tabRatio="672" xr2:uid="{2424E359-BB1A-4C61-AEBD-805991FC6353}"/>
  </bookViews>
  <sheets>
    <sheet name="Introduction" sheetId="4" r:id="rId1"/>
    <sheet name="Table of Contents &amp; Validation" sheetId="16" r:id="rId2"/>
    <sheet name="General Information" sheetId="3" r:id="rId3"/>
    <sheet name="Environmental Disclosures" sheetId="1" r:id="rId4"/>
    <sheet name="Social Disclosures" sheetId="12" r:id="rId5"/>
    <sheet name="Governance Disclosures" sheetId="7" r:id="rId6"/>
    <sheet name="Fuel Converter" sheetId="8" r:id="rId7"/>
    <sheet name="Fuel Conversion Parameters" sheetId="15" r:id="rId8"/>
    <sheet name="Unit Of Measurement Converter" sheetId="9" r:id="rId9"/>
    <sheet name="Licence" sheetId="14" r:id="rId10"/>
    <sheet name="Enumeration Lists" sheetId="6" r:id="rId11"/>
    <sheet name="Translations" sheetId="17" r:id="rId12"/>
    <sheet name="Technical Sheet" sheetId="11" r:id="rId13"/>
  </sheets>
  <definedNames>
    <definedName name="_xlnm._FilterDatabase" localSheetId="11" hidden="1">Translations!$A$1:$B$490</definedName>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Translations!$D$3:$K$3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7" l="1"/>
  <c r="E3" i="17"/>
  <c r="C3" i="17" l="1"/>
  <c r="F3" i="17"/>
  <c r="M325" i="1" l="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324" i="1"/>
  <c r="M323" i="1"/>
  <c r="I30" i="12" l="1"/>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29"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87"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I506" i="3"/>
  <c r="I507" i="3"/>
  <c r="I508" i="3"/>
  <c r="I509" i="3"/>
  <c r="I510" i="3"/>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H504" i="3"/>
  <c r="I504" i="3" s="1"/>
  <c r="H505" i="3"/>
  <c r="I505" i="3" s="1"/>
  <c r="H506" i="3"/>
  <c r="H507" i="3"/>
  <c r="H508" i="3"/>
  <c r="H509" i="3"/>
  <c r="H510" i="3"/>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F422"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3" i="3"/>
  <c r="F424" i="3"/>
  <c r="F425" i="3"/>
  <c r="F426" i="3"/>
  <c r="F427" i="3"/>
  <c r="F428" i="3"/>
  <c r="F429" i="3"/>
  <c r="F430" i="3"/>
  <c r="F431" i="3"/>
  <c r="F432" i="3"/>
  <c r="F433" i="3"/>
  <c r="F434" i="3"/>
  <c r="F435" i="3"/>
  <c r="F131" i="3" l="1"/>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227" i="3"/>
  <c r="F226" i="3"/>
  <c r="F326" i="3"/>
  <c r="L80" i="1" l="1"/>
  <c r="B3" i="4" l="1" a="1"/>
  <c r="B3" i="4" s="1"/>
  <c r="H33" i="7"/>
  <c r="D11" i="8"/>
  <c r="D12" i="8"/>
  <c r="D13" i="8"/>
  <c r="D14" i="8"/>
  <c r="D15" i="8"/>
  <c r="D16" i="8"/>
  <c r="D17" i="8"/>
  <c r="D18" i="8"/>
  <c r="F19" i="3"/>
  <c r="I38" i="7"/>
  <c r="I32" i="7"/>
  <c r="I31" i="7"/>
  <c r="I12" i="7"/>
  <c r="I7" i="7"/>
  <c r="I6" i="7"/>
  <c r="I200" i="12"/>
  <c r="I194" i="12"/>
  <c r="I192" i="12"/>
  <c r="I191" i="12"/>
  <c r="I186" i="12" a="1"/>
  <c r="I186" i="12" s="1"/>
  <c r="I180" i="12"/>
  <c r="I174" i="12"/>
  <c r="I169" i="12"/>
  <c r="I168" i="12"/>
  <c r="I166" i="12"/>
  <c r="I165" i="12"/>
  <c r="I149" i="12"/>
  <c r="I148" i="12"/>
  <c r="I136" i="12"/>
  <c r="I135" i="12"/>
  <c r="I134" i="12"/>
  <c r="M548" i="1"/>
  <c r="L544" i="1"/>
  <c r="L543" i="1"/>
  <c r="L542" i="1"/>
  <c r="L541" i="1"/>
  <c r="L540" i="1"/>
  <c r="K438" i="1"/>
  <c r="K439" i="1"/>
  <c r="K440" i="1"/>
  <c r="K441" i="1"/>
  <c r="K442" i="1"/>
  <c r="K443" i="1"/>
  <c r="K444" i="1"/>
  <c r="K445" i="1"/>
  <c r="K446" i="1"/>
  <c r="K447" i="1"/>
  <c r="K437" i="1"/>
  <c r="K436" i="1"/>
  <c r="K435" i="1"/>
  <c r="M423" i="1" a="1"/>
  <c r="M423" i="1" s="1"/>
  <c r="H317" i="1" l="1"/>
  <c r="E310" i="1"/>
  <c r="G293" i="1"/>
  <c r="L190" i="1"/>
  <c r="L191" i="1"/>
  <c r="L192" i="1"/>
  <c r="L193" i="1"/>
  <c r="L194" i="1"/>
  <c r="L189" i="1"/>
  <c r="L188" i="1"/>
  <c r="L186" i="1"/>
  <c r="L83" i="1"/>
  <c r="L84" i="1"/>
  <c r="L85" i="1"/>
  <c r="L86" i="1"/>
  <c r="L87" i="1"/>
  <c r="L88" i="1"/>
  <c r="L89" i="1"/>
  <c r="L82" i="1"/>
  <c r="L81" i="1"/>
  <c r="L78" i="1" a="1"/>
  <c r="L78" i="1" s="1"/>
  <c r="L76" i="1"/>
  <c r="L75" i="1" a="1"/>
  <c r="L75" i="1" s="1"/>
  <c r="L59" i="1"/>
  <c r="L58" i="1"/>
  <c r="L52" i="1"/>
  <c r="L30" i="1" a="1"/>
  <c r="L30" i="1" s="1"/>
  <c r="L24" i="1"/>
  <c r="L21" i="1"/>
  <c r="L12" i="1" a="1"/>
  <c r="L12" i="1" s="1"/>
  <c r="I581" i="3"/>
  <c r="H577" i="3"/>
  <c r="H567" i="3"/>
  <c r="H566" i="3"/>
  <c r="H565" i="3"/>
  <c r="E562" i="3"/>
  <c r="E561" i="3"/>
  <c r="E560" i="3"/>
  <c r="P556" i="3"/>
  <c r="I441" i="3"/>
  <c r="F338" i="3"/>
  <c r="F339" i="3"/>
  <c r="F340" i="3"/>
  <c r="F341" i="3"/>
  <c r="F342" i="3"/>
  <c r="F343" i="3"/>
  <c r="F344" i="3"/>
  <c r="F345" i="3"/>
  <c r="F346" i="3"/>
  <c r="F347" i="3"/>
  <c r="F348" i="3"/>
  <c r="F349" i="3"/>
  <c r="F350" i="3"/>
  <c r="F351" i="3"/>
  <c r="F352" i="3"/>
  <c r="F353" i="3"/>
  <c r="F354" i="3"/>
  <c r="F355" i="3"/>
  <c r="F356" i="3"/>
  <c r="F337" i="3"/>
  <c r="F336" i="3"/>
  <c r="F225" i="3"/>
  <c r="F125" i="3"/>
  <c r="F126" i="3"/>
  <c r="F127" i="3"/>
  <c r="F128" i="3"/>
  <c r="F129" i="3"/>
  <c r="F130" i="3"/>
  <c r="F124" i="3"/>
  <c r="F21" i="3"/>
  <c r="F22" i="3"/>
  <c r="F23" i="3"/>
  <c r="F24" i="3"/>
  <c r="F25" i="3"/>
  <c r="F26" i="3"/>
  <c r="F27" i="3"/>
  <c r="F20" i="3"/>
  <c r="F119" i="3"/>
  <c r="F18" i="3"/>
  <c r="H3" i="17" l="1"/>
  <c r="I3" i="17"/>
  <c r="J3" i="17"/>
  <c r="K3" i="17"/>
  <c r="D3" i="17"/>
  <c r="B21" i="17" l="1"/>
  <c r="B13" i="4" s="1"/>
  <c r="B490" i="17"/>
  <c r="A21" i="1" s="1"/>
  <c r="B334" i="17"/>
  <c r="C27" i="12" s="1"/>
  <c r="B19" i="17"/>
  <c r="B12" i="4" s="1"/>
  <c r="B486" i="17"/>
  <c r="M18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433" i="1" s="1"/>
  <c r="B318" i="17"/>
  <c r="B329" i="17"/>
  <c r="B341" i="17"/>
  <c r="B353" i="17"/>
  <c r="B365" i="17"/>
  <c r="B378" i="17"/>
  <c r="B4" i="17"/>
  <c r="B483" i="17"/>
  <c r="L450"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C440" i="3" s="1"/>
  <c r="B172" i="17"/>
  <c r="B185" i="17"/>
  <c r="B196" i="17"/>
  <c r="B208" i="17"/>
  <c r="B221" i="17"/>
  <c r="B235" i="17"/>
  <c r="B247" i="17"/>
  <c r="B260" i="17"/>
  <c r="B284" i="17"/>
  <c r="B296" i="17"/>
  <c r="B309" i="17"/>
  <c r="B332" i="17"/>
  <c r="B345" i="17"/>
  <c r="B356" i="17"/>
  <c r="B369" i="17"/>
  <c r="B5" i="17"/>
  <c r="B411" i="17"/>
  <c r="B425" i="17"/>
  <c r="B438" i="17"/>
  <c r="B452" i="17"/>
  <c r="B466" i="17"/>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07" i="17"/>
  <c r="B326" i="17"/>
  <c r="B346" i="17"/>
  <c r="B363" i="17"/>
  <c r="B8" i="17"/>
  <c r="B482" i="17"/>
  <c r="G226"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14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323"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C7" i="16" l="1"/>
  <c r="J29" i="12"/>
  <c r="I18" i="12"/>
  <c r="C56" i="16"/>
  <c r="C66" i="16"/>
  <c r="C68" i="16"/>
  <c r="C17" i="16" a="1"/>
  <c r="C17" i="16" s="1"/>
  <c r="C67" i="16"/>
  <c r="C65" i="16"/>
  <c r="G6" i="3"/>
  <c r="G10" i="3"/>
  <c r="J190" i="12"/>
  <c r="J179" i="12"/>
  <c r="G224" i="3"/>
  <c r="G19" i="3"/>
  <c r="L437" i="1"/>
  <c r="N325" i="1"/>
  <c r="G336" i="3"/>
  <c r="M190" i="1"/>
  <c r="M82" i="1"/>
  <c r="L452" i="3"/>
  <c r="J31" i="12"/>
  <c r="AZ17" i="8" l="1"/>
  <c r="AZ16" i="8"/>
  <c r="AZ10" i="8"/>
  <c r="AZ12" i="8" s="1"/>
  <c r="AV10" i="8"/>
  <c r="AV12" i="8" s="1"/>
  <c r="AV17" i="8"/>
  <c r="AV16" i="8"/>
  <c r="AR10" i="8"/>
  <c r="AR12" i="8" s="1"/>
  <c r="AR17" i="8"/>
  <c r="AN17" i="8"/>
  <c r="AR16" i="8"/>
  <c r="AN10" i="8"/>
  <c r="AN12" i="8" s="1"/>
  <c r="AN16" i="8"/>
  <c r="AJ10" i="8"/>
  <c r="AJ12" i="8" s="1"/>
  <c r="AJ17" i="8"/>
  <c r="AJ16" i="8"/>
  <c r="AF10" i="8"/>
  <c r="AF12" i="8" s="1"/>
  <c r="AF17" i="8"/>
  <c r="AF16" i="8"/>
  <c r="AB10" i="8"/>
  <c r="AB12" i="8" s="1"/>
  <c r="AB17" i="8"/>
  <c r="AB16" i="8"/>
  <c r="X10" i="8"/>
  <c r="X11" i="8" s="1"/>
  <c r="X17" i="8"/>
  <c r="X16" i="8"/>
  <c r="T16" i="8"/>
  <c r="T10" i="8"/>
  <c r="T12" i="8" s="1"/>
  <c r="T17" i="8"/>
  <c r="AJ11" i="8" l="1"/>
  <c r="X12" i="8"/>
  <c r="AR11" i="8"/>
  <c r="T11" i="8"/>
  <c r="G11" i="8" s="1"/>
  <c r="AB11" i="8"/>
  <c r="AZ11" i="8"/>
  <c r="AV11" i="8"/>
  <c r="AN11" i="8"/>
  <c r="AF11" i="8"/>
  <c r="P10" i="8" l="1"/>
  <c r="P12" i="8" s="1"/>
  <c r="E10" i="8" s="1"/>
  <c r="F19" i="8"/>
  <c r="F18" i="8"/>
  <c r="F17" i="8"/>
  <c r="F16" i="8"/>
  <c r="F14" i="8"/>
  <c r="F13" i="8"/>
  <c r="F12" i="8"/>
  <c r="P17" i="8"/>
  <c r="P16" i="8"/>
  <c r="P11" i="8" l="1"/>
  <c r="Q16" i="8" s="1"/>
  <c r="D10" i="8" l="1"/>
  <c r="G10" i="8" s="1"/>
  <c r="D9" i="3"/>
  <c r="B2" i="11" s="1"/>
  <c r="D62" i="1"/>
  <c r="D13" i="3"/>
  <c r="B3" i="11" s="1"/>
  <c r="C61" i="16" l="1"/>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17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119" i="3"/>
  <c r="C224" i="3"/>
  <c r="C329" i="3"/>
  <c r="C4" i="16"/>
  <c r="B41" i="16"/>
  <c r="B65" i="16"/>
  <c r="E335" i="3"/>
  <c r="D446" i="3"/>
  <c r="G555" i="3"/>
  <c r="B42" i="16"/>
  <c r="B54" i="16"/>
  <c r="B66" i="16"/>
  <c r="C7" i="3"/>
  <c r="C13" i="3"/>
  <c r="C225" i="3"/>
  <c r="C330" i="3"/>
  <c r="E446" i="3"/>
  <c r="B6" i="16"/>
  <c r="B19" i="16"/>
  <c r="B31" i="16"/>
  <c r="B67" i="16"/>
  <c r="F446" i="3"/>
  <c r="D554" i="3"/>
  <c r="H555" i="3"/>
  <c r="B7" i="16"/>
  <c r="B44" i="16"/>
  <c r="B56" i="16"/>
  <c r="B68" i="16"/>
  <c r="C8" i="3"/>
  <c r="C226" i="3"/>
  <c r="C331" i="3"/>
  <c r="B8" i="16"/>
  <c r="B45" i="16"/>
  <c r="B57" i="16"/>
  <c r="G446" i="3"/>
  <c r="N554" i="3"/>
  <c r="I555" i="3"/>
  <c r="B10" i="16"/>
  <c r="B58" i="16"/>
  <c r="C3" i="3"/>
  <c r="C9" i="3"/>
  <c r="C16" i="3"/>
  <c r="C122" i="3"/>
  <c r="C326" i="3"/>
  <c r="B47" i="16"/>
  <c r="C441" i="3"/>
  <c r="H446" i="3"/>
  <c r="O554" i="3"/>
  <c r="J555" i="3"/>
  <c r="B24" i="16"/>
  <c r="B36" i="16"/>
  <c r="B48" i="16"/>
  <c r="B60" i="16"/>
  <c r="D335" i="3"/>
  <c r="F555" i="3"/>
  <c r="C4" i="3"/>
  <c r="C123" i="3"/>
  <c r="C5" i="3"/>
  <c r="C223" i="3"/>
  <c r="B50" i="16"/>
  <c r="C10" i="3"/>
  <c r="C327" i="3"/>
  <c r="B3" i="16"/>
  <c r="H447" i="3"/>
  <c r="C11" i="3"/>
  <c r="B15" i="16"/>
  <c r="B63" i="16"/>
  <c r="C18" i="3"/>
  <c r="B25" i="16"/>
  <c r="D555" i="3"/>
  <c r="C19" i="3"/>
  <c r="E555" i="3"/>
  <c r="C2" i="16"/>
  <c r="C573" i="3"/>
  <c r="C161" i="12"/>
  <c r="B1" i="11"/>
  <c r="D59" i="1"/>
  <c r="D60" i="1"/>
  <c r="K555" i="3"/>
  <c r="C5" i="1"/>
  <c r="C21" i="1"/>
  <c r="L555" i="3"/>
  <c r="C22" i="1"/>
  <c r="C41" i="1"/>
  <c r="C75" i="1"/>
  <c r="C311" i="1"/>
  <c r="B9" i="8"/>
  <c r="D434" i="1"/>
  <c r="C11" i="12"/>
  <c r="C141" i="12"/>
  <c r="C184" i="12"/>
  <c r="C25" i="7"/>
  <c r="C565" i="3"/>
  <c r="C33" i="1"/>
  <c r="C42" i="1"/>
  <c r="C76" i="1"/>
  <c r="J322" i="1"/>
  <c r="C150" i="12"/>
  <c r="C167" i="12"/>
  <c r="C185" i="12"/>
  <c r="C193" i="12"/>
  <c r="C17" i="7"/>
  <c r="C26" i="7"/>
  <c r="B1" i="12"/>
  <c r="G19" i="1"/>
  <c r="C29" i="1"/>
  <c r="C66" i="1"/>
  <c r="G187" i="1"/>
  <c r="C310" i="1"/>
  <c r="J535" i="1"/>
  <c r="C10" i="12"/>
  <c r="C136" i="12"/>
  <c r="C166" i="12"/>
  <c r="C15" i="7"/>
  <c r="C560" i="3"/>
  <c r="C571" i="3"/>
  <c r="C10" i="1"/>
  <c r="D20" i="1"/>
  <c r="C30" i="1"/>
  <c r="C39" i="1"/>
  <c r="D79" i="1"/>
  <c r="J187" i="1"/>
  <c r="C297" i="1"/>
  <c r="L322" i="1"/>
  <c r="C536" i="1"/>
  <c r="C137" i="12"/>
  <c r="C5" i="7"/>
  <c r="C27" i="7"/>
  <c r="G20" i="1"/>
  <c r="C298" i="1"/>
  <c r="C316" i="1"/>
  <c r="C147" i="12"/>
  <c r="C168" i="12"/>
  <c r="C16" i="7"/>
  <c r="C561" i="3"/>
  <c r="C572" i="3"/>
  <c r="G11" i="1"/>
  <c r="C40" i="1"/>
  <c r="C68" i="1"/>
  <c r="D423" i="1"/>
  <c r="K11" i="1"/>
  <c r="C38" i="1"/>
  <c r="C57" i="1"/>
  <c r="C74" i="1"/>
  <c r="D187" i="1"/>
  <c r="D428" i="1"/>
  <c r="C539" i="1"/>
  <c r="C140" i="12"/>
  <c r="C181" i="12"/>
  <c r="C194" i="12"/>
  <c r="C12" i="1"/>
  <c r="C25" i="1"/>
  <c r="C77" i="1"/>
  <c r="K187" i="1"/>
  <c r="C304" i="1"/>
  <c r="C9" i="12"/>
  <c r="C18" i="7"/>
  <c r="C30" i="7"/>
  <c r="M555" i="3"/>
  <c r="C13" i="1"/>
  <c r="C43" i="1"/>
  <c r="C59" i="1"/>
  <c r="D322" i="1"/>
  <c r="C540" i="1"/>
  <c r="C28" i="12"/>
  <c r="C142" i="12"/>
  <c r="C169" i="12"/>
  <c r="C31" i="7"/>
  <c r="C31" i="1"/>
  <c r="G79" i="1"/>
  <c r="C423" i="1"/>
  <c r="C541" i="1"/>
  <c r="C144" i="12"/>
  <c r="C6" i="7"/>
  <c r="C562" i="3"/>
  <c r="C577" i="3"/>
  <c r="C32" i="1"/>
  <c r="C45" i="1"/>
  <c r="D61" i="1"/>
  <c r="C294" i="1"/>
  <c r="D424" i="1"/>
  <c r="G434" i="1"/>
  <c r="C542" i="1"/>
  <c r="C172" i="12"/>
  <c r="C21" i="7"/>
  <c r="C33" i="7"/>
  <c r="C34" i="1"/>
  <c r="C46" i="1"/>
  <c r="J79" i="1"/>
  <c r="D294" i="1"/>
  <c r="C309" i="1"/>
  <c r="C543" i="1"/>
  <c r="C173" i="12"/>
  <c r="J20" i="1"/>
  <c r="C35" i="1"/>
  <c r="K79" i="1"/>
  <c r="C295" i="1"/>
  <c r="D425" i="1"/>
  <c r="C134" i="12"/>
  <c r="C576" i="3"/>
  <c r="C14" i="1"/>
  <c r="C44" i="1"/>
  <c r="K322" i="1"/>
  <c r="C143" i="12"/>
  <c r="C32" i="7"/>
  <c r="K20" i="1"/>
  <c r="C317" i="1"/>
  <c r="C24" i="7"/>
  <c r="C2" i="12"/>
  <c r="C151" i="12"/>
  <c r="C191" i="12"/>
  <c r="C3" i="12"/>
  <c r="C152" i="12"/>
  <c r="C23" i="1"/>
  <c r="C192" i="12"/>
  <c r="C566" i="3"/>
  <c r="C184" i="1"/>
  <c r="C567" i="3"/>
  <c r="C36" i="1"/>
  <c r="D426" i="1"/>
  <c r="C10" i="7"/>
  <c r="D427" i="1"/>
  <c r="H11" i="7"/>
  <c r="C37" i="1"/>
  <c r="C187" i="1"/>
  <c r="C165" i="12"/>
  <c r="C12" i="7"/>
  <c r="C535" i="1"/>
  <c r="C13" i="7"/>
  <c r="C296" i="1"/>
  <c r="C135" i="12"/>
  <c r="J11" i="1"/>
  <c r="C180" i="12"/>
  <c r="C22" i="7"/>
  <c r="C303" i="1"/>
  <c r="C23" i="7"/>
  <c r="C14" i="7"/>
  <c r="C56" i="1"/>
  <c r="D21" i="1"/>
  <c r="I147" i="12" l="1"/>
  <c r="H18" i="12"/>
  <c r="C38" i="16" s="1"/>
  <c r="I184" i="12"/>
  <c r="I144" i="12"/>
  <c r="I140" i="12"/>
  <c r="I181" i="12"/>
  <c r="H10" i="12"/>
  <c r="C37" i="16" s="1"/>
  <c r="I22" i="7"/>
  <c r="C62" i="16" s="1"/>
  <c r="C60" i="16" s="1"/>
  <c r="I172" i="12"/>
  <c r="I157" i="12"/>
  <c r="C42" i="16" s="1"/>
  <c r="I193" i="12"/>
  <c r="I151" i="12"/>
  <c r="L5" i="1"/>
  <c r="C20" i="16" s="1"/>
  <c r="F331" i="3"/>
  <c r="F224" i="3"/>
  <c r="F328" i="3"/>
  <c r="F223" i="3"/>
  <c r="H572" i="3"/>
  <c r="H316" i="1"/>
  <c r="C32" i="16" s="1"/>
  <c r="I450" i="3"/>
  <c r="F330" i="3"/>
  <c r="E304" i="1"/>
  <c r="H573" i="3"/>
  <c r="F329" i="3"/>
  <c r="F327" i="3"/>
  <c r="F123" i="3"/>
  <c r="E303" i="1"/>
  <c r="L23" i="1"/>
  <c r="L22" i="1"/>
  <c r="H571" i="3"/>
  <c r="C30" i="16"/>
  <c r="C54" i="16"/>
  <c r="F10" i="3"/>
  <c r="C16" i="16"/>
  <c r="C15" i="16" s="1"/>
  <c r="F122" i="3"/>
  <c r="F6" i="3"/>
  <c r="C13" i="16"/>
  <c r="F5" i="3"/>
  <c r="C52" i="16"/>
  <c r="C40" i="16"/>
  <c r="C63" i="16"/>
  <c r="F4" i="3"/>
  <c r="C48" i="16"/>
  <c r="F3" i="3"/>
  <c r="C44" i="16"/>
  <c r="C51" i="16"/>
  <c r="C21" i="16"/>
  <c r="G295" i="1"/>
  <c r="C7" i="7"/>
  <c r="C14" i="12"/>
  <c r="C6" i="12"/>
  <c r="A17" i="9"/>
  <c r="A21" i="9"/>
  <c r="A13" i="9"/>
  <c r="A5" i="9"/>
  <c r="A9" i="9"/>
  <c r="C13" i="9"/>
  <c r="C5" i="9"/>
  <c r="C21" i="9"/>
  <c r="C9" i="9"/>
  <c r="C17" i="9"/>
  <c r="C29" i="7"/>
  <c r="C148" i="12"/>
  <c r="C2" i="7"/>
  <c r="C149" i="12"/>
  <c r="C131" i="12"/>
  <c r="C20" i="7"/>
  <c r="C36" i="7"/>
  <c r="C146" i="12"/>
  <c r="C31" i="4"/>
  <c r="B7" i="8"/>
  <c r="C2" i="1"/>
  <c r="C289" i="1"/>
  <c r="C579" i="3"/>
  <c r="C64" i="1"/>
  <c r="C164" i="12"/>
  <c r="C538" i="1"/>
  <c r="C319" i="1"/>
  <c r="C546" i="1"/>
  <c r="C437" i="3"/>
  <c r="C198" i="12"/>
  <c r="C181" i="1"/>
  <c r="C9" i="7"/>
  <c r="C139" i="12"/>
  <c r="C564" i="3"/>
  <c r="C443" i="3"/>
  <c r="C183" i="12"/>
  <c r="C171" i="12"/>
  <c r="C313" i="1"/>
  <c r="C121" i="3"/>
  <c r="C306" i="1"/>
  <c r="C154" i="12"/>
  <c r="C49" i="1"/>
  <c r="C24" i="12"/>
  <c r="C333" i="3"/>
  <c r="C7" i="1"/>
  <c r="C558" i="3"/>
  <c r="C551" i="3"/>
  <c r="C71" i="1"/>
  <c r="C300" i="1"/>
  <c r="C430" i="1"/>
  <c r="C55" i="1"/>
  <c r="C575" i="3"/>
  <c r="C570" i="3"/>
  <c r="B1" i="1"/>
  <c r="A1" i="1"/>
  <c r="A1" i="12"/>
  <c r="D156" i="12"/>
  <c r="C18" i="12"/>
  <c r="C157" i="12"/>
  <c r="C188" i="12"/>
  <c r="C176" i="12"/>
  <c r="C175" i="12"/>
  <c r="C187" i="12"/>
  <c r="C156" i="12"/>
  <c r="C17" i="12"/>
  <c r="C328" i="3"/>
  <c r="E28" i="12"/>
  <c r="D17" i="12"/>
  <c r="D9" i="12"/>
  <c r="C186" i="12"/>
  <c r="C174" i="12"/>
  <c r="C159" i="12"/>
  <c r="C20" i="12"/>
  <c r="C160" i="12"/>
  <c r="C21" i="12"/>
  <c r="C177" i="12"/>
  <c r="C189" i="12"/>
  <c r="C158" i="12"/>
  <c r="C19" i="12"/>
  <c r="C129" i="12"/>
  <c r="C22" i="12"/>
  <c r="C12" i="12"/>
  <c r="C190" i="12"/>
  <c r="C179" i="12"/>
  <c r="B49" i="16"/>
  <c r="B18" i="16"/>
  <c r="B35" i="16"/>
  <c r="B55" i="16"/>
  <c r="G16" i="1"/>
  <c r="B59" i="16"/>
  <c r="B43" i="16"/>
  <c r="B5" i="16"/>
  <c r="B46" i="16"/>
  <c r="B9" i="16"/>
  <c r="C544" i="1"/>
  <c r="C47" i="1"/>
  <c r="C24" i="1"/>
  <c r="C69" i="1"/>
  <c r="C26" i="1"/>
  <c r="C67" i="1"/>
  <c r="C58" i="1"/>
  <c r="C16" i="1"/>
  <c r="J434" i="1"/>
  <c r="G322" i="1"/>
  <c r="A1" i="3"/>
  <c r="B1" i="3"/>
  <c r="G427" i="1"/>
  <c r="J536" i="1"/>
  <c r="G426" i="1"/>
  <c r="G428" i="1"/>
  <c r="C434" i="1"/>
  <c r="C322" i="1"/>
  <c r="C79" i="1"/>
  <c r="C185" i="1"/>
  <c r="C292" i="1"/>
  <c r="C2" i="3"/>
  <c r="C446" i="3"/>
  <c r="C335" i="3"/>
  <c r="C554" i="3"/>
  <c r="C39" i="16"/>
  <c r="J47" i="1"/>
  <c r="G47" i="1"/>
  <c r="D142" i="12"/>
  <c r="D143" i="12" s="1"/>
  <c r="K31" i="1"/>
  <c r="K32" i="1"/>
  <c r="K33" i="1"/>
  <c r="K34" i="1"/>
  <c r="K35" i="1"/>
  <c r="K36" i="1"/>
  <c r="K37" i="1"/>
  <c r="K38" i="1"/>
  <c r="K39" i="1"/>
  <c r="K40" i="1"/>
  <c r="K41" i="1"/>
  <c r="K42" i="1"/>
  <c r="K43" i="1"/>
  <c r="K44" i="1"/>
  <c r="K30" i="1"/>
  <c r="C11" i="16" l="1"/>
  <c r="C29" i="16"/>
  <c r="C28" i="16" s="1"/>
  <c r="C22" i="16"/>
  <c r="C23" i="16" s="1"/>
  <c r="C57" i="16"/>
  <c r="C47" i="16"/>
  <c r="C58" i="16"/>
  <c r="C6" i="16"/>
  <c r="C36" i="16"/>
  <c r="C24" i="16"/>
  <c r="G25" i="1"/>
  <c r="J25" i="1"/>
  <c r="G535" i="1"/>
  <c r="C162" i="12"/>
  <c r="J453" i="3" l="1"/>
  <c r="J454" i="3"/>
  <c r="J455" i="3"/>
  <c r="J456" i="3"/>
  <c r="J457" i="3"/>
  <c r="J458" i="3"/>
  <c r="J459" i="3"/>
  <c r="J460" i="3"/>
  <c r="J461" i="3"/>
  <c r="J462" i="3"/>
  <c r="J463" i="3"/>
  <c r="J464" i="3"/>
  <c r="J465" i="3"/>
  <c r="J466" i="3"/>
  <c r="J467" i="3"/>
  <c r="J468" i="3"/>
  <c r="J469" i="3"/>
  <c r="J470" i="3"/>
  <c r="J471" i="3"/>
  <c r="J472" i="3"/>
  <c r="J548" i="3"/>
  <c r="J549" i="3"/>
  <c r="D206" i="1"/>
  <c r="D205" i="1"/>
  <c r="D201" i="1"/>
  <c r="D189" i="1"/>
  <c r="D188" i="1"/>
  <c r="D190" i="1"/>
  <c r="D191" i="1"/>
  <c r="D192" i="1"/>
  <c r="D193" i="1"/>
  <c r="D194" i="1"/>
  <c r="D195" i="1"/>
  <c r="D196" i="1"/>
  <c r="D197" i="1"/>
  <c r="D198" i="1"/>
  <c r="D199" i="1"/>
  <c r="D200" i="1"/>
  <c r="D202" i="1"/>
  <c r="D203" i="1"/>
  <c r="D204" i="1"/>
  <c r="D207" i="1"/>
  <c r="D208" i="1"/>
  <c r="D209" i="1"/>
  <c r="D210" i="1"/>
  <c r="D211" i="1"/>
  <c r="D286" i="1"/>
  <c r="D287" i="1"/>
  <c r="D56" i="1"/>
  <c r="K23" i="1"/>
  <c r="K24" i="1"/>
  <c r="K22" i="1"/>
  <c r="AS26" i="8"/>
  <c r="AR25" i="8"/>
  <c r="AZ18" i="8"/>
  <c r="AO26" i="8"/>
  <c r="AN25" i="8"/>
  <c r="AV18" i="8"/>
  <c r="AK26" i="8"/>
  <c r="AJ25" i="8"/>
  <c r="AR18" i="8"/>
  <c r="AG26" i="8"/>
  <c r="AF25" i="8"/>
  <c r="AN18" i="8"/>
  <c r="AC26" i="8"/>
  <c r="AB25" i="8"/>
  <c r="AJ18" i="8"/>
  <c r="Y26" i="8"/>
  <c r="X25" i="8"/>
  <c r="AF18" i="8"/>
  <c r="U26" i="8"/>
  <c r="T25" i="8"/>
  <c r="AB18" i="8"/>
  <c r="Q26" i="8"/>
  <c r="P25" i="8"/>
  <c r="X18" i="8"/>
  <c r="M26" i="8"/>
  <c r="L25" i="8"/>
  <c r="T18" i="8"/>
  <c r="A26" i="8"/>
  <c r="P18" i="8"/>
  <c r="L57" i="1" l="1"/>
  <c r="C53" i="16" s="1"/>
  <c r="C50" i="16" s="1"/>
  <c r="C27" i="16"/>
  <c r="C33" i="16" l="1"/>
  <c r="G424" i="1"/>
  <c r="G425" i="1"/>
  <c r="L323" i="1" l="1"/>
  <c r="D167" i="12" l="1"/>
  <c r="G45" i="1" l="1"/>
  <c r="D311" i="1"/>
  <c r="D5" i="11"/>
  <c r="D6" i="11"/>
  <c r="D7" i="11"/>
  <c r="D8" i="11"/>
  <c r="D9" i="11"/>
  <c r="D10" i="11"/>
  <c r="D11" i="11"/>
  <c r="D12" i="11"/>
  <c r="D13" i="11"/>
  <c r="D14" i="11"/>
  <c r="D15" i="11"/>
  <c r="D16" i="11"/>
  <c r="D17" i="11"/>
  <c r="D18" i="11"/>
  <c r="D19" i="11"/>
  <c r="D20" i="11"/>
  <c r="D21" i="11"/>
  <c r="D22" i="11"/>
  <c r="D23" i="11"/>
  <c r="D24" i="11"/>
  <c r="D25" i="11"/>
  <c r="D26" i="11"/>
  <c r="A25" i="8" l="1"/>
  <c r="A27" i="8" s="1"/>
  <c r="O23" i="8" s="1"/>
  <c r="O22" i="8" l="1"/>
  <c r="F10" i="8" s="1"/>
  <c r="D152" i="12"/>
  <c r="D150" i="12"/>
  <c r="I141" i="12"/>
  <c r="C41" i="16" s="1"/>
  <c r="D137" i="12"/>
  <c r="E129" i="12"/>
  <c r="D22" i="12"/>
  <c r="D12" i="12"/>
  <c r="D11" i="12" s="1"/>
  <c r="F3" i="12"/>
  <c r="F2" i="12"/>
  <c r="K466" i="3"/>
  <c r="H454" i="3"/>
  <c r="I454" i="3" s="1"/>
  <c r="G536" i="1"/>
  <c r="P22" i="8" l="1"/>
  <c r="H17" i="7"/>
  <c r="D6" i="9"/>
  <c r="K549" i="3" l="1"/>
  <c r="J45" i="1" l="1"/>
  <c r="D45" i="1"/>
  <c r="D46" i="1" s="1"/>
  <c r="G68" i="1" s="1"/>
  <c r="K45" i="1" l="1"/>
  <c r="G46" i="1"/>
  <c r="J46" i="1"/>
  <c r="K451" i="3"/>
  <c r="D3" i="11" s="1"/>
  <c r="K452" i="3"/>
  <c r="K453" i="3"/>
  <c r="F5" i="11" s="1"/>
  <c r="K454" i="3"/>
  <c r="E6" i="11" s="1"/>
  <c r="K455" i="3"/>
  <c r="K456" i="3"/>
  <c r="K457" i="3"/>
  <c r="K458" i="3"/>
  <c r="K459" i="3"/>
  <c r="K460" i="3"/>
  <c r="K461" i="3"/>
  <c r="K462" i="3"/>
  <c r="F14" i="11" s="1"/>
  <c r="K463" i="3"/>
  <c r="K464" i="3"/>
  <c r="K465" i="3"/>
  <c r="E17" i="11" s="1"/>
  <c r="F18" i="11"/>
  <c r="K467" i="3"/>
  <c r="F19" i="11" s="1"/>
  <c r="K468" i="3"/>
  <c r="F20" i="11" s="1"/>
  <c r="K469" i="3"/>
  <c r="K470" i="3"/>
  <c r="K471" i="3"/>
  <c r="K472" i="3"/>
  <c r="K548" i="3"/>
  <c r="K450" i="3"/>
  <c r="D2" i="11" s="1"/>
  <c r="H459" i="3"/>
  <c r="I459" i="3" s="1"/>
  <c r="H460" i="3"/>
  <c r="I460" i="3" s="1"/>
  <c r="H461" i="3"/>
  <c r="I461" i="3" s="1"/>
  <c r="H462" i="3"/>
  <c r="I462" i="3" s="1"/>
  <c r="H463" i="3"/>
  <c r="I463" i="3" s="1"/>
  <c r="H464" i="3"/>
  <c r="I464" i="3" s="1"/>
  <c r="H465" i="3"/>
  <c r="I465" i="3" s="1"/>
  <c r="H466" i="3"/>
  <c r="I466" i="3" s="1"/>
  <c r="H467" i="3"/>
  <c r="I467" i="3" s="1"/>
  <c r="H469" i="3"/>
  <c r="I469" i="3" s="1"/>
  <c r="H470" i="3"/>
  <c r="I470" i="3" s="1"/>
  <c r="H471" i="3"/>
  <c r="I471" i="3" s="1"/>
  <c r="H472" i="3"/>
  <c r="I472"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E19" i="8"/>
  <c r="E18" i="8"/>
  <c r="E17" i="8"/>
  <c r="E16" i="8"/>
  <c r="E15" i="8"/>
  <c r="E14" i="8"/>
  <c r="E13" i="8"/>
  <c r="E12" i="8"/>
  <c r="E11" i="8"/>
  <c r="D19" i="8"/>
  <c r="G19" i="8" s="1"/>
  <c r="G18" i="8"/>
  <c r="G17" i="8"/>
  <c r="G16" i="8"/>
  <c r="G15" i="8"/>
  <c r="G14" i="8"/>
  <c r="G13" i="8"/>
  <c r="Y16" i="8" l="1"/>
  <c r="G12" i="8"/>
  <c r="U16" i="8"/>
  <c r="BA16" i="8"/>
  <c r="AU24" i="8"/>
  <c r="AR26" i="8" s="1"/>
  <c r="AY23" i="8" s="1"/>
  <c r="J450" i="3"/>
  <c r="J451" i="3"/>
  <c r="E4" i="11"/>
  <c r="AW16" i="8"/>
  <c r="AQ24" i="8"/>
  <c r="AN26" i="8" s="1"/>
  <c r="AU23" i="8" s="1"/>
  <c r="AM24" i="8"/>
  <c r="AJ26" i="8" s="1"/>
  <c r="AQ23" i="8" s="1"/>
  <c r="AS16" i="8"/>
  <c r="AI24" i="8"/>
  <c r="AF26" i="8" s="1"/>
  <c r="AM23" i="8" s="1"/>
  <c r="AO16" i="8"/>
  <c r="AE24" i="8"/>
  <c r="AB26" i="8" s="1"/>
  <c r="AI23" i="8" s="1"/>
  <c r="AK16" i="8"/>
  <c r="AA24" i="8"/>
  <c r="X26" i="8" s="1"/>
  <c r="AE23" i="8" s="1"/>
  <c r="AG16" i="8"/>
  <c r="W24" i="8"/>
  <c r="T26" i="8" s="1"/>
  <c r="AA23" i="8" s="1"/>
  <c r="AC16" i="8"/>
  <c r="S24" i="8"/>
  <c r="P26" i="8" s="1"/>
  <c r="W23" i="8" s="1"/>
  <c r="O24" i="8"/>
  <c r="L26" i="8" s="1"/>
  <c r="S23" i="8" s="1"/>
  <c r="G20" i="11"/>
  <c r="H468" i="3" s="1"/>
  <c r="I468" i="3" s="1"/>
  <c r="H453" i="3"/>
  <c r="I453" i="3" s="1"/>
  <c r="G13" i="11"/>
  <c r="G24" i="11"/>
  <c r="G11" i="11"/>
  <c r="C26" i="16"/>
  <c r="C25" i="16" s="1"/>
  <c r="G25" i="11"/>
  <c r="G10" i="11"/>
  <c r="H458" i="3" s="1"/>
  <c r="I458" i="3" s="1"/>
  <c r="G22" i="11"/>
  <c r="G12" i="11"/>
  <c r="G16" i="11"/>
  <c r="G21" i="11"/>
  <c r="G7" i="11"/>
  <c r="H455" i="3" s="1"/>
  <c r="I455" i="3" s="1"/>
  <c r="G23" i="11"/>
  <c r="G8" i="11"/>
  <c r="H456" i="3" s="1"/>
  <c r="I456" i="3" s="1"/>
  <c r="G15" i="11"/>
  <c r="G9" i="11"/>
  <c r="H457" i="3" s="1"/>
  <c r="I457" i="3" s="1"/>
  <c r="G26" i="11"/>
  <c r="G3" i="11"/>
  <c r="G2" i="11"/>
  <c r="H450" i="3" s="1"/>
  <c r="J26" i="1"/>
  <c r="G26" i="1"/>
  <c r="D26" i="1"/>
  <c r="G67" i="1" s="1"/>
  <c r="K25" i="1"/>
  <c r="D25" i="1"/>
  <c r="G66" i="1" s="1"/>
  <c r="AY22" i="8" l="1"/>
  <c r="AZ22" i="8" s="1"/>
  <c r="K26" i="1"/>
  <c r="G4" i="11"/>
  <c r="H452" i="3" s="1"/>
  <c r="I452" i="3" s="1"/>
  <c r="J452" i="3"/>
  <c r="AE22" i="8"/>
  <c r="AF22" i="8" s="1"/>
  <c r="AM22" i="8"/>
  <c r="AN22" i="8" s="1"/>
  <c r="AU22" i="8"/>
  <c r="AV22" i="8" s="1"/>
  <c r="AQ22" i="8"/>
  <c r="AR22" i="8" s="1"/>
  <c r="W22" i="8"/>
  <c r="X22" i="8" s="1"/>
  <c r="AI22" i="8"/>
  <c r="AA22" i="8"/>
  <c r="AB22" i="8" s="1"/>
  <c r="S22" i="8"/>
  <c r="F11" i="8" s="1"/>
  <c r="H451" i="3"/>
  <c r="I451" i="3" s="1"/>
  <c r="L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14" i="16" l="1"/>
  <c r="AJ22" i="8"/>
  <c r="F15" i="8"/>
  <c r="T22" i="8"/>
  <c r="A32" i="8"/>
  <c r="G14" i="1" s="1"/>
  <c r="B32" i="8"/>
  <c r="J14" i="1" l="1"/>
  <c r="K14" i="1" s="1"/>
  <c r="A29" i="8"/>
  <c r="B26" i="8"/>
  <c r="C12" i="16" l="1"/>
  <c r="C10" i="16" s="1"/>
  <c r="L31" i="8"/>
  <c r="L33" i="8" s="1"/>
  <c r="L30" i="8" s="1"/>
  <c r="L324" i="1" l="1"/>
  <c r="J423" i="1" s="1"/>
  <c r="L326" i="1"/>
  <c r="L327" i="1"/>
  <c r="L328" i="1"/>
  <c r="J427" i="1" s="1"/>
  <c r="L329" i="1"/>
  <c r="J426" i="1" s="1"/>
  <c r="L330" i="1"/>
  <c r="L331" i="1"/>
  <c r="L332" i="1"/>
  <c r="L333" i="1"/>
  <c r="L334" i="1"/>
  <c r="L335" i="1"/>
  <c r="L336" i="1"/>
  <c r="L422" i="1"/>
  <c r="J424" i="1" l="1"/>
  <c r="J428" i="1"/>
  <c r="C19" i="16" l="1"/>
  <c r="J425" i="1"/>
  <c r="K12" i="1"/>
  <c r="D22" i="9" l="1"/>
  <c r="D18" i="9"/>
  <c r="H27" i="7" l="1"/>
  <c r="I27" i="7" s="1"/>
  <c r="K13" i="1" l="1"/>
  <c r="C34" i="16" l="1"/>
  <c r="C31" i="16" s="1"/>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<sst xmlns="http://schemas.openxmlformats.org/spreadsheetml/2006/main" count="9983" uniqueCount="9540">
  <si>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</si>
  <si>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</si>
  <si>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</si>
  <si>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</si>
  <si>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</si>
  <si>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</si>
  <si>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</si>
  <si>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</si>
  <si>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</si>
  <si>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</si>
  <si>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</si>
  <si>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</si>
  <si>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</si>
  <si>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</si>
  <si>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</si>
  <si>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</si>
  <si>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</si>
  <si>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</si>
  <si>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</si>
  <si>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</si>
  <si>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</si>
  <si>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</si>
  <si>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</si>
  <si>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</si>
  <si>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</si>
  <si>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</si>
  <si>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</si>
  <si>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</si>
  <si>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</si>
  <si>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</si>
  <si>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</si>
  <si>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</si>
  <si>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</si>
  <si>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</si>
  <si>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</si>
  <si>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</si>
  <si>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</si>
  <si>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</si>
  <si>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</si>
  <si>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</si>
  <si>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</si>
  <si>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</si>
  <si>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</si>
  <si>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</si>
  <si>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</si>
  <si>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</si>
  <si>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</si>
  <si>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</si>
  <si>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</si>
  <si>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</si>
  <si>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</si>
  <si>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</si>
  <si>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</si>
  <si>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</si>
  <si>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</si>
  <si>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</si>
  <si>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</si>
  <si>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</si>
  <si>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</si>
  <si>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</si>
  <si>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</si>
  <si>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</si>
  <si>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</si>
  <si>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</si>
  <si>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</si>
  <si>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</si>
  <si>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</si>
  <si>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</si>
  <si>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</si>
  <si>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</si>
  <si>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</si>
  <si>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</si>
  <si>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</si>
  <si>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</si>
  <si>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</si>
  <si>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</si>
  <si>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</si>
  <si>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</si>
  <si>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</si>
  <si>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</si>
  <si>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</si>
  <si>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</si>
  <si>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</si>
  <si>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</si>
  <si>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</si>
  <si>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</si>
  <si>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</si>
  <si>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</si>
  <si>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</si>
  <si>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</si>
  <si>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</si>
  <si>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</si>
  <si>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</si>
  <si>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</si>
  <si>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</si>
  <si>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</si>
  <si>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</si>
  <si>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</si>
  <si>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</si>
  <si>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</si>
  <si>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</si>
  <si>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</si>
  <si>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</si>
  <si>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</si>
  <si>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</si>
  <si>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</si>
  <si>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</si>
  <si>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</si>
  <si>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</si>
  <si>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</si>
  <si>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</si>
  <si>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</si>
  <si>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</si>
  <si>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</si>
  <si>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</si>
  <si>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</si>
  <si>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</si>
  <si>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</si>
  <si>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</si>
  <si>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</si>
  <si>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</si>
  <si>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</si>
  <si>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</si>
  <si>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</si>
  <si>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</si>
  <si>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</si>
  <si>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</si>
  <si>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</si>
  <si>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</si>
  <si>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</si>
  <si>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</si>
  <si>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</si>
  <si>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</si>
  <si>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</si>
  <si>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</si>
  <si>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</si>
  <si>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</si>
  <si>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</si>
  <si>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</si>
  <si>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</si>
  <si>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</si>
  <si>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</si>
  <si>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</si>
  <si>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</si>
  <si>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</si>
  <si>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</si>
  <si>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</si>
  <si>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</si>
  <si>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</si>
  <si>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</si>
  <si>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</si>
  <si>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</si>
  <si>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</si>
  <si>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</si>
  <si>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</si>
  <si>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</si>
  <si>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</si>
  <si>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</si>
  <si>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</si>
  <si>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</si>
  <si>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</si>
  <si>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</si>
  <si>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</si>
  <si>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</si>
  <si>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</si>
  <si>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</si>
  <si>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</si>
  <si>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</si>
  <si>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</si>
  <si>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</si>
  <si>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</si>
  <si>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</si>
  <si>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</si>
  <si>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</si>
  <si>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</si>
  <si>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</si>
  <si>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</si>
  <si>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</si>
  <si>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</si>
  <si>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</si>
  <si>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</si>
  <si>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</si>
  <si>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</si>
  <si>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</si>
  <si>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</si>
  <si>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</si>
  <si>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</si>
  <si>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</si>
  <si>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</si>
  <si>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</si>
  <si>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</si>
  <si>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</si>
  <si>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</si>
  <si>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</si>
  <si>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</si>
  <si>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</si>
  <si>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</si>
  <si>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</si>
  <si>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</si>
  <si>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</si>
  <si>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</si>
  <si>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</si>
  <si>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</si>
  <si>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</si>
  <si>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</si>
  <si>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</si>
  <si>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</si>
  <si>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</si>
  <si>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</si>
  <si>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</si>
  <si>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</si>
  <si>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</si>
  <si>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</si>
  <si>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</si>
  <si>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</si>
  <si>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</si>
  <si>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</si>
  <si>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</si>
  <si>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</si>
  <si>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</si>
  <si>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</si>
  <si>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</si>
  <si>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</si>
  <si>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</si>
  <si>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</si>
  <si>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</si>
  <si>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</si>
  <si>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</si>
  <si>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</si>
  <si>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</si>
  <si>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</si>
  <si>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</si>
  <si>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</si>
  <si>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</si>
  <si>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</si>
  <si>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</si>
  <si>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</si>
  <si>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</si>
  <si>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</si>
  <si>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</si>
  <si>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</si>
  <si>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</si>
  <si>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</si>
  <si>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</si>
  <si>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</si>
  <si>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</si>
  <si>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</si>
  <si>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</si>
  <si>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</si>
  <si>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</si>
  <si>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</si>
  <si>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</si>
  <si>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</si>
  <si>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</si>
  <si>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</si>
  <si>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</si>
  <si>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</si>
  <si>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</si>
  <si>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</si>
  <si>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</si>
  <si>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</si>
  <si>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</si>
  <si>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</si>
  <si>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</si>
  <si>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</si>
  <si>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</si>
  <si>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</si>
  <si>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</si>
  <si>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</si>
  <si>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</si>
  <si>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</si>
  <si>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</si>
  <si>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</si>
  <si>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</si>
  <si>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</si>
  <si>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</si>
  <si>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</si>
  <si>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</si>
  <si>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</si>
  <si>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</si>
  <si>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</si>
  <si>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</si>
  <si>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</si>
  <si>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</si>
  <si>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</si>
  <si>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</si>
  <si>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</si>
  <si>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</si>
  <si>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</si>
  <si>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</si>
  <si>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</si>
  <si>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</si>
  <si>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</si>
  <si>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</si>
  <si>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</si>
  <si>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</si>
  <si>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</si>
  <si>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</si>
  <si>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</si>
  <si>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</si>
  <si>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</si>
  <si>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</si>
  <si>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</si>
  <si>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</si>
  <si>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</si>
  <si>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</si>
  <si>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</si>
  <si>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</si>
  <si>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</si>
  <si>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</si>
  <si>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</si>
  <si>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</si>
  <si>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</si>
  <si>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</si>
  <si>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</si>
  <si>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</si>
  <si>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</si>
  <si>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</si>
  <si>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</si>
  <si>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</si>
  <si>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</si>
  <si>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</si>
  <si>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</si>
  <si>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</si>
  <si>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</si>
  <si>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</si>
  <si>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</si>
  <si>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</si>
  <si>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</si>
  <si>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</si>
  <si>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</si>
  <si>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</si>
  <si>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</si>
  <si>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</si>
  <si>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</si>
  <si>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</si>
  <si>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</si>
  <si>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</si>
  <si>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</si>
  <si>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</si>
  <si>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</si>
  <si>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</si>
  <si>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</si>
  <si>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</si>
  <si>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</si>
  <si>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</si>
  <si>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</si>
  <si>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</si>
  <si>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</si>
  <si>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</si>
  <si>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</si>
  <si>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</si>
  <si>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</si>
  <si>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</si>
  <si>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</si>
  <si>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</si>
  <si>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</si>
  <si>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</si>
  <si>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</si>
  <si>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</si>
  <si>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</si>
  <si>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</si>
  <si>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</si>
  <si>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</si>
  <si>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</si>
  <si>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</si>
  <si>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</si>
  <si>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</si>
  <si>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</si>
  <si>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</si>
  <si>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</si>
  <si>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</si>
  <si>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</si>
  <si>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</si>
  <si>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</si>
  <si>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</si>
  <si>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</si>
  <si>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</si>
  <si>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</si>
  <si>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</si>
  <si>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</si>
  <si>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</si>
  <si>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</si>
  <si>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</si>
  <si>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</si>
  <si>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</si>
  <si>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</si>
  <si>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</si>
  <si>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</si>
  <si>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</si>
  <si>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</si>
  <si>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</si>
  <si>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</si>
  <si>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</si>
  <si>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</si>
  <si>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</si>
  <si>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</si>
  <si>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</si>
  <si>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</si>
  <si>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</si>
  <si>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</si>
  <si>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</si>
  <si>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</si>
  <si>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</si>
  <si>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</si>
  <si>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</si>
  <si>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</si>
  <si>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</si>
  <si>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</si>
  <si>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</si>
  <si>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</si>
  <si>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</si>
  <si>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</si>
  <si>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</si>
  <si>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</si>
  <si>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</si>
  <si>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</si>
  <si>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</si>
  <si>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</si>
  <si>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</si>
  <si>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</si>
  <si>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</si>
  <si>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</si>
  <si>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</si>
  <si>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</si>
  <si>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</si>
  <si>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</si>
  <si>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</si>
  <si>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</si>
  <si>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</si>
  <si>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</si>
  <si>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</si>
  <si>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</si>
  <si>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</si>
  <si>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</si>
  <si>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</si>
  <si>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</si>
  <si>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</si>
  <si>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</si>
  <si>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</si>
  <si>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</si>
  <si>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</si>
  <si>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</si>
  <si>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</si>
  <si>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</si>
  <si>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</si>
  <si>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</si>
  <si>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</si>
  <si>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</si>
  <si>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</si>
  <si>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</si>
  <si>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</si>
  <si>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</si>
  <si>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</si>
  <si>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</si>
  <si>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</si>
  <si>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</si>
  <si>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</si>
  <si>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</si>
  <si>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</si>
  <si>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</si>
  <si>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</si>
  <si>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</si>
  <si>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</si>
  <si>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</si>
  <si>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</si>
  <si>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</si>
  <si>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</si>
  <si>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</si>
  <si>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</si>
  <si>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</si>
  <si>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</si>
  <si>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</si>
  <si>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</si>
  <si>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</si>
  <si>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</si>
  <si>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</si>
  <si>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</si>
  <si>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</si>
  <si>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</si>
  <si>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</si>
  <si>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</si>
  <si>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</si>
  <si>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</si>
  <si>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</si>
  <si>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</si>
  <si>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</si>
  <si>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</si>
  <si>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</si>
  <si>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</si>
  <si>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</si>
  <si>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</si>
  <si>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</si>
  <si>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</si>
  <si>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</si>
  <si>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</si>
  <si>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</si>
  <si>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</si>
  <si>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</si>
  <si>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</si>
  <si>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</si>
  <si>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</si>
  <si>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</si>
  <si>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</si>
  <si>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</si>
  <si>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</si>
  <si>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</si>
  <si>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</si>
  <si>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</si>
  <si>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</si>
  <si>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</si>
  <si>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</si>
  <si>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</si>
  <si>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</si>
  <si>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</si>
  <si>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</si>
  <si>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</si>
  <si>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</si>
  <si>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</si>
  <si>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</si>
  <si>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</si>
  <si>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</si>
  <si>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</si>
  <si>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</si>
  <si>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</si>
  <si>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</si>
  <si>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</si>
  <si>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</si>
  <si>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</si>
  <si>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</si>
  <si>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</si>
  <si>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</si>
  <si>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</si>
  <si>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</si>
  <si>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</si>
  <si>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</si>
  <si>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</si>
  <si>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</si>
  <si>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</si>
  <si>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</si>
  <si>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</si>
  <si>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</si>
  <si>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</si>
  <si>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</si>
  <si>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</si>
  <si>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</si>
  <si>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</si>
  <si>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</si>
  <si>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</si>
  <si>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</si>
  <si>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</si>
  <si>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</si>
  <si>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</si>
  <si>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</si>
  <si>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</si>
  <si>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</si>
  <si>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</si>
  <si>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</si>
  <si>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</si>
  <si>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</si>
  <si>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</si>
  <si>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</si>
  <si>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</si>
  <si>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</si>
  <si>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</si>
  <si>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</si>
  <si>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</si>
  <si>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</si>
  <si>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</si>
  <si>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</si>
  <si>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</si>
  <si>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</si>
  <si>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</si>
  <si>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</si>
  <si>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</si>
  <si>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</si>
  <si>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</si>
  <si>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</si>
  <si>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</si>
  <si>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</si>
  <si>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</si>
  <si>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</si>
  <si>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</si>
  <si>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</si>
  <si>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</si>
  <si>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</si>
  <si>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</si>
  <si>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</si>
  <si>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</si>
  <si>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</si>
  <si>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</si>
  <si>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</si>
  <si>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</si>
  <si>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</si>
  <si>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</si>
  <si>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</si>
  <si>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</si>
  <si>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</si>
  <si>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</si>
  <si>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</si>
  <si>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</si>
  <si>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</si>
  <si>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</si>
  <si>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</si>
  <si>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</si>
  <si>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</si>
  <si>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</si>
  <si>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</si>
  <si>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</si>
  <si>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</si>
  <si>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</si>
  <si>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</si>
  <si>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</si>
  <si>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</si>
  <si>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</si>
  <si>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</si>
  <si>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</si>
  <si>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</si>
  <si>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</si>
  <si>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</si>
  <si>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</si>
  <si>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</si>
  <si>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</si>
  <si>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</si>
  <si>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</si>
  <si>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</si>
  <si>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</si>
  <si>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</si>
  <si>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</si>
  <si>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</si>
  <si>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</si>
  <si>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</si>
  <si>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</si>
  <si>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</si>
  <si>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</si>
  <si>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</si>
  <si>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</si>
  <si>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</si>
  <si>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</si>
  <si>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</si>
  <si>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</si>
  <si>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</si>
  <si>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</si>
  <si>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</si>
  <si>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</si>
  <si>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</si>
  <si>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</si>
  <si>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</si>
  <si>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</si>
  <si>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</si>
  <si>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</si>
  <si>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</si>
  <si>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</si>
  <si>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</si>
  <si>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</si>
  <si>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</si>
  <si>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</si>
  <si>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</si>
  <si>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</si>
  <si>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</si>
  <si>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</si>
  <si>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</si>
  <si>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</si>
  <si>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</si>
  <si>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</si>
  <si>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</si>
  <si>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</si>
  <si>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</si>
  <si>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</si>
  <si>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</si>
  <si>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</si>
  <si>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</si>
  <si>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</si>
  <si>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</si>
  <si>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</si>
  <si>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</si>
  <si>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</si>
  <si>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</si>
  <si>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</si>
  <si>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</si>
  <si>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</si>
  <si>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</si>
  <si>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</si>
  <si>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</si>
  <si>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</si>
  <si>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</si>
  <si>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</si>
  <si>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</si>
  <si>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</si>
  <si>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</si>
  <si>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</si>
  <si>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</si>
  <si>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</si>
  <si>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</si>
  <si>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</si>
  <si>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</si>
  <si>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</si>
  <si>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</si>
  <si>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</si>
  <si>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</si>
  <si>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</si>
  <si>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</si>
  <si>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</si>
  <si>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</si>
  <si>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</si>
  <si>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</si>
  <si>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</si>
  <si>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</si>
  <si>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</si>
  <si>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</si>
  <si>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</si>
  <si>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</si>
  <si>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</si>
  <si>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</si>
  <si>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</si>
  <si>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</si>
  <si>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</si>
  <si>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</si>
  <si>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</si>
  <si>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</si>
  <si>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</si>
  <si>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</si>
  <si>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</si>
  <si>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</si>
  <si>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</si>
  <si>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</si>
  <si>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</si>
  <si>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</si>
  <si>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</si>
  <si>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</si>
  <si>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</si>
  <si>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</si>
  <si>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</si>
  <si>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</si>
  <si>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</si>
  <si>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</si>
  <si>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</si>
  <si>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</si>
  <si>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</si>
  <si>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</si>
  <si>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</si>
  <si>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</si>
  <si>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</si>
  <si>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</si>
  <si>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</si>
  <si>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</si>
  <si>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</si>
  <si>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</si>
  <si>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</si>
  <si>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</si>
  <si>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</si>
  <si>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</si>
  <si>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</si>
  <si>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</si>
  <si>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</si>
  <si>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</si>
  <si>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</si>
  <si>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</si>
  <si>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</si>
  <si>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</si>
  <si>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</si>
  <si>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</si>
  <si>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</si>
  <si>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</si>
  <si>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</si>
  <si>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</si>
  <si>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</si>
  <si>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</si>
  <si>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</si>
  <si>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</si>
  <si>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</si>
  <si>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</si>
  <si>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</si>
  <si>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</si>
  <si>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</si>
  <si>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</si>
  <si>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</si>
  <si>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</si>
  <si>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</si>
  <si>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</si>
  <si>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</si>
  <si>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</si>
  <si>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</si>
  <si>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</si>
  <si>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</si>
  <si>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</si>
  <si>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</si>
  <si>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</si>
  <si>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</si>
  <si>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</si>
  <si>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</si>
  <si>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</si>
  <si>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</si>
  <si>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</si>
  <si>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</si>
  <si>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</si>
  <si>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</si>
  <si>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</si>
  <si>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</si>
  <si>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</si>
  <si>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</si>
  <si>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</si>
  <si>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</si>
  <si>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</si>
  <si>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</si>
  <si>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</si>
  <si>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</si>
  <si>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</si>
  <si>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</si>
  <si>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</si>
  <si>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</si>
  <si>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</si>
  <si>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</si>
  <si>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</si>
  <si>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</si>
  <si>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</si>
  <si>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</si>
  <si>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</si>
  <si>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</si>
  <si>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</si>
  <si>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</si>
  <si>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</si>
  <si>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</si>
  <si>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</si>
  <si>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</si>
  <si>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</si>
  <si>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</si>
  <si>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</si>
  <si>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</si>
  <si>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</si>
  <si>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</si>
  <si>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</si>
  <si>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</si>
  <si>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</si>
  <si>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</si>
  <si>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</si>
  <si>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</si>
  <si>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</si>
  <si>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</si>
  <si>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</si>
  <si>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</si>
  <si>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</si>
  <si>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</si>
  <si>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</si>
  <si>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</si>
  <si>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</si>
  <si>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</si>
  <si>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</si>
  <si>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</si>
  <si>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</si>
  <si>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</si>
  <si>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</si>
  <si>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</si>
  <si>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</si>
  <si>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</si>
  <si>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</si>
  <si>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</si>
  <si>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</si>
  <si>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</si>
  <si>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</si>
  <si>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</si>
  <si>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</si>
  <si>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</si>
  <si>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</si>
  <si>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</si>
  <si>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</si>
  <si>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</si>
  <si>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</si>
  <si>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</si>
  <si>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</si>
  <si>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</si>
  <si>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</si>
  <si>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</si>
  <si>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</si>
  <si>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</si>
  <si>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</si>
  <si>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</si>
  <si>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</si>
  <si>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</si>
  <si>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</si>
  <si>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</si>
  <si>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</si>
  <si>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</si>
  <si>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</si>
  <si>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</si>
  <si>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</si>
  <si>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</si>
  <si>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</si>
  <si>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</si>
  <si>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</si>
  <si>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</si>
  <si>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</si>
  <si>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</si>
  <si>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</si>
  <si>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</si>
  <si>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</si>
  <si>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</si>
  <si>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</si>
  <si>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</si>
  <si>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</si>
  <si>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</si>
  <si>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</si>
  <si>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</si>
  <si>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</si>
  <si>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</si>
  <si>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</si>
  <si>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</si>
  <si>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</si>
  <si>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</si>
  <si>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</si>
  <si>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</si>
  <si>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</si>
  <si>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</si>
  <si>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</si>
  <si>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</si>
  <si>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</si>
  <si>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</si>
  <si>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</si>
  <si>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</si>
  <si>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</si>
  <si>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</si>
  <si>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</si>
  <si>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</si>
  <si>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</si>
  <si>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</si>
  <si>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</si>
  <si>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</si>
  <si>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</si>
  <si>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</si>
  <si>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</si>
  <si>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</si>
  <si>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</si>
  <si>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</si>
  <si>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</si>
  <si>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</si>
  <si>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</si>
  <si>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</si>
  <si>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</si>
  <si>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</si>
  <si>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</si>
  <si>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</si>
  <si>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</si>
  <si>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</si>
  <si>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</si>
  <si>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</si>
  <si>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</si>
  <si>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</si>
  <si>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</si>
  <si>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</si>
  <si>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</si>
  <si>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</si>
  <si>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</si>
  <si>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</si>
  <si>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</si>
  <si>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</si>
  <si>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</si>
  <si>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</si>
  <si>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</si>
  <si>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</si>
  <si>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</si>
  <si>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</si>
  <si>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</si>
  <si>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</si>
  <si>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</si>
  <si>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</si>
  <si>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</si>
  <si>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</si>
  <si>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</si>
  <si>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</si>
  <si>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</si>
  <si>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</si>
  <si>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</si>
  <si>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</si>
  <si>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</si>
  <si>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</si>
  <si>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</si>
  <si>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</si>
  <si>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</si>
  <si>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</si>
  <si>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</si>
  <si>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</si>
  <si>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</si>
  <si>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</si>
  <si>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</si>
  <si>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</si>
  <si>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</si>
  <si>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</si>
  <si>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</si>
  <si>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</si>
  <si>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</si>
  <si>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</si>
  <si>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</si>
  <si>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</si>
  <si>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</si>
  <si>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</si>
  <si>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</si>
  <si>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</si>
  <si>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</si>
  <si>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</si>
  <si>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</si>
  <si>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</si>
  <si>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</si>
  <si>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</si>
  <si>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</si>
  <si>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</si>
  <si>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</si>
  <si>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</si>
  <si>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</si>
  <si>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</si>
  <si>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</si>
  <si>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</si>
  <si>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</si>
  <si>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</si>
  <si>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</si>
  <si>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</si>
  <si>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</si>
  <si>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</si>
  <si>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</si>
  <si>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</si>
  <si>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</si>
  <si>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</si>
  <si>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</si>
  <si>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</si>
  <si>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</si>
  <si>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</si>
  <si>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</si>
  <si>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</si>
  <si>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</si>
  <si>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</si>
  <si>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</si>
  <si>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</si>
  <si>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</si>
  <si>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</si>
  <si>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</si>
  <si>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</si>
  <si>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</si>
  <si>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</si>
  <si>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</si>
  <si>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</si>
  <si>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</si>
  <si>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</si>
  <si>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</si>
  <si>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</si>
  <si>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</si>
  <si>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</si>
  <si>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</si>
  <si>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</si>
  <si>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</si>
  <si>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</si>
  <si>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</si>
  <si>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</si>
  <si>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</si>
  <si>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</si>
  <si>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</si>
  <si>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</si>
  <si>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</si>
  <si>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</si>
  <si>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</si>
  <si>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</si>
  <si>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</si>
  <si>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</si>
  <si>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</si>
  <si>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</si>
  <si>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</si>
  <si>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</si>
  <si>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</si>
  <si>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</si>
  <si>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</si>
  <si>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</si>
  <si>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</si>
  <si>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</si>
  <si>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</si>
  <si>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</si>
  <si>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</si>
  <si>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</si>
  <si>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</si>
  <si>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</si>
  <si>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</si>
  <si>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</si>
  <si>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</si>
  <si>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</si>
  <si>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</si>
  <si>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</si>
  <si>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</si>
  <si>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</si>
  <si>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</si>
  <si>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</si>
  <si>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</si>
  <si>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</si>
  <si>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</si>
  <si>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</si>
  <si>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</si>
  <si>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</si>
  <si>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</si>
  <si>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</si>
  <si>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</si>
  <si>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</si>
  <si>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</si>
  <si>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</si>
  <si>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</si>
  <si>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</si>
  <si>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</si>
  <si>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</si>
  <si>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</si>
  <si>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</si>
  <si>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</si>
  <si>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</si>
  <si>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</si>
  <si>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</si>
  <si>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</si>
  <si>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</si>
  <si>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</si>
  <si>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</si>
  <si>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</si>
  <si>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</si>
  <si>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</si>
  <si>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</si>
  <si>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</si>
  <si>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</si>
  <si>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</si>
  <si>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</si>
  <si>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</si>
  <si>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</si>
  <si>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</si>
  <si>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</si>
  <si>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</si>
  <si>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</si>
  <si>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</si>
  <si>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</si>
  <si>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</si>
  <si>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</si>
  <si>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</si>
  <si>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</si>
  <si>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</si>
  <si>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</si>
  <si>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</si>
  <si>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</si>
  <si>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</si>
  <si>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</si>
  <si>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</si>
  <si>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</si>
  <si>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</si>
  <si>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</si>
  <si>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</si>
  <si>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</si>
  <si>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</si>
  <si>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</si>
  <si>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</si>
  <si>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</si>
  <si>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</si>
  <si>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</si>
  <si>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</si>
  <si>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</si>
  <si>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</si>
  <si>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</si>
  <si>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</si>
  <si>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</si>
  <si>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</si>
  <si>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</si>
  <si>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</si>
  <si>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</si>
  <si>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</si>
  <si>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</si>
  <si>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</si>
  <si>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</si>
  <si>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</si>
  <si>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</si>
  <si>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</si>
  <si>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</si>
  <si>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</si>
  <si>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</si>
  <si>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</si>
  <si>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</si>
  <si>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</si>
  <si>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</si>
  <si>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</si>
  <si>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</si>
  <si>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</si>
  <si>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</si>
  <si>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</si>
  <si>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</si>
  <si>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</si>
  <si>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</si>
  <si>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</si>
  <si>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</si>
  <si>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</si>
  <si>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</si>
  <si>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</si>
  <si>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</si>
  <si>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</si>
  <si>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</si>
  <si>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</si>
  <si>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</si>
  <si>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</si>
  <si>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</si>
  <si>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</si>
  <si>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</si>
  <si>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</si>
  <si>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</si>
  <si>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</si>
  <si>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</si>
  <si>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</si>
  <si>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</si>
  <si>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</si>
  <si>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</si>
  <si>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</si>
  <si>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</si>
  <si>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</si>
  <si>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</si>
  <si>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</si>
  <si>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</si>
  <si>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</si>
  <si>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</si>
  <si>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</si>
  <si>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</si>
  <si>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</si>
  <si>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</si>
  <si>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</si>
  <si>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</si>
  <si>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</si>
  <si>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</si>
  <si>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</si>
  <si>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</si>
  <si>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</si>
  <si>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</si>
  <si>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</si>
  <si>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</si>
  <si>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</si>
  <si>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</si>
  <si>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</si>
  <si>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</si>
  <si>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</si>
  <si>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</si>
  <si>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</si>
  <si>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</si>
  <si>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</si>
  <si>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</si>
  <si>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</si>
  <si>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</si>
  <si>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</si>
  <si>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</si>
  <si>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</si>
  <si>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</si>
  <si>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</si>
  <si>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</si>
  <si>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</si>
  <si>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</si>
  <si>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</si>
  <si>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</si>
  <si>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</si>
  <si>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</si>
  <si>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</si>
  <si>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</si>
  <si>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</si>
  <si>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</si>
  <si>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</si>
  <si>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</si>
  <si>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</si>
  <si>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</si>
  <si>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</si>
  <si>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</si>
  <si>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</si>
  <si>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</si>
  <si>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</si>
  <si>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</si>
  <si>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</si>
  <si>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</si>
  <si>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</si>
  <si>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</si>
  <si>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</si>
  <si>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</si>
  <si>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</si>
  <si>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</si>
  <si>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</si>
  <si>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</si>
  <si>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</si>
  <si>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</si>
  <si>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</si>
  <si>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</si>
  <si>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</si>
  <si>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</si>
  <si>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</si>
  <si>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</si>
  <si>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</si>
  <si>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</si>
  <si>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</si>
  <si>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</si>
  <si>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</si>
  <si>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</si>
  <si>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</si>
  <si>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</si>
  <si>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</si>
  <si>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</si>
  <si>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</si>
  <si>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</si>
  <si>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</si>
  <si>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</si>
  <si>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</si>
  <si>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</si>
  <si>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</si>
  <si>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</si>
  <si>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</si>
  <si>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</si>
  <si>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</si>
  <si>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</si>
  <si>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</si>
  <si>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</si>
  <si>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</si>
  <si>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</si>
  <si>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</si>
  <si>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</si>
  <si>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</si>
  <si>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</si>
  <si>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</si>
  <si>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</si>
  <si>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</si>
  <si>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</si>
  <si>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</si>
  <si>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</si>
  <si>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</si>
  <si>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</si>
  <si>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</si>
  <si>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</si>
  <si>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</si>
  <si>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</si>
  <si>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</si>
  <si>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</si>
  <si>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</si>
  <si>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</si>
  <si>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</si>
  <si>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</si>
  <si>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</si>
  <si>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</si>
  <si>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</si>
  <si>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</si>
  <si>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</si>
  <si>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</si>
  <si>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</si>
  <si>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</si>
  <si>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</si>
  <si>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</si>
  <si>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</si>
  <si>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</si>
  <si>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</si>
  <si>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</si>
  <si>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</si>
  <si>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</si>
  <si>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</si>
  <si>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</si>
  <si>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</si>
  <si>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</si>
  <si>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</si>
  <si>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</si>
  <si>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</si>
  <si>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</si>
  <si>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</si>
  <si>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</si>
  <si>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</si>
  <si>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</si>
  <si>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</si>
  <si>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</si>
  <si>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</si>
  <si>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</si>
  <si>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</si>
  <si>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</si>
  <si>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</si>
  <si>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</si>
  <si>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</si>
  <si>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</si>
  <si>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</si>
  <si>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</si>
  <si>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</si>
  <si>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</si>
  <si>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</si>
  <si>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</si>
  <si>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</si>
  <si>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</si>
  <si>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</si>
  <si>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</si>
  <si>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</si>
  <si>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</si>
  <si>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</si>
  <si>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</si>
  <si>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</si>
  <si>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</si>
  <si>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</si>
  <si>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</si>
  <si>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</si>
  <si>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</si>
  <si>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</si>
  <si>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</si>
  <si>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</si>
  <si>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</si>
  <si>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</si>
  <si>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</si>
  <si>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</si>
  <si>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</si>
  <si>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</si>
  <si>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</si>
  <si>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</si>
  <si>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</si>
  <si>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</si>
  <si>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</si>
  <si>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</si>
  <si>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</si>
  <si>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</si>
  <si>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</si>
  <si>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</si>
  <si>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</si>
  <si>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</si>
  <si>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</si>
  <si>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</si>
  <si>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</si>
  <si>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</si>
  <si>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</si>
  <si>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</si>
  <si>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</si>
  <si>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</si>
  <si>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</si>
  <si>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</si>
  <si>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</si>
  <si>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</si>
  <si>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</si>
  <si>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</si>
  <si>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</si>
  <si>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</si>
  <si>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</si>
  <si>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</si>
  <si>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</si>
  <si>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</si>
  <si>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</si>
  <si>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</si>
  <si>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</si>
  <si>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</si>
  <si>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</si>
  <si>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</si>
  <si>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</si>
  <si>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</si>
  <si>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</si>
  <si>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</si>
  <si>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</si>
  <si>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</si>
  <si>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</si>
  <si>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</si>
  <si>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</si>
  <si>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</si>
  <si>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</si>
  <si>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</si>
  <si>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</si>
  <si>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</si>
  <si>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</si>
  <si>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</si>
  <si>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</si>
  <si>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</si>
  <si>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</si>
  <si>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</si>
  <si>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</si>
  <si>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</si>
  <si>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</si>
  <si>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</si>
  <si>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</si>
  <si>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</si>
  <si>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</si>
  <si>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</si>
  <si>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</si>
  <si>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</si>
  <si>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</si>
  <si>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</si>
  <si>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</si>
  <si>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</si>
  <si>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</si>
  <si>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</si>
  <si>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</si>
  <si>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</si>
  <si>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</si>
  <si>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</si>
  <si>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</si>
  <si>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</si>
  <si>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</si>
  <si>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</si>
  <si>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</si>
  <si>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</si>
  <si>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</si>
  <si>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</si>
  <si>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</si>
  <si>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</si>
  <si>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</si>
  <si>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</si>
  <si>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</si>
  <si>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</si>
  <si>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</si>
  <si>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</si>
  <si>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</si>
  <si>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</si>
  <si>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</si>
  <si>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</si>
  <si>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</si>
  <si>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</si>
  <si>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</si>
  <si>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</si>
  <si>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</si>
  <si>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</si>
  <si>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</si>
  <si>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</si>
  <si>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</si>
  <si>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</si>
  <si>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</si>
  <si>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</si>
  <si>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</si>
  <si>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</si>
  <si>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</si>
  <si>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</si>
  <si>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</si>
  <si>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</si>
  <si>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</si>
  <si>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</si>
  <si>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</si>
  <si>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</si>
  <si>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</si>
  <si>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</si>
  <si>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</si>
  <si>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</si>
  <si>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</si>
  <si>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</si>
  <si>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</si>
  <si>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</si>
  <si>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</si>
  <si>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</si>
  <si>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</si>
  <si>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</si>
  <si>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</si>
  <si>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</si>
  <si>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</si>
  <si>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</si>
  <si>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</si>
  <si>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</si>
  <si>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</si>
  <si>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</si>
  <si>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</si>
  <si>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</si>
  <si>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</si>
  <si>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</si>
  <si>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</si>
  <si>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</si>
  <si>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</si>
  <si>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</si>
  <si>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</si>
  <si>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</si>
  <si>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</si>
  <si>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</si>
  <si>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</si>
  <si>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</si>
  <si>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</si>
  <si>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</si>
  <si>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</si>
  <si>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</si>
  <si>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</si>
  <si>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</si>
  <si>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</si>
  <si>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</si>
  <si>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</si>
  <si>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</si>
  <si>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</si>
  <si>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</si>
  <si>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</si>
  <si>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</si>
  <si>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</si>
  <si>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</si>
  <si>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</si>
  <si>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</si>
  <si>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</si>
  <si>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</si>
  <si>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</si>
  <si>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</si>
  <si>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</si>
  <si>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</si>
  <si>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</si>
  <si>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</si>
  <si>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</si>
  <si>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</si>
  <si>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</si>
  <si>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</si>
  <si>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</si>
  <si>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</si>
  <si>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</si>
  <si>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</si>
  <si>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</si>
  <si>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</si>
  <si>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</si>
  <si>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</si>
  <si>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</si>
  <si>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</si>
  <si>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</si>
  <si>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</si>
  <si>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</si>
  <si>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</si>
  <si>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</si>
  <si>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</si>
  <si>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</si>
  <si>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</si>
  <si>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</si>
  <si>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</si>
  <si>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</si>
  <si>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</si>
  <si>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</si>
  <si>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</si>
  <si>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</si>
  <si>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</si>
  <si>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</si>
  <si>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</si>
  <si>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</si>
  <si>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</si>
  <si>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</si>
  <si>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</si>
  <si>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</si>
  <si>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</si>
  <si>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</si>
  <si>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</si>
  <si>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</si>
  <si>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</si>
  <si>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</si>
  <si>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</si>
  <si>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</si>
  <si>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</si>
  <si>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</si>
  <si>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</si>
  <si>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</si>
  <si>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</si>
  <si>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</si>
  <si>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</si>
  <si>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</si>
  <si>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</si>
  <si>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</si>
  <si>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</si>
  <si>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</si>
  <si>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</si>
  <si>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</si>
  <si>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</si>
  <si>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</si>
  <si>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</si>
  <si>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</si>
  <si>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</si>
  <si>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</si>
  <si>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</si>
  <si>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</si>
  <si>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</si>
  <si>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</si>
  <si>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</si>
  <si>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</si>
  <si>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</si>
  <si>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</si>
  <si>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</si>
  <si>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</si>
  <si>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</si>
  <si>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</si>
  <si>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</si>
  <si>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</si>
  <si>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</si>
  <si>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</si>
  <si>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</si>
  <si>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</si>
  <si>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</si>
  <si>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</si>
  <si>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</si>
  <si>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</si>
  <si>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</si>
  <si>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</si>
  <si>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</si>
  <si>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</si>
  <si>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</si>
  <si>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</si>
  <si>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</si>
  <si>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</si>
  <si>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</si>
  <si>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</si>
  <si>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</si>
  <si>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</si>
  <si>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</si>
  <si>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</si>
  <si>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</si>
  <si>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</si>
  <si>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</si>
  <si>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</si>
  <si>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</si>
  <si>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</si>
  <si>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</si>
  <si>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</si>
  <si>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</si>
  <si>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</si>
  <si>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</si>
  <si>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</si>
  <si>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</si>
  <si>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</si>
  <si>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</si>
  <si>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</si>
  <si>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</si>
  <si>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</si>
  <si>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</si>
  <si>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</si>
  <si>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</si>
  <si>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</si>
  <si>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</si>
  <si>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</si>
  <si>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</si>
  <si>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</si>
  <si>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</si>
  <si>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</si>
  <si>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</si>
  <si>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</si>
  <si>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</si>
  <si>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</si>
  <si>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</si>
  <si>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</si>
  <si>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</si>
  <si>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</si>
  <si>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</si>
  <si>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</si>
  <si>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</si>
  <si>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</si>
  <si>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</si>
  <si>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</si>
  <si>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</si>
  <si>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</si>
  <si>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</si>
  <si>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</si>
  <si>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</si>
  <si>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</si>
  <si>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</si>
  <si>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</si>
  <si>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</si>
  <si>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</si>
  <si>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</si>
  <si>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</si>
  <si>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</si>
  <si>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</si>
  <si>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</si>
  <si>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</si>
  <si>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</si>
  <si>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</si>
  <si>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</si>
  <si>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</si>
  <si>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</si>
  <si>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</si>
  <si>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</si>
  <si>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</si>
  <si>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</si>
  <si>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</si>
  <si>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</si>
  <si>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</si>
  <si>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</si>
  <si>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</si>
  <si>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</si>
  <si>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</si>
  <si>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</si>
  <si>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</si>
  <si>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</si>
  <si>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</si>
  <si>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</si>
  <si>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</si>
  <si>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</si>
  <si>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</si>
  <si>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</si>
  <si>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</si>
  <si>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</si>
  <si>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</si>
  <si>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</si>
  <si>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</si>
  <si>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</si>
  <si>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</si>
  <si>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</si>
  <si>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</si>
  <si>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</si>
  <si>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</si>
  <si>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</si>
  <si>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</si>
  <si>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</si>
  <si>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</si>
  <si>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</si>
  <si>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</si>
  <si>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</si>
  <si>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</si>
  <si>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</si>
  <si>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</si>
  <si>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</si>
  <si>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</si>
  <si>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</si>
  <si>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</si>
  <si>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</si>
  <si>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</si>
  <si>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</si>
  <si>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</si>
  <si>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</si>
  <si>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</si>
  <si>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</si>
  <si>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</si>
  <si>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</si>
  <si>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</si>
  <si>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</si>
  <si>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</si>
  <si>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</si>
  <si>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</si>
  <si>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</si>
  <si>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</si>
  <si>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</si>
  <si>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</si>
  <si>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</si>
  <si>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</si>
  <si>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</si>
  <si>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</si>
  <si>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</si>
  <si>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</si>
  <si>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</si>
  <si>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</si>
  <si>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</si>
  <si>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</si>
  <si>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</si>
  <si>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</si>
  <si>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</si>
  <si>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</si>
  <si>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</si>
  <si>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</si>
  <si>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</si>
  <si>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</si>
  <si>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</si>
  <si>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</si>
  <si>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</si>
  <si>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</si>
  <si>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</si>
  <si>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</si>
  <si>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</si>
  <si>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</si>
  <si>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</si>
  <si>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</si>
  <si>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</si>
  <si>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</si>
  <si>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</si>
  <si>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</si>
  <si>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</si>
  <si>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</si>
  <si>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</si>
  <si>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</si>
  <si>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</si>
  <si>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</si>
  <si>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</si>
  <si>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</si>
  <si>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</si>
  <si>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</si>
  <si>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</si>
  <si>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</si>
  <si>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</si>
  <si>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</si>
  <si>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</si>
  <si>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</si>
  <si>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</si>
  <si>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</si>
  <si>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</si>
  <si>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</si>
  <si>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</si>
  <si>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</si>
  <si>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</si>
  <si>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</si>
  <si>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</si>
  <si>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</si>
  <si>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</si>
  <si>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</si>
  <si>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</si>
  <si>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</si>
  <si>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</si>
  <si>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</si>
  <si>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</si>
  <si>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</si>
  <si>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</si>
  <si>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</si>
  <si>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</si>
  <si>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</si>
  <si>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</si>
  <si>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</si>
  <si>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</si>
  <si>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</si>
  <si>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</si>
  <si>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</si>
  <si>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</si>
  <si>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</si>
  <si>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</si>
  <si>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</si>
  <si>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</si>
  <si>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</si>
  <si>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</si>
  <si>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</si>
  <si>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</si>
  <si>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</si>
  <si>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</si>
  <si>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</si>
  <si>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</si>
  <si>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</si>
  <si>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</si>
  <si>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</si>
  <si>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</si>
  <si>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</si>
  <si>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</si>
  <si>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</si>
  <si>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</si>
  <si>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</si>
  <si>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</si>
  <si>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</si>
  <si>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</si>
  <si>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</si>
  <si>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</si>
  <si>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</si>
  <si>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</si>
  <si>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</si>
  <si>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</si>
  <si>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</si>
  <si>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</si>
  <si>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</si>
  <si>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</si>
  <si>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</si>
  <si>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</si>
  <si>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</si>
  <si>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</si>
  <si>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</si>
  <si>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</si>
  <si>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</si>
  <si>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</si>
  <si>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</si>
  <si>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</si>
  <si>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</si>
  <si>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</si>
  <si>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</si>
  <si>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</si>
  <si>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</si>
  <si>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</si>
  <si>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</si>
  <si>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</si>
  <si>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</si>
  <si>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</si>
  <si>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</si>
  <si>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</si>
  <si>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</si>
  <si>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</si>
  <si>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</si>
  <si>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</si>
  <si>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</si>
  <si>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</si>
  <si>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</si>
  <si>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</si>
  <si>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</si>
  <si>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</si>
  <si>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</si>
  <si>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</si>
  <si>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</si>
  <si>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</si>
  <si>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</si>
  <si>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</si>
  <si>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</si>
  <si>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</si>
  <si>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</si>
  <si>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</si>
  <si>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</si>
  <si>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</si>
  <si>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</si>
  <si>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</si>
  <si>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</si>
  <si>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</si>
  <si>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</si>
  <si>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</si>
  <si>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</si>
  <si>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</si>
  <si>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</si>
  <si>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</si>
  <si>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</si>
  <si>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</si>
  <si>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</si>
  <si>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</si>
  <si>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</si>
  <si>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</si>
  <si>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</si>
  <si>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</si>
  <si>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</si>
  <si>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</si>
  <si>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</si>
  <si>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</si>
  <si>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</si>
  <si>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</si>
  <si>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</si>
  <si>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</si>
  <si>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</si>
  <si>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</si>
  <si>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</si>
  <si>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</si>
  <si>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</si>
  <si>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</si>
  <si>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</si>
  <si>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</si>
  <si>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</si>
  <si>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</si>
  <si>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</si>
  <si>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</si>
  <si>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</si>
  <si>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</si>
  <si>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</si>
  <si>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</si>
  <si>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</si>
  <si>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</si>
  <si>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</si>
  <si>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</si>
  <si>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</si>
  <si>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</si>
  <si>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</si>
  <si>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</si>
  <si>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</si>
  <si>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</si>
  <si>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</si>
  <si>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</si>
  <si>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</si>
  <si>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</si>
  <si>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</si>
  <si>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</si>
  <si>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</si>
  <si>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</si>
  <si>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</si>
  <si>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</si>
  <si>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</si>
  <si>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</si>
  <si>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</si>
  <si>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</si>
  <si>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</si>
  <si>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</si>
  <si>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</si>
  <si>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</si>
  <si>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</si>
  <si>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</si>
  <si>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</si>
  <si>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</si>
  <si>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</si>
  <si>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</si>
  <si>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</si>
  <si>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</si>
  <si>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</si>
  <si>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</si>
  <si>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</si>
  <si>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</si>
  <si>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</si>
  <si>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</si>
  <si>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</si>
  <si>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</si>
  <si>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</si>
  <si>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</si>
  <si>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</si>
  <si>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</si>
  <si>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</si>
  <si>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</si>
  <si>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</si>
  <si>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</si>
  <si>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</si>
  <si>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</si>
  <si>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</si>
  <si>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</si>
  <si>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</si>
  <si>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</si>
  <si>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</si>
  <si>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</si>
  <si>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</si>
  <si>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</si>
  <si>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</si>
  <si>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</si>
  <si>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</si>
  <si>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</si>
  <si>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</si>
  <si>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</si>
  <si>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</si>
  <si>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</si>
  <si>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</si>
  <si>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</si>
  <si>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</si>
  <si>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</si>
  <si>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</si>
  <si>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</si>
  <si>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</si>
  <si>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</si>
  <si>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</si>
  <si>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</si>
  <si>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</si>
  <si>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</si>
  <si>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</si>
  <si>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</si>
  <si>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</si>
  <si>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</si>
  <si>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</si>
  <si>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</si>
  <si>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</si>
  <si>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</si>
  <si>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</si>
  <si>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</si>
  <si>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</si>
  <si>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</si>
  <si>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</si>
  <si>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</si>
  <si>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</si>
  <si>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</si>
  <si>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</si>
  <si>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</si>
  <si>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</si>
  <si>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</si>
  <si>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</si>
  <si>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</si>
  <si>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</si>
  <si>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</si>
  <si>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</si>
  <si>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</si>
  <si>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</si>
  <si>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</si>
  <si>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</si>
  <si>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</si>
  <si>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</si>
  <si>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</si>
  <si>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</si>
  <si>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</si>
  <si>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</si>
  <si>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</si>
  <si>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</si>
  <si>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</si>
  <si>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</si>
  <si>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</si>
  <si>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</si>
  <si>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</si>
  <si>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</si>
  <si>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</si>
  <si>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</si>
  <si>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</si>
  <si>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</si>
  <si>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</si>
  <si>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</si>
  <si>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</si>
  <si>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</si>
  <si>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</si>
  <si>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</si>
  <si>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</si>
  <si>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</si>
  <si>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</si>
  <si>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</si>
  <si>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</si>
  <si>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</si>
  <si>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</si>
  <si>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</si>
  <si>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</si>
  <si>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</si>
  <si>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</si>
  <si>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</si>
  <si>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</si>
  <si>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</si>
  <si>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</si>
  <si>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</si>
  <si>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</si>
  <si>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</si>
  <si>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</si>
  <si>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</si>
  <si>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</si>
  <si>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</si>
  <si>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</si>
  <si>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</si>
  <si>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</si>
  <si>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</si>
  <si>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</si>
  <si>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</si>
  <si>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</si>
  <si>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</si>
  <si>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</si>
  <si>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</si>
  <si>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</si>
  <si>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</si>
  <si>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</si>
  <si>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</si>
  <si>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</si>
  <si>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</si>
  <si>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</si>
  <si>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</si>
  <si>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</si>
  <si>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</si>
  <si>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</si>
  <si>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</si>
  <si>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</si>
  <si>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</si>
  <si>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</si>
  <si>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</si>
  <si>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</si>
  <si>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</si>
  <si>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</si>
  <si>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</si>
  <si>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</si>
  <si>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</si>
  <si>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</si>
  <si>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</si>
  <si>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</si>
  <si>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</si>
  <si>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</si>
  <si>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</si>
  <si>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</si>
  <si>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</si>
  <si>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</si>
  <si>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</si>
  <si>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</si>
  <si>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</si>
  <si>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</si>
  <si>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</si>
  <si>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</si>
  <si>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</si>
  <si>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</si>
  <si>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</si>
  <si>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</si>
  <si>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</si>
  <si>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</si>
  <si>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</si>
  <si>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</si>
  <si>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</si>
  <si>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</si>
  <si>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</si>
  <si>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</si>
  <si>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</si>
  <si>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</si>
  <si>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</si>
  <si>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</si>
  <si>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</si>
  <si>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</si>
  <si>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</si>
  <si>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</si>
  <si>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</si>
  <si>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</si>
  <si>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</si>
  <si>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</si>
  <si>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</si>
  <si>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</si>
  <si>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</si>
  <si>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</si>
  <si>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</si>
  <si>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</si>
  <si>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</si>
  <si>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</si>
  <si>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</si>
  <si>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</si>
  <si>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</si>
  <si>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</si>
  <si>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</si>
  <si>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</si>
  <si>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</si>
  <si>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</si>
  <si>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</si>
  <si>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</si>
  <si>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</si>
  <si>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</si>
  <si>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</si>
  <si>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</si>
  <si>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</si>
  <si>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</si>
  <si>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</si>
  <si>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</si>
  <si>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</si>
  <si>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</si>
  <si>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</si>
  <si>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</si>
  <si>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</si>
  <si>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</si>
  <si>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</si>
  <si>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</si>
  <si>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</si>
  <si>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</si>
  <si>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</si>
  <si>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</si>
  <si>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</si>
  <si>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</si>
  <si>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</si>
  <si>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</si>
  <si>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</si>
  <si>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</si>
  <si>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</si>
  <si>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</si>
  <si>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</si>
  <si>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</si>
  <si>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</si>
  <si>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</si>
  <si>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</si>
  <si>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</si>
  <si>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</si>
  <si>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</si>
  <si>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</si>
  <si>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</si>
  <si>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</si>
  <si>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</si>
  <si>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</si>
  <si>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</si>
  <si>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</si>
  <si>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</si>
  <si>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</si>
  <si>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</si>
  <si>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</si>
  <si>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</si>
  <si>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</si>
  <si>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</si>
  <si>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</si>
  <si>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</si>
  <si>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</si>
  <si>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</si>
  <si>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</si>
  <si>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</si>
  <si>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</si>
  <si>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</si>
  <si>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</si>
  <si>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</si>
  <si>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</si>
  <si>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</si>
  <si>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</si>
  <si>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</si>
  <si>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</si>
  <si>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</si>
  <si>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</si>
  <si>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</si>
  <si>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</si>
  <si>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</si>
  <si>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</si>
  <si>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</si>
  <si>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</si>
  <si>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</si>
  <si>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</si>
  <si>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</si>
  <si>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</si>
  <si>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</si>
  <si>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</si>
  <si>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</si>
  <si>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</si>
  <si>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</si>
  <si>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</si>
  <si>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</si>
  <si>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</si>
  <si>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</si>
  <si>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</si>
  <si>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</si>
  <si>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</si>
  <si>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</si>
  <si>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</si>
  <si>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</si>
  <si>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</si>
  <si>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</si>
  <si>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</si>
  <si>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</si>
  <si>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</si>
  <si>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</si>
  <si>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</si>
  <si>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</si>
  <si>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</si>
  <si>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</si>
  <si>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</si>
  <si>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</si>
  <si>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</si>
  <si>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</si>
  <si>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</si>
  <si>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</si>
  <si>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</si>
  <si>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</si>
  <si>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</si>
  <si>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</si>
  <si>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</si>
  <si>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</si>
  <si>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</si>
  <si>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</si>
  <si>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</si>
  <si>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</si>
  <si>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</si>
  <si>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</si>
  <si>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</si>
  <si>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</si>
  <si>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</si>
  <si>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</si>
  <si>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</si>
  <si>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</si>
  <si>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</si>
  <si>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</si>
  <si>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</si>
  <si>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</si>
  <si>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</si>
  <si>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</si>
  <si>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</si>
  <si>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</si>
  <si>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</si>
  <si>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</si>
  <si>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</si>
  <si>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</si>
  <si>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</si>
  <si>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</si>
  <si>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</si>
  <si>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</si>
  <si>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</si>
  <si>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</si>
  <si>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</si>
  <si>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</si>
  <si>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</si>
  <si>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</si>
  <si>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</si>
  <si>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</si>
  <si>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</si>
  <si>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</si>
  <si>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</si>
  <si>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</si>
  <si>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</si>
  <si>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</si>
  <si>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</si>
  <si>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</si>
  <si>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</si>
  <si>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</si>
  <si>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</si>
  <si>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</si>
  <si>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</si>
  <si>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</si>
  <si>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</si>
  <si>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</si>
  <si>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</si>
  <si>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</si>
  <si>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</si>
  <si>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</si>
  <si>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</si>
  <si>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</si>
  <si>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</si>
  <si>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</si>
  <si>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</si>
  <si>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</si>
  <si>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</si>
  <si>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</si>
  <si>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</si>
  <si>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</si>
  <si>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</si>
  <si>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</si>
  <si>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</si>
  <si>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</si>
  <si>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</si>
  <si>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</si>
  <si>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</si>
  <si>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</si>
  <si>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</si>
  <si>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</si>
  <si>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</si>
  <si>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</si>
  <si>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</si>
  <si>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</si>
  <si>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</si>
  <si>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</si>
  <si>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</si>
  <si>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</si>
  <si>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</si>
  <si>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</si>
  <si>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</si>
  <si>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</si>
  <si>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</si>
  <si>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</si>
  <si>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</si>
  <si>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</si>
  <si>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</si>
  <si>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</si>
  <si>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</si>
  <si>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</si>
  <si>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</si>
  <si>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</si>
  <si>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</si>
  <si>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</si>
  <si>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</si>
  <si>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</si>
  <si>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</si>
  <si>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</si>
  <si>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</si>
  <si>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</si>
  <si>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</si>
  <si>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</si>
  <si>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</si>
  <si>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</si>
  <si>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</si>
  <si>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</si>
  <si>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</si>
  <si>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</si>
  <si>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</si>
  <si>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</si>
  <si>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</si>
  <si>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</si>
  <si>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</si>
  <si>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</si>
  <si>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</si>
  <si>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</si>
  <si>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</si>
  <si>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</si>
  <si>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</si>
  <si>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</si>
  <si>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</si>
  <si>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</si>
  <si>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</si>
  <si>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</si>
  <si>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</si>
  <si>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</si>
  <si>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</si>
  <si>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</si>
  <si>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</si>
  <si>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</si>
  <si>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</si>
  <si>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</si>
  <si>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</si>
  <si>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</si>
  <si>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</si>
  <si>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</si>
  <si>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</si>
  <si>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</si>
  <si>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</si>
  <si>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</si>
  <si>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</si>
  <si>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</si>
  <si>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</si>
  <si>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</si>
  <si>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</si>
  <si>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</si>
  <si>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</si>
  <si>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</si>
  <si>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</si>
  <si>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</si>
  <si>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</si>
  <si>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</si>
  <si>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</si>
  <si>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</si>
  <si>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</si>
  <si>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</si>
  <si>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</si>
  <si>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</si>
  <si>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</si>
  <si>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</si>
  <si>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</si>
  <si>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</si>
  <si>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</si>
  <si>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</si>
  <si>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</si>
  <si>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</si>
  <si>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</si>
  <si>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</si>
  <si>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</si>
  <si>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</si>
  <si>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</si>
  <si>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</si>
  <si>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</si>
  <si>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</si>
  <si>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</si>
  <si>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</si>
  <si>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</si>
  <si>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</si>
  <si>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</si>
  <si>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</si>
  <si>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</si>
  <si>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</si>
  <si>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</si>
  <si>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</si>
  <si>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</si>
  <si>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</si>
  <si>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</si>
  <si>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</si>
  <si>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</si>
  <si>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</si>
  <si>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</si>
  <si>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</si>
  <si>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</si>
  <si>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</si>
  <si>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</si>
  <si>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</si>
  <si>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</si>
  <si>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</si>
  <si>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</si>
  <si>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</si>
  <si>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</si>
  <si>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</si>
  <si>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</si>
  <si>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</si>
  <si>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</si>
  <si>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</si>
  <si>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</si>
  <si>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</si>
  <si>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</si>
  <si>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</si>
  <si>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</si>
  <si>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</si>
  <si>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</si>
  <si>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</si>
  <si>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</si>
  <si>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</si>
  <si>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</si>
  <si>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</si>
  <si>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</si>
  <si>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</si>
  <si>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</si>
  <si>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</si>
  <si>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</si>
  <si>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</si>
  <si>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</si>
  <si>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</si>
  <si>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</si>
  <si>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</si>
  <si>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</si>
  <si>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</si>
  <si>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</si>
  <si>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</si>
  <si>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</si>
  <si>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</si>
  <si>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</si>
  <si>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</si>
  <si>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</si>
  <si>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</si>
  <si>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</si>
  <si>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</si>
  <si>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</si>
  <si>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</si>
  <si>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</si>
  <si>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</si>
  <si>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</si>
  <si>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</si>
  <si>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</si>
  <si>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</si>
  <si>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</si>
  <si>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</si>
  <si>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</si>
  <si>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</si>
  <si>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</si>
  <si>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</si>
  <si>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</si>
  <si>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</si>
  <si>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</si>
  <si>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</si>
  <si>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</si>
  <si>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</si>
  <si>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</si>
  <si>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</si>
  <si>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</si>
  <si>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</si>
  <si>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</si>
  <si>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</si>
  <si>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</si>
  <si>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</si>
  <si>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</si>
  <si>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</si>
  <si>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</si>
  <si>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</si>
  <si>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</si>
  <si>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</si>
  <si>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</si>
  <si>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</si>
  <si>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</si>
  <si>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</si>
  <si>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</si>
  <si>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</si>
  <si>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</si>
  <si>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</si>
  <si>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</si>
  <si>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</si>
  <si>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</si>
  <si>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</si>
  <si>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</si>
  <si>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</si>
  <si>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</si>
  <si>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</si>
  <si>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</si>
  <si>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</si>
  <si>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</si>
  <si>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</si>
  <si>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</si>
  <si>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</si>
  <si>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</si>
  <si>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</si>
  <si>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</si>
  <si>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</si>
  <si>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</si>
  <si>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</si>
  <si>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</si>
  <si>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</si>
  <si>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</si>
  <si>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</si>
  <si>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</si>
  <si>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</si>
  <si>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</si>
  <si>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</si>
  <si>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</si>
  <si>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</si>
  <si>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</si>
  <si>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</si>
  <si>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</si>
  <si>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</si>
  <si>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</si>
  <si>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</si>
  <si>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</si>
  <si>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</si>
  <si>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</si>
  <si>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</si>
  <si>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</si>
  <si>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</si>
  <si>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</si>
  <si>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</si>
  <si>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</si>
  <si>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</si>
  <si>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</si>
  <si>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</si>
  <si>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</si>
  <si>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</si>
  <si>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</si>
  <si>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</si>
  <si>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</si>
  <si>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</si>
  <si>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</si>
  <si>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</si>
  <si>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</si>
  <si>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</si>
  <si>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</si>
  <si>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</si>
  <si>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</si>
  <si>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</si>
  <si>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</si>
  <si>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</si>
  <si>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</si>
  <si>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</si>
  <si>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</si>
  <si>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</si>
  <si>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</si>
  <si>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</si>
  <si>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</si>
  <si>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</si>
  <si>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</si>
  <si>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</si>
  <si>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</si>
  <si>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</si>
  <si>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</si>
  <si>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</si>
  <si>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</si>
  <si>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</si>
  <si>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</si>
  <si>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</si>
  <si>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</si>
  <si>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</si>
  <si>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</si>
  <si>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</si>
  <si>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</si>
  <si>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</si>
  <si>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</si>
  <si>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</si>
  <si>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</si>
  <si>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</si>
  <si>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</si>
  <si>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</si>
  <si>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</si>
  <si>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</si>
  <si>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</si>
  <si>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</si>
  <si>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</si>
  <si>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</si>
  <si>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</si>
  <si>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</si>
  <si>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</si>
  <si>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</si>
  <si>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</si>
  <si>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</si>
  <si>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</si>
  <si>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</si>
  <si>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</si>
  <si>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</si>
  <si>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</si>
  <si>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</si>
  <si>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</si>
  <si>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</si>
  <si>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</si>
  <si>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</si>
  <si>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</si>
  <si>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</si>
  <si>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</si>
  <si>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</si>
  <si>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</si>
  <si>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</si>
  <si>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</si>
  <si>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</si>
  <si>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</si>
  <si>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</si>
  <si>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</si>
  <si>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</si>
  <si>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</si>
  <si>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</si>
  <si>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</si>
  <si>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</si>
  <si>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</si>
  <si>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</si>
  <si>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</si>
  <si>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</si>
  <si>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</si>
  <si>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</si>
  <si>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</si>
  <si>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</si>
  <si>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</si>
  <si>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</si>
  <si>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</si>
  <si>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</si>
  <si>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</si>
  <si>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</si>
  <si>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</si>
  <si>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</si>
  <si>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</si>
  <si>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</si>
  <si>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</si>
  <si>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</si>
  <si>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</si>
  <si>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</si>
  <si>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</si>
  <si>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</si>
  <si>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</si>
  <si>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</si>
  <si>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</si>
  <si>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</si>
  <si>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</si>
  <si>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</si>
  <si>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</si>
  <si>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</si>
  <si>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</si>
  <si>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</si>
  <si>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</si>
  <si>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</si>
  <si>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</si>
  <si>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</si>
  <si>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</si>
  <si>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</si>
  <si>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</si>
  <si>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</si>
  <si>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</si>
  <si>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</si>
  <si>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</si>
  <si>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</si>
  <si>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</si>
  <si>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</si>
  <si>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</si>
  <si>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</si>
  <si>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</si>
  <si>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</si>
  <si>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</si>
  <si>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</si>
  <si>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</si>
  <si>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</si>
  <si>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</si>
  <si>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</si>
  <si>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</si>
  <si>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</si>
  <si>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</si>
  <si>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</si>
  <si>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</si>
  <si>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</si>
  <si>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</si>
  <si>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</si>
  <si>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</si>
  <si>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</si>
  <si>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</si>
  <si>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</si>
  <si>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</si>
  <si>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</si>
  <si>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</si>
  <si>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</si>
  <si>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</si>
  <si>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</si>
  <si>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</si>
  <si>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</si>
  <si>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</si>
  <si>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</si>
  <si>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</si>
  <si>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</si>
  <si>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</si>
  <si>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</si>
  <si>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</si>
  <si>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</si>
  <si>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</si>
  <si>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</si>
  <si>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</si>
  <si>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</si>
  <si>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</si>
  <si>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</si>
  <si>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</si>
  <si>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</si>
  <si>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</si>
  <si>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</si>
  <si>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</si>
  <si>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</si>
  <si>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</si>
  <si>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</si>
  <si>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</si>
  <si>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</si>
  <si>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</si>
  <si>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</si>
  <si>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</si>
  <si>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</si>
  <si>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</si>
  <si>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</si>
  <si>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</si>
  <si>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</si>
  <si>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</si>
  <si>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</si>
  <si>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</si>
  <si>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</si>
  <si>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</si>
  <si>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</si>
  <si>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</si>
  <si>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</si>
  <si>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</si>
  <si>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</si>
  <si>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</si>
  <si>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</si>
  <si>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</si>
  <si>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</si>
  <si>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</si>
  <si>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</si>
  <si>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</si>
  <si>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</si>
  <si>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</si>
  <si>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</si>
  <si>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</si>
  <si>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</si>
  <si>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</si>
  <si>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</si>
  <si>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</si>
  <si>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</si>
  <si>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</si>
  <si>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</si>
  <si>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</si>
  <si>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</si>
  <si>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</si>
  <si>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</si>
  <si>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</si>
  <si>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</si>
  <si>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</si>
  <si>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</si>
  <si>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</si>
  <si>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</si>
  <si>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</si>
  <si>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</si>
  <si>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</si>
  <si>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</si>
  <si>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</si>
  <si>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</si>
  <si>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</si>
  <si>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</si>
  <si>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</si>
  <si>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</si>
  <si>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</si>
  <si>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</si>
  <si>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</si>
  <si>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</si>
  <si>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</si>
  <si>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</si>
  <si>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</si>
  <si>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</si>
  <si>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</si>
  <si>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</si>
  <si>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</si>
  <si>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</si>
  <si>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</si>
  <si>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</si>
  <si>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</si>
  <si>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</si>
  <si>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</si>
  <si>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</si>
  <si>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</si>
  <si>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</si>
  <si>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</si>
  <si>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</si>
  <si>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</si>
  <si>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</si>
  <si>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</si>
  <si>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</si>
  <si>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</si>
  <si>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</si>
  <si>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</si>
  <si>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</si>
  <si>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</si>
  <si>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</si>
  <si>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</si>
  <si>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</si>
  <si>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</si>
  <si>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</si>
  <si>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</si>
  <si>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</si>
  <si>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</si>
  <si>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</si>
  <si>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</si>
  <si>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</si>
  <si>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</si>
  <si>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</si>
  <si>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</si>
  <si>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</si>
  <si>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</si>
  <si>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</si>
  <si>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</si>
  <si>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</si>
  <si>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</si>
  <si>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</si>
  <si>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</si>
  <si>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</si>
  <si>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</si>
  <si>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</si>
  <si>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</si>
  <si>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</si>
  <si>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</si>
  <si>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</si>
  <si>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</si>
  <si>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</si>
  <si>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</si>
  <si>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</si>
  <si>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</si>
  <si>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</si>
  <si>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</si>
  <si>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</si>
  <si>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</si>
  <si>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</si>
  <si>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</si>
  <si>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</si>
  <si>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</si>
  <si>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</si>
  <si>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</si>
  <si>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</si>
  <si>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</si>
  <si>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</si>
  <si>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</si>
  <si>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</si>
  <si>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</si>
  <si>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</si>
  <si>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</si>
  <si>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</si>
  <si>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</si>
  <si>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</si>
  <si>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</si>
  <si>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</si>
  <si>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</si>
  <si>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</si>
  <si>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</si>
  <si>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</si>
  <si>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</si>
  <si>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</si>
  <si>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</si>
  <si>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</si>
  <si>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</si>
  <si>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</si>
  <si>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</si>
  <si>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</si>
  <si>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</si>
  <si>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</si>
  <si>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</si>
  <si>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</si>
  <si>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</si>
  <si>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</si>
  <si>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</si>
  <si>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</si>
  <si>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</si>
  <si>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</si>
  <si>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</si>
  <si>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</si>
  <si>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</si>
  <si>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</si>
  <si>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</si>
  <si>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</si>
  <si>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</si>
  <si>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</si>
  <si>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</si>
  <si>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</si>
  <si>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</si>
  <si>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</si>
  <si>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</si>
  <si>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</si>
  <si>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</si>
  <si>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</si>
  <si>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</si>
  <si>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</si>
  <si>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</si>
  <si>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</si>
  <si>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</si>
  <si>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</si>
  <si>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</si>
  <si>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</si>
  <si>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</si>
  <si>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</si>
  <si>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</si>
  <si>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</si>
  <si>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</si>
  <si>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</si>
  <si>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</si>
  <si>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</si>
  <si>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</si>
  <si>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</si>
  <si>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</si>
  <si>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</si>
  <si>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</si>
  <si>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</si>
  <si>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</si>
  <si>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</si>
  <si>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</si>
  <si>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</si>
  <si>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</si>
  <si>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</si>
  <si>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</si>
  <si>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</si>
  <si>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</si>
  <si>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</si>
  <si>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</si>
  <si>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</si>
  <si>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</si>
  <si>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</si>
  <si>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</si>
  <si>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</si>
  <si>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</si>
  <si>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</si>
  <si>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</si>
  <si>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</si>
  <si>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</si>
  <si>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</si>
  <si>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</si>
  <si>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</si>
  <si>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</si>
  <si>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</si>
  <si>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</si>
  <si>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</si>
  <si>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</si>
  <si>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</si>
  <si>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</si>
  <si>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</si>
  <si>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</si>
  <si>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</si>
  <si>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</si>
  <si>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</si>
  <si>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</si>
  <si>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</si>
  <si>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</si>
  <si>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</si>
  <si>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</si>
  <si>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</si>
  <si>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</si>
  <si>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</si>
  <si>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</si>
  <si>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</si>
  <si>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</si>
  <si>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</si>
  <si>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</si>
  <si>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</si>
  <si>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</si>
  <si>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</si>
  <si>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</si>
  <si>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</si>
  <si>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</si>
  <si>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</si>
  <si>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</si>
  <si>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</si>
  <si>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</si>
  <si>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</si>
  <si>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</si>
  <si>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</si>
  <si>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</si>
  <si>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</si>
  <si>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</si>
  <si>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</si>
  <si>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</si>
  <si>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</si>
  <si>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</si>
  <si>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</si>
  <si>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</si>
  <si>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</si>
  <si>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</si>
  <si>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</si>
  <si>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</si>
  <si>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</si>
  <si>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</si>
  <si>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</si>
  <si>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</si>
  <si>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</si>
  <si>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</si>
  <si>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</si>
  <si>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</si>
  <si>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</si>
  <si>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</si>
  <si>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</si>
  <si>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</si>
  <si>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</si>
  <si>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</si>
  <si>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</si>
  <si>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</si>
  <si>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</si>
  <si>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</si>
  <si>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</si>
  <si>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</si>
  <si>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</si>
  <si>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</si>
  <si>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</si>
  <si>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</si>
  <si>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</si>
  <si>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</si>
  <si>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</si>
  <si>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</si>
  <si>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</si>
  <si>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</si>
  <si>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</si>
  <si>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</si>
  <si>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</si>
  <si>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</si>
  <si>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</si>
  <si>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</si>
  <si>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</si>
  <si>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</si>
  <si>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</si>
  <si>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</si>
  <si>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</si>
  <si>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</si>
  <si>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</si>
  <si>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</si>
  <si>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</si>
  <si>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</si>
  <si>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</si>
  <si>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</si>
  <si>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</si>
  <si>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</si>
  <si>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</si>
  <si>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</si>
  <si>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</si>
  <si>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</si>
  <si>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</si>
  <si>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</si>
  <si>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</si>
  <si>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</si>
  <si>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</si>
  <si>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</si>
  <si>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</si>
  <si>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</si>
  <si>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</si>
  <si>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</si>
  <si>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</si>
  <si>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</si>
  <si>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</si>
  <si>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</si>
  <si>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</si>
  <si>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</si>
  <si>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</si>
  <si>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</si>
  <si>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</si>
  <si>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</si>
  <si>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</si>
  <si>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</si>
  <si>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</si>
  <si>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</si>
  <si>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</si>
  <si>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</si>
  <si>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</si>
  <si>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</si>
  <si>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</si>
  <si>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</si>
  <si>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</si>
  <si>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</si>
  <si>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</si>
  <si>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</si>
  <si>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</si>
  <si>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</si>
  <si>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</si>
  <si>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</si>
  <si>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</si>
  <si>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</si>
  <si>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</si>
  <si>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</si>
  <si>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</si>
  <si>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</si>
  <si>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</si>
  <si>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</si>
  <si>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</si>
  <si>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</si>
  <si>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</si>
  <si>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</si>
  <si>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</si>
  <si>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</si>
  <si>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</si>
  <si>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</si>
  <si>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</si>
  <si>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</si>
  <si>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</si>
  <si>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</si>
  <si>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</si>
  <si>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</si>
  <si>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</si>
  <si>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</si>
  <si>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</si>
  <si>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</si>
  <si>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</si>
  <si>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</si>
  <si>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</si>
  <si>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</si>
  <si>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</si>
  <si>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</si>
  <si>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</si>
  <si>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</si>
  <si>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</si>
  <si>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</si>
  <si>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</si>
  <si>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</si>
  <si>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</si>
  <si>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</si>
  <si>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</si>
  <si>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</si>
  <si>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</si>
  <si>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</si>
  <si>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</si>
  <si>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</si>
  <si>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</si>
  <si>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</si>
  <si>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</si>
  <si>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</si>
  <si>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</si>
  <si>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</si>
  <si>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</si>
  <si>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</si>
  <si>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</si>
  <si>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</si>
  <si>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</si>
  <si>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</si>
  <si>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</si>
  <si>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</si>
  <si>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</si>
  <si>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</si>
  <si>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</si>
  <si>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</si>
  <si>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</si>
  <si>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</si>
  <si>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</si>
  <si>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</si>
  <si>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</si>
  <si>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</si>
  <si>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</si>
  <si>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</si>
  <si>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</si>
  <si>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</si>
  <si>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</si>
  <si>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</si>
  <si>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</si>
  <si>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</si>
  <si>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</si>
  <si>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</si>
  <si>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</si>
  <si>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</si>
  <si>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</si>
  <si>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</si>
  <si>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</si>
  <si>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</si>
  <si>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</si>
  <si>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</si>
  <si>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</si>
  <si>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</si>
  <si>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</si>
  <si>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</si>
  <si>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</si>
  <si>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</si>
  <si>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</si>
  <si>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</si>
  <si>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</si>
  <si>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</si>
  <si>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</si>
  <si>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</si>
  <si>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</si>
  <si>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</si>
  <si>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</si>
  <si>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</si>
  <si>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</si>
  <si>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</si>
  <si>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</si>
  <si>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</si>
  <si>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</si>
  <si>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</si>
  <si>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</si>
  <si>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</si>
  <si>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</si>
  <si>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</si>
  <si>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</si>
  <si>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</si>
  <si>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</si>
  <si>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</si>
  <si>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</si>
  <si>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</si>
  <si>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</si>
  <si>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</si>
  <si>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</si>
  <si>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</si>
  <si>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</si>
  <si>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</si>
  <si>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</si>
  <si>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</si>
  <si>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</si>
  <si>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</si>
  <si>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</si>
  <si>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</si>
  <si>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</si>
  <si>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</si>
  <si>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</si>
  <si>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</si>
  <si>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</si>
  <si>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</si>
  <si>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</si>
  <si>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</si>
  <si>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</si>
  <si>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</si>
  <si>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</si>
  <si>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</si>
  <si>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</si>
  <si>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</si>
  <si>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</si>
  <si>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</si>
  <si>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</si>
  <si>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</si>
  <si>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</si>
  <si>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</si>
  <si>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</si>
  <si>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</si>
  <si>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</si>
  <si>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</si>
  <si>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</si>
  <si>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</si>
  <si>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</si>
  <si>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</si>
  <si>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</si>
  <si>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</si>
  <si>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</si>
  <si>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</si>
  <si>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</si>
  <si>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</si>
  <si>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</si>
  <si>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</si>
  <si>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</si>
  <si>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</si>
  <si>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</si>
  <si>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</si>
  <si>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</si>
  <si>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</si>
  <si>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</si>
  <si>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</si>
  <si>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</si>
  <si>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</si>
  <si>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</si>
  <si>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</si>
  <si>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</si>
  <si>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</si>
  <si>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</si>
  <si>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</si>
  <si>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</si>
  <si>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</si>
  <si>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</si>
  <si>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</si>
  <si>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</si>
  <si>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</si>
  <si>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</si>
  <si>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</si>
  <si>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</si>
  <si>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</si>
  <si>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</si>
  <si>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</si>
  <si>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</si>
  <si>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</si>
  <si>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</si>
  <si>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</si>
  <si>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</si>
  <si>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</si>
  <si>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</si>
  <si>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</si>
  <si>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</si>
  <si>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</si>
  <si>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</si>
  <si>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</si>
  <si>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</si>
  <si>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</si>
  <si>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</si>
  <si>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</si>
  <si>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</si>
  <si>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</si>
  <si>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</si>
  <si>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</si>
  <si>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</si>
  <si>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</si>
  <si>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</si>
  <si>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</si>
  <si>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</si>
  <si>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</si>
  <si>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</si>
  <si>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</si>
  <si>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</si>
  <si>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</si>
  <si>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</si>
  <si>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</si>
  <si>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</si>
  <si>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</si>
  <si>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</si>
  <si>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</si>
  <si>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</si>
  <si>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</si>
  <si>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</si>
  <si>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</si>
  <si>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</si>
  <si>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</si>
  <si>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</si>
  <si>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</si>
  <si>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</si>
  <si>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</si>
  <si>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</si>
  <si>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</si>
  <si>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</si>
  <si>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</si>
  <si>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</si>
  <si>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</si>
  <si>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</si>
  <si>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</si>
  <si>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</si>
  <si>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</si>
  <si>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</si>
  <si>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</si>
  <si>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</si>
  <si>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</si>
  <si>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</si>
  <si>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</si>
  <si>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</si>
  <si>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</si>
  <si>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</si>
  <si>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</si>
  <si>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</si>
  <si>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</si>
  <si>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</si>
  <si>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</si>
  <si>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</si>
  <si>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</si>
  <si>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</si>
  <si>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</si>
  <si>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</si>
  <si>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</si>
  <si>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</si>
  <si>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</si>
  <si>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</si>
  <si>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</si>
  <si>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</si>
  <si>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</si>
  <si>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</si>
  <si>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</si>
  <si>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</si>
  <si>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</si>
  <si>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</si>
  <si>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</si>
  <si>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</si>
  <si>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</si>
  <si>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</si>
  <si>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</si>
  <si>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</si>
  <si>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</si>
  <si>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</si>
  <si>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</si>
  <si>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</si>
  <si>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</si>
  <si>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</si>
  <si>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</si>
  <si>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</si>
  <si>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</si>
  <si>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</si>
  <si>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</si>
  <si>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</si>
  <si>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</si>
  <si>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</si>
  <si>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</si>
  <si>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</si>
  <si>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</si>
  <si>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</si>
  <si>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</si>
  <si>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</si>
  <si>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</si>
  <si>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</si>
  <si>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</si>
  <si>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</si>
  <si>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</si>
  <si>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</si>
  <si>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</si>
  <si>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</si>
  <si>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</si>
  <si>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</si>
  <si>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</si>
  <si>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</si>
  <si>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</si>
  <si>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</si>
  <si>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</si>
  <si>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</si>
  <si>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</si>
  <si>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</si>
  <si>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</si>
  <si>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</si>
  <si>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</si>
  <si>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</si>
  <si>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</si>
  <si>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</si>
  <si>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</si>
  <si>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</si>
  <si>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</si>
  <si>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</si>
  <si>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</si>
  <si>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</si>
  <si>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</si>
  <si>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</si>
  <si>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</si>
  <si>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</si>
  <si>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</si>
  <si>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</si>
  <si>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</si>
  <si>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</si>
  <si>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</si>
  <si>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</si>
  <si>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</si>
  <si>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</si>
  <si>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</si>
  <si>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</si>
  <si>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</si>
  <si>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</si>
  <si>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</si>
  <si>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</si>
  <si>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</si>
  <si>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</si>
  <si>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</si>
  <si>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</si>
  <si>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</si>
  <si>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</si>
  <si>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</si>
  <si>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</si>
  <si>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</si>
  <si>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</si>
  <si>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</si>
  <si>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</si>
  <si>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</si>
  <si>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</si>
  <si>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</si>
  <si>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</si>
  <si>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</si>
  <si>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</si>
  <si>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</si>
  <si>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</si>
  <si>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</si>
  <si>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</si>
  <si>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</si>
  <si>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</si>
  <si>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</si>
  <si>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</si>
  <si>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</si>
  <si>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</si>
  <si>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</si>
  <si>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</si>
  <si>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</si>
  <si>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</si>
  <si>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</si>
  <si>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</si>
  <si>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</si>
  <si>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</si>
  <si>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</si>
  <si>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</si>
  <si>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</si>
  <si>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</si>
  <si>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</si>
  <si>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</si>
  <si>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</si>
  <si>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</si>
  <si>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</si>
  <si>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</si>
  <si>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</si>
  <si>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</si>
  <si>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</si>
  <si>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</si>
  <si>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</si>
  <si>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</si>
  <si>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</si>
  <si>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</si>
  <si>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</si>
  <si>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</si>
  <si>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</si>
  <si>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</si>
  <si>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</si>
  <si>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</si>
  <si>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</si>
  <si>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</si>
  <si>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</si>
  <si>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</si>
  <si>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</si>
  <si>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</si>
  <si>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</si>
  <si>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</si>
  <si>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</si>
  <si>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</si>
  <si>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</si>
  <si>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</si>
  <si>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</si>
  <si>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</si>
  <si>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</si>
  <si>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</si>
  <si>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</si>
  <si>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</si>
  <si>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</si>
  <si>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</si>
  <si>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</si>
  <si>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</si>
  <si>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</si>
  <si>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</si>
  <si>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</si>
  <si>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</si>
  <si>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</si>
  <si>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</si>
  <si>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</si>
  <si>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</si>
  <si>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</si>
  <si>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</si>
  <si>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</si>
  <si>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</si>
  <si>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</si>
  <si>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</si>
  <si>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</si>
  <si>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</si>
  <si>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</si>
  <si>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</si>
  <si>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</si>
  <si>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</si>
  <si>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</si>
  <si>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</si>
  <si>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</si>
  <si>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</si>
  <si>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</si>
  <si>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</si>
  <si>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</si>
  <si>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</si>
  <si>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</si>
  <si>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</si>
  <si>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</si>
  <si>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</si>
  <si>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</si>
  <si>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</si>
  <si>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</si>
  <si>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</si>
  <si>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</si>
  <si>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</si>
  <si>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</si>
  <si>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</si>
  <si>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</si>
  <si>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</si>
  <si>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</si>
  <si>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</si>
  <si>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</si>
  <si>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</si>
  <si>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</si>
  <si>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</si>
  <si>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</si>
  <si>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</si>
  <si>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</si>
  <si>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</si>
  <si>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</si>
  <si>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</si>
  <si>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</si>
  <si>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</si>
  <si>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</si>
  <si>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</si>
  <si>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</si>
  <si>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</si>
  <si>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</si>
  <si>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</si>
  <si>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</si>
  <si>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</si>
  <si>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</si>
  <si>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</si>
  <si>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</si>
  <si>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</si>
  <si>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</si>
  <si>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</si>
  <si>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</si>
  <si>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</si>
  <si>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</si>
  <si>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</si>
  <si>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</si>
  <si>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</si>
  <si>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</si>
  <si>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</si>
  <si>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</si>
  <si>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</si>
  <si>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</si>
  <si>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</si>
  <si>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</si>
  <si>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</si>
  <si>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</si>
  <si>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</si>
  <si>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</si>
  <si>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</si>
  <si>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</si>
  <si>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</si>
  <si>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</si>
  <si>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</si>
  <si>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</si>
  <si>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</si>
  <si>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</si>
  <si>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</si>
  <si>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</si>
  <si>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</si>
  <si>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</si>
  <si>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</si>
  <si>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</si>
  <si>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</si>
  <si>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</si>
  <si>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</si>
  <si>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</si>
  <si>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</si>
  <si>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</si>
  <si>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</si>
  <si>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</si>
  <si>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</si>
  <si>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</si>
  <si>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</si>
  <si>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</si>
  <si>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</si>
  <si>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</si>
  <si>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</si>
  <si>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</si>
  <si>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</si>
  <si>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</si>
  <si>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</si>
  <si>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</si>
  <si>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</si>
  <si>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</si>
  <si>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</si>
  <si>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</si>
  <si>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</si>
  <si>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</si>
  <si>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</si>
  <si>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</si>
  <si>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</si>
  <si>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</si>
  <si>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</si>
  <si>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</si>
  <si>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</si>
  <si>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</si>
  <si>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</si>
  <si>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</si>
  <si>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</si>
  <si>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</si>
  <si>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</si>
  <si>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</si>
  <si>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</si>
  <si>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</si>
  <si>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</si>
  <si>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</si>
  <si>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</si>
  <si>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</si>
  <si>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</si>
  <si>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</si>
  <si>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</si>
  <si>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</si>
  <si>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</si>
  <si>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</si>
  <si>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</si>
  <si>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</si>
  <si>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</si>
  <si>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</si>
  <si>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</si>
  <si>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</si>
  <si>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</si>
  <si>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</si>
  <si>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</si>
  <si>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</si>
  <si>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</si>
  <si>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</si>
  <si>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</si>
  <si>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</si>
  <si>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</si>
  <si>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</si>
  <si>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</si>
  <si>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</si>
  <si>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</si>
  <si>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</si>
  <si>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</si>
  <si>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</si>
  <si>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</si>
  <si>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</si>
  <si>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</si>
  <si>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</si>
  <si>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</si>
  <si>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</si>
  <si>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</si>
  <si>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</si>
  <si>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</si>
  <si>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</si>
  <si>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</si>
  <si>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</si>
  <si>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</si>
  <si>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</si>
  <si>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</si>
  <si>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</si>
  <si>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</si>
  <si>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</si>
  <si>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</si>
  <si>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</si>
  <si>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</si>
  <si>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</si>
  <si>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</si>
  <si>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</si>
  <si>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</si>
  <si>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</si>
  <si>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</si>
  <si>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</si>
  <si>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</si>
  <si>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</si>
  <si>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</si>
  <si>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</si>
  <si>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</si>
  <si>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</si>
  <si>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</si>
  <si>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</si>
  <si>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</si>
  <si>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</si>
  <si>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</si>
  <si>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</si>
  <si>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</si>
  <si>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</si>
  <si>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</si>
  <si>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</si>
  <si>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</si>
  <si>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</si>
  <si>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</si>
  <si>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</si>
  <si>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</si>
  <si>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</si>
  <si>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</si>
  <si>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</si>
  <si>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</si>
  <si>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</si>
  <si>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</si>
  <si>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</si>
  <si>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</si>
  <si>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</si>
  <si>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</si>
  <si>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</si>
  <si>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</si>
  <si>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</si>
  <si>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</si>
  <si>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</si>
  <si>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</si>
  <si>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</si>
  <si>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</si>
  <si>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</si>
  <si>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</si>
  <si>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</si>
  <si>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</si>
  <si>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</si>
  <si>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</si>
  <si>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</si>
  <si>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</si>
  <si>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</si>
  <si>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</si>
  <si>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</si>
  <si>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</si>
  <si>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</si>
  <si>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</si>
  <si>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</si>
  <si>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</si>
  <si>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</si>
  <si>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</si>
  <si>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</si>
  <si>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</si>
  <si>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</si>
  <si>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</si>
  <si>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</si>
  <si>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</si>
  <si>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</si>
  <si>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</si>
  <si>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</si>
  <si>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</si>
  <si>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</si>
  <si>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</si>
  <si>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</si>
  <si>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</si>
  <si>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</si>
  <si>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</si>
  <si>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</si>
  <si>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</si>
  <si>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</si>
  <si>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</si>
  <si>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</si>
  <si>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</si>
  <si>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</si>
  <si>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</si>
  <si>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</si>
  <si>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</si>
  <si>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</si>
  <si>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</si>
  <si>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</si>
  <si>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</si>
  <si>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</si>
  <si>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</si>
  <si>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</si>
  <si>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</si>
  <si>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</si>
  <si>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</si>
  <si>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</si>
  <si>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</si>
  <si>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</si>
  <si>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</si>
  <si>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</si>
  <si>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</si>
  <si>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</si>
  <si>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Mass Volume</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</si>
  <si>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</si>
  <si>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</si>
  <si>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</si>
  <si>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</si>
  <si>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</si>
  <si>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</si>
  <si>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</si>
  <si>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</si>
  <si>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</si>
  <si>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</si>
  <si>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</si>
  <si>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</si>
  <si>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</si>
  <si>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</si>
  <si>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</si>
  <si>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</si>
  <si>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</si>
  <si>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</si>
  <si>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</si>
  <si>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</si>
  <si>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</si>
  <si>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</si>
  <si>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</si>
  <si>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</si>
  <si>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</si>
  <si>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</si>
  <si>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</si>
  <si>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</si>
  <si>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</si>
  <si>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</si>
  <si>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</si>
  <si>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</si>
  <si>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</si>
  <si>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</si>
  <si>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</si>
  <si>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</si>
  <si>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</si>
  <si>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</si>
  <si>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</si>
  <si>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</si>
  <si>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</si>
  <si>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</si>
  <si>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</si>
  <si>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</si>
  <si>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</si>
  <si>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</si>
  <si>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</si>
  <si>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</si>
  <si>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</si>
  <si>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</si>
  <si>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</si>
  <si>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</si>
  <si>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</si>
  <si>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</si>
  <si>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</si>
  <si>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</si>
  <si>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</si>
  <si>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</si>
  <si>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</si>
  <si>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</si>
  <si>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</si>
  <si>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</si>
  <si>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</si>
  <si>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</si>
  <si>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</si>
  <si>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</si>
  <si>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</si>
  <si>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</si>
  <si>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</si>
  <si>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</si>
  <si>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</si>
  <si>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</si>
  <si>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</si>
  <si>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</si>
  <si>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</si>
  <si>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</si>
  <si>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</si>
  <si>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</si>
  <si>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</si>
  <si>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</si>
  <si>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</si>
  <si>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</si>
  <si>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</si>
  <si>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</si>
  <si>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</si>
  <si>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</si>
  <si>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</si>
  <si>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</si>
  <si>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</si>
  <si>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</si>
  <si>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</si>
  <si>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</si>
  <si>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</si>
  <si>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</si>
  <si>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</si>
  <si>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</si>
  <si>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</si>
  <si>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</si>
  <si>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</si>
  <si>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</si>
  <si>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</si>
  <si>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</si>
  <si>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</si>
  <si>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</si>
  <si>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</si>
  <si>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</si>
  <si>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</si>
  <si>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</si>
  <si>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</si>
  <si>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</si>
  <si>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</si>
  <si>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</si>
  <si>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</si>
  <si>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</si>
  <si>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</si>
  <si>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</si>
  <si>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</si>
  <si>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</si>
  <si>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</si>
  <si>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</si>
  <si>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</si>
  <si>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</si>
  <si>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</si>
  <si>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</si>
  <si>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</si>
  <si>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</si>
  <si>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</si>
  <si>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</si>
  <si>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</si>
  <si>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</si>
  <si>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</si>
  <si>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</si>
  <si>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</si>
  <si>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</si>
  <si>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</si>
  <si>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</si>
  <si>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</si>
  <si>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</si>
  <si>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</si>
  <si>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</si>
  <si>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</si>
  <si>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</si>
  <si>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</si>
  <si>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</si>
  <si>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</si>
  <si>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</si>
  <si>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</si>
  <si>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</si>
  <si>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</si>
  <si>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</si>
  <si>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</si>
  <si>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</si>
  <si>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</si>
  <si>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</si>
  <si>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</si>
  <si>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</si>
  <si>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</si>
  <si>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</si>
  <si>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</si>
  <si>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</si>
  <si>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</si>
  <si>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</si>
  <si>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</si>
  <si>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</si>
  <si>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</si>
  <si>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</si>
  <si>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</si>
  <si>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</si>
  <si>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</si>
  <si>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</si>
  <si>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</si>
  <si>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</si>
  <si>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</si>
  <si>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</si>
  <si>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</si>
  <si>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</si>
  <si>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</si>
  <si>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</si>
  <si>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</si>
  <si>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</si>
  <si>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</si>
  <si>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</si>
  <si>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</si>
  <si>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</si>
  <si>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</si>
  <si>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</si>
  <si>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</si>
  <si>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</si>
  <si>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</si>
  <si>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</si>
  <si>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</si>
  <si>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</si>
  <si>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</si>
  <si>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</si>
  <si>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</si>
  <si>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</si>
  <si>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</si>
  <si>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</si>
  <si>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</si>
  <si>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</si>
  <si>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</si>
  <si>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</si>
  <si>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</si>
  <si>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</si>
  <si>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</si>
  <si>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</si>
  <si>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</si>
  <si>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</si>
  <si>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</si>
  <si>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</si>
  <si>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</si>
  <si>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</si>
  <si>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</si>
  <si>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</si>
  <si>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</si>
  <si>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</si>
  <si>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</si>
  <si>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</si>
  <si>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</si>
  <si>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</si>
  <si>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</si>
  <si>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</si>
  <si>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</si>
  <si>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</si>
  <si>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</si>
  <si>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</si>
  <si>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</si>
  <si>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</si>
  <si>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</si>
  <si>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</si>
  <si>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</si>
  <si>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</si>
  <si>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</si>
  <si>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</si>
  <si>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</si>
  <si>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</si>
  <si>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</si>
  <si>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</si>
  <si>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</si>
  <si>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</si>
  <si>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</si>
  <si>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</si>
  <si>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</si>
  <si>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</si>
  <si>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</si>
  <si>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</si>
  <si>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</si>
  <si>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</si>
  <si>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</si>
  <si>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</si>
  <si>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</si>
  <si>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</si>
  <si>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</si>
  <si>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</si>
  <si>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</si>
  <si>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</si>
  <si>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</si>
  <si>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</si>
  <si>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</si>
  <si>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</si>
  <si>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</si>
  <si>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</si>
  <si>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</si>
  <si>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</si>
  <si>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</si>
  <si>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</si>
  <si>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</si>
  <si>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</si>
  <si>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</si>
  <si>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</si>
  <si>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</si>
  <si>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</si>
  <si>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</si>
  <si>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</si>
  <si>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</si>
  <si>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</si>
  <si>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</si>
  <si>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</si>
  <si>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</si>
  <si>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</si>
  <si>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</si>
  <si>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</si>
  <si>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</si>
  <si>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</si>
  <si>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</si>
  <si>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</si>
  <si>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</si>
  <si>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</si>
  <si>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</si>
  <si>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</si>
  <si>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</si>
  <si>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</si>
  <si>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</si>
  <si>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</si>
  <si>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</si>
  <si>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</si>
  <si>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</si>
  <si>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</si>
  <si>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</si>
  <si>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</si>
  <si>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</si>
  <si>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</si>
  <si>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</si>
  <si>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</si>
  <si>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</si>
  <si>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</si>
  <si>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</si>
  <si>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</si>
  <si>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</si>
  <si>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</si>
  <si>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</si>
  <si>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</si>
  <si>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</si>
  <si>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</si>
  <si>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</si>
  <si>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</si>
  <si>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</si>
  <si>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</si>
  <si>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</si>
  <si>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</si>
  <si>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</si>
  <si>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</si>
  <si>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</si>
  <si>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</si>
  <si>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</si>
  <si>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</si>
  <si>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</si>
  <si>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</si>
  <si>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</si>
  <si>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</si>
  <si>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</si>
  <si>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</si>
  <si>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</si>
  <si>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</si>
  <si>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</si>
  <si>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</si>
  <si>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</si>
  <si>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</si>
  <si>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</si>
  <si>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</si>
  <si>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</si>
  <si>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</si>
  <si>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</si>
  <si>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</si>
  <si>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</si>
  <si>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</si>
  <si>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</si>
  <si>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</si>
  <si>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</si>
  <si>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</si>
  <si>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</si>
  <si>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</si>
  <si>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</si>
  <si>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</si>
  <si>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</si>
  <si>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</si>
  <si>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</si>
  <si>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</si>
  <si>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</si>
  <si>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</si>
  <si>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</si>
  <si>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</si>
  <si>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</si>
  <si>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</si>
  <si>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</si>
  <si>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</si>
  <si>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</si>
  <si>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</si>
  <si>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</si>
  <si>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</si>
  <si>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</si>
  <si>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</si>
  <si>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</si>
  <si>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</si>
  <si>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</si>
  <si>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</si>
  <si>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</si>
  <si>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</si>
  <si>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</si>
  <si>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</si>
  <si>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</si>
  <si>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</si>
  <si>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</si>
  <si>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</si>
  <si>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</si>
  <si>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</si>
  <si>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</si>
  <si>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</si>
  <si>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</si>
  <si>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</si>
  <si>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</si>
  <si>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</si>
  <si>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</si>
  <si>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</si>
  <si>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</si>
  <si>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</si>
  <si>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</si>
  <si>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</si>
  <si>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</si>
  <si>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</si>
  <si>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</si>
  <si>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</si>
  <si>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</si>
  <si>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</si>
  <si>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</si>
  <si>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</si>
  <si>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</si>
  <si>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</si>
  <si>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</si>
  <si>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</si>
  <si>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</si>
  <si>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</si>
  <si>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</si>
  <si>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</si>
  <si>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</si>
  <si>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</si>
  <si>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</si>
  <si>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</si>
  <si>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</si>
  <si>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</si>
  <si>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</si>
  <si>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</si>
  <si>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</si>
  <si>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</si>
  <si>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</si>
  <si>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</si>
  <si>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</si>
  <si>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</si>
  <si>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</si>
  <si>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</si>
  <si>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</si>
  <si>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</si>
  <si>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</si>
  <si>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</si>
  <si>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</si>
  <si>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</si>
  <si>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</si>
  <si>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</si>
  <si>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</si>
  <si>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</si>
  <si>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</si>
  <si>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</si>
  <si>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</si>
  <si>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</si>
  <si>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</si>
  <si>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</si>
  <si>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</si>
  <si>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</si>
  <si>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</si>
  <si>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</si>
  <si>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</si>
  <si>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</si>
  <si>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</si>
  <si>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</si>
  <si>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</si>
  <si>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</si>
  <si>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</si>
  <si>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</si>
  <si>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</si>
  <si>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</si>
  <si>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</si>
  <si>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</si>
  <si>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</si>
  <si>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</si>
  <si>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</si>
  <si>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</si>
  <si>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</si>
  <si>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</si>
  <si>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</si>
  <si>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</si>
  <si>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</si>
  <si>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</si>
  <si>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</si>
  <si>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</si>
  <si>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</si>
  <si>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</si>
  <si>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</si>
  <si>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</si>
  <si>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</si>
  <si>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</si>
  <si>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</si>
  <si>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</si>
  <si>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</si>
  <si>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</si>
  <si>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</si>
  <si>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</si>
  <si>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</si>
  <si>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</si>
  <si>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</si>
  <si>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</si>
  <si>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</si>
  <si>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</si>
  <si>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</si>
  <si>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</si>
  <si>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</si>
  <si>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</si>
  <si>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</si>
  <si>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</si>
  <si>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</si>
  <si>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</si>
  <si>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</si>
  <si>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</si>
  <si>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</si>
  <si>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</si>
  <si>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</si>
  <si>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</si>
  <si>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</si>
  <si>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</si>
  <si>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</si>
  <si>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</si>
  <si>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</si>
  <si>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</si>
  <si>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</si>
  <si>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</si>
  <si>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</si>
  <si>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</si>
  <si>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</si>
  <si>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</si>
  <si>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</si>
  <si>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</si>
  <si>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</si>
  <si>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</si>
  <si>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</si>
  <si>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</si>
  <si>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</si>
  <si>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</si>
  <si>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</si>
  <si>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</si>
  <si>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</si>
  <si>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</si>
  <si>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</si>
  <si>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</si>
  <si>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</si>
  <si>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</si>
  <si>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</si>
  <si>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</si>
  <si>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</si>
  <si>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</si>
  <si>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</si>
  <si>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</si>
  <si>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</si>
  <si>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</si>
  <si>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</si>
  <si>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</si>
  <si>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</si>
  <si>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</si>
  <si>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</si>
  <si>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</si>
  <si>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</si>
  <si>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</si>
  <si>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</si>
  <si>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</si>
  <si>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</si>
  <si>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</si>
  <si>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</si>
  <si>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</si>
  <si>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</si>
  <si>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</si>
  <si>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</si>
  <si>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</si>
  <si>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</si>
  <si>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</si>
  <si>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</si>
  <si>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</si>
  <si>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</si>
  <si>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</si>
  <si>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</si>
  <si>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</si>
  <si>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</si>
  <si>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</si>
  <si>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</si>
  <si>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</si>
  <si>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</si>
  <si>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</si>
  <si>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</si>
  <si>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</si>
  <si>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</si>
  <si>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</si>
  <si>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</si>
  <si>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</si>
  <si>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</si>
  <si>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</si>
  <si>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</si>
  <si>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</si>
  <si>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</si>
  <si>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</si>
  <si>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</si>
  <si>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</si>
  <si>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</si>
  <si>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</si>
  <si>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</si>
  <si>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</si>
  <si>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</si>
  <si>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</si>
  <si>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</si>
  <si>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</si>
  <si>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</si>
  <si>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</si>
  <si>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</si>
  <si>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</si>
  <si>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</si>
  <si>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</si>
  <si>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</si>
  <si>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</si>
  <si>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</si>
  <si>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</si>
  <si>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</si>
  <si>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</si>
  <si>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</si>
  <si>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</si>
  <si>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</si>
  <si>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</si>
  <si>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</si>
  <si>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</si>
  <si>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</si>
  <si>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</si>
  <si>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</si>
  <si>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</si>
  <si>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</si>
  <si>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</si>
  <si>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</si>
  <si>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</si>
  <si>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</si>
  <si>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</si>
  <si>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</si>
  <si>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</si>
  <si>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</si>
  <si>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</si>
  <si>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</si>
  <si>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</si>
  <si>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</si>
  <si>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</si>
  <si>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</si>
  <si>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</si>
  <si>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</si>
  <si>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</si>
  <si>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</si>
  <si>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</si>
  <si>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</si>
  <si>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</si>
  <si>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</si>
  <si>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</si>
  <si>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</si>
  <si>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</si>
  <si>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</si>
  <si>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</si>
  <si>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</si>
  <si>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</si>
  <si>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</si>
  <si>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</si>
  <si>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</si>
  <si>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</si>
  <si>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</si>
  <si>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</si>
  <si>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</si>
  <si>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</si>
  <si>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</si>
  <si>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</si>
  <si>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</si>
  <si>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</si>
  <si>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</si>
  <si>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</si>
  <si>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</si>
  <si>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</si>
  <si>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</si>
  <si>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</si>
  <si>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</si>
  <si>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</si>
  <si>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</si>
  <si>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</si>
  <si>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</si>
  <si>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</si>
  <si>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</si>
  <si>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</si>
  <si>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</si>
  <si>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</si>
  <si>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</si>
  <si>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</si>
  <si>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</si>
  <si>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</si>
  <si>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</si>
  <si>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</si>
  <si>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</si>
  <si>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</si>
  <si>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</si>
  <si>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</si>
  <si>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</si>
  <si>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</si>
  <si>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</si>
  <si>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</si>
  <si>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</si>
  <si>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</si>
  <si>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</si>
  <si>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</si>
  <si>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</si>
  <si>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</si>
  <si>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</si>
  <si>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</si>
  <si>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</si>
  <si>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</si>
  <si>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</si>
  <si>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</si>
  <si>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</si>
  <si>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</si>
  <si>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</si>
  <si>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</si>
  <si>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</si>
  <si>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</si>
  <si>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</si>
  <si>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</si>
  <si>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</si>
  <si>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</si>
  <si>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</si>
  <si>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</si>
  <si>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</si>
  <si>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</si>
  <si>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</si>
  <si>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</si>
  <si>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</si>
  <si>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</si>
  <si>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</si>
  <si>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</si>
  <si>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</si>
  <si>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</si>
  <si>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</si>
  <si>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</si>
  <si>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</si>
  <si>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</si>
  <si>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</si>
  <si>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</si>
  <si>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</si>
  <si>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</si>
  <si>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</si>
  <si>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</si>
  <si>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</si>
  <si>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</si>
  <si>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</si>
  <si>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</si>
  <si>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</si>
  <si>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</si>
  <si>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</si>
  <si>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</si>
  <si>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</si>
  <si>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</si>
  <si>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</si>
  <si>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</si>
  <si>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</si>
  <si>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</si>
  <si>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</si>
  <si>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</si>
  <si>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</si>
  <si>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</si>
  <si>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</si>
  <si>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</si>
  <si>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</si>
  <si>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</si>
  <si>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</si>
  <si>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</si>
  <si>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</si>
  <si>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</si>
  <si>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</si>
  <si>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</si>
  <si>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</si>
  <si>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</si>
  <si>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</si>
  <si>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</si>
  <si>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</si>
  <si>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</si>
  <si>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</si>
  <si>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</si>
  <si>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</si>
  <si>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</si>
  <si>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</si>
  <si>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</si>
  <si>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</si>
  <si>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</si>
  <si>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</si>
  <si>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</si>
  <si>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</si>
  <si>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</si>
  <si>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</si>
  <si>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</si>
  <si>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</si>
  <si>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</si>
  <si>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</si>
  <si>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</si>
  <si>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</si>
  <si>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</si>
  <si>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</si>
  <si>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</si>
  <si>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</si>
  <si>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</si>
  <si>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</si>
  <si>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</si>
  <si>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</si>
  <si>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</si>
  <si>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</si>
  <si>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</si>
  <si>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</si>
  <si>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</si>
  <si>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</si>
  <si>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</si>
  <si>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</si>
  <si>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</si>
  <si>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</si>
  <si>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</si>
  <si>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</si>
  <si>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</si>
  <si>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</si>
  <si>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</si>
  <si>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</si>
  <si>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</si>
  <si>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</si>
  <si>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</si>
  <si>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</si>
  <si>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</si>
  <si>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</si>
  <si>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</si>
  <si>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</si>
  <si>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</si>
  <si>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</si>
  <si>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</si>
  <si>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</si>
  <si>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</si>
  <si>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</si>
  <si>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</si>
  <si>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</si>
  <si>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</si>
  <si>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</si>
  <si>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</si>
  <si>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</si>
  <si>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</si>
  <si>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</si>
  <si>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</si>
  <si>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</si>
  <si>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</si>
  <si>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</si>
  <si>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</si>
  <si>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</si>
  <si>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</si>
  <si>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</si>
  <si>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</si>
  <si>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</si>
  <si>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</si>
  <si>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</si>
  <si>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</si>
  <si>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</si>
  <si>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</si>
  <si>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</si>
  <si>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</si>
  <si>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</si>
  <si>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</si>
  <si>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</si>
  <si>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</si>
  <si>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</si>
  <si>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</si>
  <si>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</si>
  <si>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</si>
  <si>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</si>
  <si>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</si>
  <si>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</si>
  <si>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</si>
  <si>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</si>
  <si>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</si>
  <si>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</si>
  <si>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</si>
  <si>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</si>
  <si>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</si>
  <si>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</si>
  <si>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</si>
  <si>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</si>
  <si>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</si>
  <si>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</si>
  <si>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</si>
  <si>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</si>
  <si>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</si>
  <si>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</si>
  <si>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</si>
  <si>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</si>
  <si>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</si>
  <si>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</si>
  <si>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</si>
  <si>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</si>
  <si>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</si>
  <si>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</si>
  <si>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</si>
  <si>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</si>
  <si>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</si>
  <si>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</si>
  <si>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</si>
  <si>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</si>
  <si>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</si>
  <si>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</si>
  <si>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</si>
  <si>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</si>
  <si>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</si>
  <si>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</si>
  <si>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</si>
  <si>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</si>
  <si>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</si>
  <si>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</si>
  <si>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</si>
  <si>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</si>
  <si>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</si>
  <si>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</si>
  <si>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</si>
  <si>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</si>
  <si>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</si>
  <si>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</si>
  <si>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</si>
  <si>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</si>
  <si>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</si>
  <si>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</si>
  <si>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</si>
  <si>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</si>
  <si>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</si>
  <si>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</si>
  <si>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</si>
  <si>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</si>
  <si>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</si>
  <si>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</si>
  <si>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</si>
  <si>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</si>
  <si>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</si>
  <si>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</si>
  <si>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</si>
  <si>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</si>
  <si>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</si>
  <si>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</si>
  <si>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</si>
  <si>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</si>
  <si>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</si>
  <si>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</si>
  <si>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</si>
  <si>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</si>
  <si>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</si>
  <si>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</si>
  <si>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</si>
  <si>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</si>
  <si>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</si>
  <si>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</si>
  <si>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</si>
  <si>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</si>
  <si>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</si>
  <si>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</si>
  <si>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</si>
  <si>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</si>
  <si>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</si>
  <si>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</si>
  <si>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</si>
  <si>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</si>
  <si>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</si>
  <si>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</si>
  <si>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</si>
  <si>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</si>
  <si>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</si>
  <si>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</si>
  <si>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</si>
  <si>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</si>
  <si>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</si>
  <si>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</si>
  <si>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</si>
  <si>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</si>
  <si>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</si>
  <si>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</si>
  <si>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</si>
  <si>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</si>
  <si>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</si>
  <si>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</si>
  <si>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</si>
  <si>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</si>
  <si>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</si>
  <si>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</si>
  <si>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</si>
  <si>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</si>
  <si>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</si>
  <si>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</si>
  <si>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</si>
  <si>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</si>
  <si>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</si>
  <si>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</si>
  <si>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</si>
  <si>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</si>
  <si>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</si>
  <si>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</si>
  <si>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</si>
  <si>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</si>
  <si>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</si>
  <si>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</si>
  <si>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</si>
  <si>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</si>
  <si>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</si>
  <si>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</si>
  <si>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</si>
  <si>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</si>
  <si>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</si>
  <si>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</si>
  <si>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</si>
  <si>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</si>
  <si>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</si>
  <si>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</si>
  <si>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</si>
  <si>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</si>
  <si>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</si>
  <si>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</si>
  <si>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</si>
  <si>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</si>
  <si>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</si>
  <si>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</si>
  <si>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</si>
  <si>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</si>
  <si>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</si>
  <si>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</si>
  <si>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</si>
  <si>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</si>
  <si>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</si>
  <si>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</si>
  <si>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</si>
  <si>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</si>
  <si>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</si>
  <si>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</si>
  <si>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</si>
  <si>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</si>
  <si>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</si>
  <si>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</si>
  <si>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</si>
  <si>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</si>
  <si>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</si>
  <si>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</si>
  <si>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</si>
  <si>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</si>
  <si>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</si>
  <si>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</si>
  <si>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</si>
  <si>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</si>
  <si>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</si>
  <si>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</si>
  <si>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</si>
  <si>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</si>
  <si>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</si>
  <si>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</si>
  <si>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</si>
  <si>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</si>
  <si>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</si>
  <si>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</si>
  <si>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</si>
  <si>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</si>
  <si>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</si>
  <si>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</si>
  <si>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</si>
  <si>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</si>
  <si>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</si>
  <si>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</si>
  <si>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</si>
  <si>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</si>
  <si>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</si>
  <si>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</si>
  <si>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</si>
  <si>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</si>
  <si>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</si>
  <si>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</si>
  <si>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</si>
  <si>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</si>
  <si>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</si>
  <si>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</si>
  <si>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</si>
  <si>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</si>
  <si>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</si>
  <si>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</si>
  <si>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</si>
  <si>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</si>
  <si>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</si>
  <si>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</si>
  <si>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</si>
  <si>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</si>
  <si>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</si>
  <si>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</si>
  <si>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</si>
  <si>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</si>
  <si>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</si>
  <si>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</si>
  <si>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</si>
  <si>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</si>
  <si>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</si>
  <si>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</si>
  <si>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</si>
  <si>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</si>
  <si>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</si>
  <si>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</si>
  <si>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</si>
  <si>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</si>
  <si>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</si>
  <si>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</si>
  <si>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</si>
  <si>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</si>
  <si>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</si>
  <si>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</si>
  <si>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</si>
  <si>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</si>
  <si>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</si>
  <si>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</si>
  <si>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</si>
  <si>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</si>
  <si>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</si>
  <si>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</si>
  <si>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</si>
  <si>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</si>
  <si>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</si>
  <si>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</si>
  <si>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</si>
  <si>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</si>
  <si>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</si>
  <si>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</si>
  <si>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</si>
  <si>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</si>
  <si>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</si>
  <si>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</si>
  <si>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</si>
  <si>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</si>
  <si>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</si>
  <si>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</si>
  <si>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</si>
  <si>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</si>
  <si>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</si>
  <si>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</si>
  <si>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</si>
  <si>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</si>
  <si>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</si>
  <si>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</si>
  <si>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</si>
  <si>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</si>
  <si>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</si>
  <si>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</si>
  <si>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</si>
  <si>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</si>
  <si>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</si>
  <si>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</si>
  <si>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</si>
  <si>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</si>
  <si>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</si>
  <si>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</si>
  <si>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</si>
  <si>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</si>
  <si>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</si>
  <si>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</si>
  <si>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</si>
  <si>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</si>
  <si>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</si>
  <si>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</si>
  <si>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</si>
  <si>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</si>
  <si>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</si>
  <si>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</si>
  <si>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</si>
  <si>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</si>
  <si>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</si>
  <si>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</si>
  <si>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</si>
  <si>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</si>
  <si>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</si>
  <si>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</si>
  <si>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</si>
  <si>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</si>
  <si>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</si>
  <si>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</si>
  <si>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</si>
  <si>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</si>
  <si>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</si>
  <si>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</si>
  <si>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</si>
  <si>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</si>
  <si>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</si>
  <si>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</si>
  <si>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</si>
  <si>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</si>
  <si>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</si>
  <si>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</si>
  <si>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</si>
  <si>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</si>
  <si>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</si>
  <si>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</si>
  <si>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</si>
  <si>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</si>
  <si>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</si>
  <si>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</si>
  <si>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</si>
  <si>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</si>
  <si>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</si>
  <si>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</si>
  <si>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</si>
  <si>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</si>
  <si>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</si>
  <si>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</si>
  <si>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</si>
  <si>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</si>
  <si>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</si>
  <si>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</si>
  <si>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</si>
  <si>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</si>
  <si>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</si>
  <si>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</si>
  <si>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</si>
  <si>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</si>
  <si>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</si>
  <si>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</si>
  <si>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</si>
  <si>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</si>
  <si>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</si>
  <si>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</si>
  <si>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</si>
  <si>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</si>
  <si>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</si>
  <si>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</si>
  <si>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</si>
  <si>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</si>
  <si>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</si>
  <si>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</si>
  <si>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</si>
  <si>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</si>
  <si>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</si>
  <si>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</si>
  <si>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</si>
  <si>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</si>
  <si>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</si>
  <si>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</si>
  <si>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</si>
  <si>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</si>
  <si>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</si>
  <si>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</si>
  <si>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</si>
  <si>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</si>
  <si>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</si>
  <si>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</si>
  <si>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</si>
  <si>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</si>
  <si>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</si>
  <si>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</si>
  <si>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</si>
  <si>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</si>
  <si>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</si>
  <si>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</si>
  <si>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</si>
  <si>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</si>
  <si>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</si>
  <si>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</si>
  <si>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</si>
  <si>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</si>
  <si>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</si>
  <si>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</si>
  <si>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</si>
  <si>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</si>
  <si>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</si>
  <si>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</si>
  <si>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</si>
  <si>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</si>
  <si>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</si>
  <si>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</si>
  <si>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</si>
  <si>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</si>
  <si>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</si>
  <si>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</si>
  <si>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</si>
  <si>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</si>
  <si>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</si>
  <si>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</si>
  <si>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</si>
  <si>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</si>
  <si>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</si>
  <si>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</si>
  <si>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</si>
  <si>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</si>
  <si>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</si>
  <si>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</si>
  <si>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</si>
  <si>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</si>
  <si>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</si>
  <si>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</si>
  <si>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</si>
  <si>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</si>
  <si>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</si>
  <si>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</si>
  <si>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</si>
  <si>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</si>
  <si>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</si>
  <si>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</si>
  <si>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</si>
  <si>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</si>
  <si>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</si>
  <si>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</si>
  <si>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</si>
  <si>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</si>
  <si>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</si>
  <si>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</si>
  <si>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</si>
  <si>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</si>
  <si>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</si>
  <si>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</si>
  <si>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</si>
  <si>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</si>
  <si>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</si>
  <si>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</si>
  <si>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</si>
  <si>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</si>
  <si>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</si>
  <si>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</si>
  <si>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</si>
  <si>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</si>
  <si>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</si>
  <si>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</si>
  <si>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</si>
  <si>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</si>
  <si>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</si>
  <si>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</si>
  <si>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</si>
  <si>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</si>
  <si>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</si>
  <si>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</si>
  <si>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</si>
  <si>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</si>
  <si>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</si>
  <si>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</si>
  <si>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</si>
  <si>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</si>
  <si>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</si>
  <si>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</si>
  <si>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</si>
  <si>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</si>
  <si>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</si>
  <si>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</si>
  <si>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</si>
  <si>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</si>
  <si>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</si>
  <si>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</si>
  <si>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</si>
  <si>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</si>
  <si>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</si>
  <si>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</si>
  <si>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</si>
  <si>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</si>
  <si>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</si>
  <si>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</si>
  <si>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</si>
  <si>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</si>
  <si>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</si>
  <si>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</si>
  <si>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</si>
  <si>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</si>
  <si>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</si>
  <si>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</si>
  <si>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</si>
  <si>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</si>
  <si>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</si>
  <si>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</si>
  <si>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</si>
  <si>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</si>
  <si>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</si>
  <si>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</si>
  <si>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</si>
  <si>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</si>
  <si>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</si>
  <si>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</si>
  <si>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</si>
  <si>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</si>
  <si>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</si>
  <si>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</si>
  <si>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</si>
  <si>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</si>
  <si>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</si>
  <si>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</si>
  <si>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</si>
  <si>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</si>
  <si>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</si>
  <si>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</si>
  <si>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</si>
  <si>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</si>
  <si>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</si>
  <si>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</si>
  <si>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</si>
  <si>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</si>
  <si>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</si>
  <si>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</si>
  <si>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</si>
  <si>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</si>
  <si>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</si>
  <si>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</si>
  <si>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</si>
  <si>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</si>
  <si>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</si>
  <si>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</si>
  <si>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</si>
  <si>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</si>
  <si>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</si>
  <si>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</si>
  <si>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</si>
  <si>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</si>
  <si>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</si>
  <si>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</si>
  <si>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</si>
  <si>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</si>
  <si>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</si>
  <si>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</si>
  <si>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</si>
  <si>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</si>
  <si>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</si>
  <si>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</si>
  <si>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</si>
  <si>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</si>
  <si>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</si>
  <si>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</si>
  <si>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</si>
  <si>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</si>
  <si>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</si>
  <si>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</si>
  <si>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</si>
  <si>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</si>
  <si>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</si>
  <si>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</si>
  <si>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</si>
  <si>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</si>
  <si>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</si>
  <si>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</si>
  <si>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</si>
  <si>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</si>
  <si>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</si>
  <si>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</si>
  <si>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</si>
  <si>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</si>
  <si>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</si>
  <si>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</si>
  <si>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</si>
  <si>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</si>
  <si>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</si>
  <si>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</si>
  <si>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</si>
  <si>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</si>
  <si>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</si>
  <si>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</si>
  <si>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</si>
  <si>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</si>
  <si>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</si>
  <si>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</si>
  <si>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</si>
  <si>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</si>
  <si>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</si>
  <si>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</si>
  <si>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</si>
  <si>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</si>
  <si>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</si>
  <si>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</si>
  <si>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</si>
  <si>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</si>
  <si>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</si>
  <si>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</si>
  <si>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</si>
  <si>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</si>
  <si>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</si>
  <si>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</si>
  <si>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</si>
  <si>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</si>
  <si>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</si>
  <si>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</si>
  <si>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</si>
  <si>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</si>
  <si>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</si>
  <si>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</si>
  <si>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</si>
  <si>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</si>
  <si>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</si>
  <si>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</si>
  <si>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</si>
  <si>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</si>
  <si>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</si>
  <si>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</si>
  <si>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</si>
  <si>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</si>
  <si>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</si>
  <si>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</si>
  <si>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</si>
  <si>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</si>
  <si>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</si>
  <si>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</si>
  <si>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</si>
  <si>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</si>
  <si>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</si>
  <si>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</si>
  <si>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</si>
  <si>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</si>
  <si>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</si>
  <si>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</si>
  <si>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</si>
  <si>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</si>
  <si>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</si>
  <si>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</si>
  <si>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</si>
  <si>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</si>
  <si>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</si>
  <si>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</si>
  <si>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</si>
  <si>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</si>
  <si>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</si>
  <si>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</si>
  <si>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</si>
  <si>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</si>
  <si>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</si>
  <si>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</si>
  <si>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</si>
  <si>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</si>
  <si>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</si>
  <si>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</si>
  <si>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</si>
  <si>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</si>
  <si>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</si>
  <si>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</si>
  <si>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</si>
  <si>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</si>
  <si>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</si>
  <si>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</si>
  <si>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</si>
  <si>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</si>
  <si>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</si>
  <si>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</si>
  <si>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</si>
  <si>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</si>
  <si>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</si>
  <si>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</si>
  <si>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</si>
  <si>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</si>
  <si>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</si>
  <si>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</si>
  <si>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</si>
  <si>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</si>
  <si>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</si>
  <si>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</si>
  <si>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</si>
  <si>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</si>
  <si>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</si>
  <si>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</si>
  <si>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</si>
  <si>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</si>
  <si>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</si>
  <si>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</si>
  <si>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</si>
  <si>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</si>
  <si>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</si>
  <si>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</si>
  <si>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</si>
  <si>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</si>
  <si>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</si>
  <si>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</si>
  <si>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</si>
  <si>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</si>
  <si>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</si>
  <si>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</si>
  <si>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</si>
  <si>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</si>
  <si>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</si>
  <si>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</si>
  <si>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</si>
  <si>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</si>
  <si>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</si>
  <si>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</si>
  <si>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</si>
  <si>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</si>
  <si>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</si>
  <si>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</si>
  <si>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</si>
  <si>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</si>
  <si>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</si>
  <si>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</si>
  <si>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</si>
  <si>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</si>
  <si>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</si>
  <si>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</si>
  <si>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</si>
  <si>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</si>
  <si>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</si>
  <si>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</si>
  <si>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</si>
  <si>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</si>
  <si>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</si>
  <si>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</si>
  <si>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</si>
  <si>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</si>
  <si>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</si>
  <si>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</si>
  <si>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</si>
  <si>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</si>
  <si>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</si>
  <si>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</si>
  <si>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</si>
  <si>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</si>
  <si>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</si>
  <si>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</si>
  <si>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</si>
  <si>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</si>
  <si>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</si>
  <si>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</si>
  <si>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</si>
  <si>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</si>
  <si>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</si>
  <si>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</si>
  <si>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</si>
  <si>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</si>
  <si>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</si>
  <si>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</si>
  <si>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</si>
  <si>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</si>
  <si>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</si>
  <si>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</si>
  <si>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</si>
  <si>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</si>
  <si>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</si>
  <si>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</si>
  <si>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</si>
  <si>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</si>
  <si>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</si>
  <si>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</si>
  <si>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</si>
  <si>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</si>
  <si>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</si>
  <si>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</si>
  <si>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</si>
  <si>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</si>
  <si>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</si>
  <si>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</si>
  <si>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</si>
  <si>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</si>
  <si>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</si>
  <si>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</si>
  <si>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</si>
  <si>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</si>
  <si>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</si>
  <si>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</si>
  <si>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</si>
  <si>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</si>
  <si>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</si>
  <si>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</si>
  <si>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</si>
  <si>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</si>
  <si>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</si>
  <si>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</si>
  <si>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</si>
  <si>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</si>
  <si>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</si>
  <si>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</si>
  <si>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</si>
  <si>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</si>
  <si>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</si>
  <si>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</si>
  <si>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</si>
  <si>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</si>
  <si>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</si>
  <si>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</si>
  <si>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</si>
  <si>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91-93</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</si>
  <si>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</si>
  <si>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</si>
  <si>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</si>
  <si>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</si>
  <si>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</si>
  <si>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</si>
  <si>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</si>
  <si>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</si>
  <si>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</si>
  <si>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</si>
  <si>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</si>
  <si>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</si>
  <si>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</si>
  <si>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</si>
  <si>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</si>
  <si>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</si>
  <si>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</si>
  <si>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</si>
  <si>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</si>
  <si>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</si>
  <si>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</si>
  <si>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</si>
  <si>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</si>
  <si>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</si>
  <si>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</si>
  <si>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</si>
  <si>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</si>
  <si>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</si>
  <si>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</si>
  <si>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</si>
  <si>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</si>
  <si>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</si>
  <si>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</si>
  <si>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</si>
  <si>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</si>
  <si>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</si>
  <si>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</si>
  <si>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</si>
  <si>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</si>
  <si>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</si>
  <si>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</si>
  <si>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</si>
  <si>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</si>
  <si>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</si>
  <si>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</si>
  <si>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</si>
  <si>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</si>
  <si>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</si>
  <si>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</si>
  <si>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</si>
  <si>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</si>
  <si>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</si>
  <si>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</si>
  <si>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</si>
  <si>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</si>
  <si>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</si>
  <si>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</si>
  <si>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</si>
  <si>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</si>
  <si>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</si>
  <si>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</si>
  <si>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</si>
  <si>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</si>
  <si>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</si>
  <si>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</si>
  <si>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</si>
  <si>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</si>
  <si>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</si>
  <si>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</si>
  <si>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</si>
  <si>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</si>
  <si>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</si>
  <si>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</si>
  <si>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</si>
  <si>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</si>
  <si>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</si>
  <si>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</si>
  <si>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</si>
  <si>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</si>
  <si>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</si>
  <si>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</si>
  <si>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</si>
  <si>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</si>
  <si>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</si>
  <si>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</si>
  <si>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</si>
  <si>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</si>
  <si>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</si>
  <si>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</si>
  <si>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</si>
  <si>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</si>
  <si>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</si>
  <si>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</si>
  <si>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</si>
  <si>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</si>
  <si>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</si>
  <si>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</si>
  <si>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</si>
  <si>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</si>
  <si>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</si>
  <si>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</si>
  <si>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</si>
  <si>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</si>
  <si>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</si>
  <si>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</si>
  <si>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</si>
  <si>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</si>
  <si>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</si>
  <si>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</si>
  <si>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</si>
  <si>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</si>
  <si>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</si>
  <si>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</si>
  <si>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</si>
  <si>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</si>
  <si>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</si>
  <si>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</si>
  <si>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</si>
  <si>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</si>
  <si>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</si>
  <si>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</si>
  <si>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</si>
  <si>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</si>
  <si>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</si>
  <si>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</si>
  <si>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</si>
  <si>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</si>
  <si>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</si>
  <si>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</si>
  <si>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</si>
  <si>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</si>
  <si>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</si>
  <si>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</si>
  <si>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</si>
  <si>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Volumen de masa</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</si>
  <si>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</si>
  <si>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</si>
  <si>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</si>
  <si>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</si>
  <si>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</si>
  <si>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</si>
  <si>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</si>
  <si>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</si>
  <si>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</si>
  <si>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</si>
  <si>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</si>
  <si>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</si>
  <si>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</si>
  <si>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</si>
  <si>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</si>
  <si>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</si>
  <si>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</si>
  <si>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</si>
  <si>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</si>
  <si>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</si>
  <si>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</si>
  <si>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</si>
  <si>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</si>
  <si>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</si>
  <si>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</si>
  <si>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</si>
  <si>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</si>
  <si>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</si>
  <si>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</si>
  <si>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</si>
  <si>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</si>
  <si>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</si>
  <si>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</si>
  <si>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</si>
  <si>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</si>
  <si>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</si>
  <si>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</si>
  <si>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</si>
  <si>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</si>
  <si>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</si>
  <si>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</si>
  <si>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</si>
  <si>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</si>
  <si>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</si>
  <si>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</si>
  <si>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</si>
  <si>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</si>
  <si>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</si>
  <si>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</si>
  <si>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</si>
  <si>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</si>
  <si>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</si>
  <si>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</si>
  <si>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</si>
  <si>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</si>
  <si>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</si>
  <si>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</si>
  <si>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</si>
  <si>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</si>
  <si>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</si>
  <si>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</si>
  <si>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</si>
  <si>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</si>
  <si>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</si>
  <si>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</si>
  <si>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</si>
  <si>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</si>
  <si>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</si>
  <si>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</si>
  <si>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</si>
  <si>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</si>
  <si>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</si>
  <si>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</si>
  <si>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</si>
  <si>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</si>
  <si>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</si>
  <si>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</si>
  <si>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</si>
  <si>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</si>
  <si>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</si>
  <si>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</si>
  <si>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</si>
  <si>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</si>
  <si>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</si>
  <si>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</si>
  <si>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</si>
  <si>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</si>
  <si>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</si>
  <si>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</si>
  <si>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</si>
  <si>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</si>
  <si>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</si>
  <si>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</si>
  <si>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</si>
  <si>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</si>
  <si>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</si>
  <si>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</si>
  <si>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</si>
  <si>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</si>
  <si>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</si>
  <si>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</si>
  <si>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</si>
  <si>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</si>
  <si>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</si>
  <si>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</si>
  <si>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</si>
  <si>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</si>
  <si>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</si>
  <si>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</si>
  <si>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</si>
  <si>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</si>
  <si>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</si>
  <si>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</si>
  <si>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</si>
  <si>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</si>
  <si>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</si>
  <si>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</si>
  <si>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</si>
  <si>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</si>
  <si>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</si>
  <si>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</si>
  <si>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</si>
  <si>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</si>
  <si>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</si>
  <si>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</si>
  <si>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</si>
  <si>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</si>
  <si>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</si>
  <si>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</si>
  <si>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</si>
  <si>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</si>
  <si>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</si>
  <si>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</si>
  <si>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</si>
  <si>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</si>
  <si>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</si>
  <si>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</si>
  <si>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</si>
  <si>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</si>
  <si>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</si>
  <si>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</si>
  <si>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</si>
  <si>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</si>
  <si>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</si>
  <si>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</si>
  <si>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</si>
  <si>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</si>
  <si>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</si>
  <si>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</si>
  <si>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</si>
  <si>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</si>
  <si>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</si>
  <si>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</si>
  <si>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</si>
  <si>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</si>
  <si>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</si>
  <si>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</si>
  <si>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</si>
  <si>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</si>
  <si>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</si>
  <si>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</si>
  <si>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</si>
  <si>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</si>
  <si>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</si>
  <si>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</si>
  <si>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</si>
  <si>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</si>
  <si>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</si>
  <si>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</si>
  <si>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</si>
  <si>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</si>
  <si>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</si>
  <si>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</si>
  <si>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</si>
  <si>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</si>
  <si>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</si>
  <si>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Objętość masowa</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</si>
  <si>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</si>
  <si>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</si>
  <si>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</si>
  <si>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</si>
  <si>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</si>
  <si>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</si>
  <si>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</si>
  <si>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</si>
  <si>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</si>
  <si>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</si>
  <si>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</si>
  <si>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</si>
  <si>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</si>
  <si>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</si>
  <si>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</si>
  <si>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</si>
  <si>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</si>
  <si>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</si>
  <si>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</si>
  <si>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</si>
  <si>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</si>
  <si>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</si>
  <si>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</si>
  <si>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</si>
  <si>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</si>
  <si>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</si>
  <si>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</si>
  <si>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</si>
  <si>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</si>
  <si>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</si>
  <si>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</si>
  <si>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</si>
  <si>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</si>
  <si>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</si>
  <si>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</si>
  <si>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</si>
  <si>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</si>
  <si>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</si>
  <si>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</si>
  <si>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</si>
  <si>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</si>
  <si>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</si>
  <si>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</si>
  <si>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</si>
  <si>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</si>
  <si>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</si>
  <si>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</si>
  <si>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</si>
  <si>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</si>
  <si>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</si>
  <si>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</si>
  <si>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</si>
  <si>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</si>
  <si>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</si>
  <si>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</si>
  <si>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</si>
  <si>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</si>
  <si>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</si>
  <si>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</si>
  <si>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</si>
  <si>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</si>
  <si>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</si>
  <si>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</si>
  <si>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</si>
  <si>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</si>
  <si>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</si>
  <si>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</si>
  <si>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</si>
  <si>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</si>
  <si>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</si>
  <si>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</si>
  <si>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</si>
  <si>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</si>
  <si>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</si>
  <si>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</si>
  <si>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</si>
  <si>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</si>
  <si>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</si>
  <si>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</si>
  <si>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</si>
  <si>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</si>
  <si>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</si>
  <si>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</si>
  <si>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</si>
  <si>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</si>
  <si>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</si>
  <si>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</si>
  <si>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</si>
  <si>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</si>
  <si>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</si>
  <si>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</si>
  <si>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</si>
  <si>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</si>
  <si>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</si>
  <si>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</si>
  <si>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</si>
  <si>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</si>
  <si>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</si>
  <si>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</si>
  <si>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</si>
  <si>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</si>
  <si>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</si>
  <si>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</si>
  <si>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</si>
  <si>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</si>
  <si>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</si>
  <si>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</si>
  <si>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</si>
  <si>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</si>
  <si>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</si>
  <si>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</si>
  <si>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</si>
  <si>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</si>
  <si>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</si>
  <si>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</si>
  <si>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</si>
  <si>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</si>
  <si>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</si>
  <si>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</si>
  <si>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</si>
  <si>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</si>
  <si>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</si>
  <si>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</si>
  <si>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</si>
  <si>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</si>
  <si>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</si>
  <si>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</si>
  <si>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</si>
  <si>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</si>
  <si>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</si>
  <si>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</si>
  <si>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</si>
  <si>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</si>
  <si>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</si>
  <si>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</si>
  <si>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</si>
  <si>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</si>
  <si>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</si>
  <si>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</si>
  <si>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</si>
  <si>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</si>
  <si>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</si>
  <si>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</si>
  <si>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</si>
  <si>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</si>
  <si>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</si>
  <si>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</si>
  <si>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</si>
  <si>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</si>
  <si>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</si>
  <si>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</si>
  <si>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</si>
  <si>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</si>
  <si>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</si>
  <si>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</si>
  <si>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</si>
  <si>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</si>
  <si>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</si>
  <si>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</si>
  <si>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</si>
  <si>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</si>
  <si>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</si>
  <si>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</si>
  <si>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</si>
  <si>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</si>
  <si>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</si>
  <si>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</si>
  <si>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</si>
  <si>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</si>
  <si>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</si>
  <si>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</si>
  <si>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</si>
  <si>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</si>
  <si>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</si>
  <si>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</si>
  <si>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</si>
  <si>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</si>
  <si>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</si>
  <si>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</si>
  <si>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</si>
  <si>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</si>
  <si>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</si>
  <si>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</si>
  <si>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</si>
  <si>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</si>
  <si>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</si>
  <si>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</si>
  <si>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</si>
  <si>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</si>
  <si>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</si>
  <si>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</si>
  <si>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</si>
  <si>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</si>
  <si>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</si>
  <si>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</si>
  <si>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</si>
  <si>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</si>
  <si>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</si>
  <si>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</si>
  <si>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</si>
  <si>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</si>
  <si>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</si>
  <si>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</si>
  <si>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</si>
  <si>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</si>
  <si>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</si>
  <si>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</si>
  <si>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</si>
  <si>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</si>
  <si>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Szacunkowa emisja gazów cieplarnianych z uwzględnieniem wymogów GHG Protocol Corporate Standard w wersji z 2004 r. (w tCO2e)</t>
  </si>
  <si>
    <t>Intensywność emisji gazów cieplarnianych na jednostkę obrotu</t>
  </si>
  <si>
    <t>Lokalizacje na obszarach wrażliwych pod względem bioróżnorodności</t>
  </si>
  <si>
    <t>Bioróżnorodność - użytkowanie gruntów</t>
  </si>
  <si>
    <t>B7 – Wykorzystanie zasobów, gospodarka o obiegu zamkniętym i gospodarowanie odpadami</t>
  </si>
  <si>
    <t>Odpady wytworzone</t>
  </si>
  <si>
    <t>Roczny przepływ masowy istotnych wykorzystywanych materiałów</t>
  </si>
  <si>
    <t>Ujawnienia społeczne</t>
  </si>
  <si>
    <t>B10 – Zasoby pracownicze – wynagrodzenie, rokowania zbiorowe i szkolenia</t>
  </si>
  <si>
    <t>Ujawnienia odnoszące się do ładu korporacyjnego</t>
  </si>
  <si>
    <t>B11 – Wyroki skazujące i grzywny za naruszenie przepisów antykorupcyjnych i przepisów w sprawie zwalczania przekupstwa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</si>
  <si>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</si>
  <si>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</si>
  <si>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</si>
  <si>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C5 – Dodatkowa (ogólna) charakterystyka pracowników</t>
  </si>
  <si>
    <t>C6 – Dodatkowe informacje dotyczące własnych zasobów pracowniczych – polityki i procesy dotyczące praw człowieka</t>
  </si>
  <si>
    <t>C7 – Poważne incydenty dotyczące praw człowieka</t>
  </si>
  <si>
    <t>Przychody z niektórych rodzajów działalności</t>
  </si>
  <si>
    <t>Dodatkowe ujawnienia</t>
  </si>
  <si>
    <t>Ujawnienie innych informacji ogólnych i/lub specyficznych dla jednostki dotyczących okresu sprawozdawczego</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</si>
  <si>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</si>
  <si>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</si>
  <si>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</si>
  <si>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</si>
  <si>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</si>
  <si>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</si>
  <si>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</si>
  <si>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</si>
  <si>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</si>
  <si>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</si>
  <si>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</si>
  <si>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</si>
  <si>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</si>
  <si>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</si>
  <si>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</si>
  <si>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</si>
  <si>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</si>
  <si>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</si>
  <si>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</si>
  <si>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</si>
  <si>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</si>
  <si>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</si>
  <si>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</si>
  <si>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</si>
  <si>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</si>
  <si>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</si>
  <si>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</si>
  <si>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</si>
  <si>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</si>
  <si>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</si>
  <si>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</si>
  <si>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</si>
  <si>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</si>
  <si>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</si>
  <si>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</si>
  <si>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</si>
  <si>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</si>
  <si>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</si>
  <si>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</si>
  <si>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</si>
  <si>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</si>
  <si>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</si>
  <si>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</si>
  <si>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</si>
  <si>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</si>
  <si>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</si>
  <si>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</si>
  <si>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</si>
  <si>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</si>
  <si>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</si>
  <si>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</si>
  <si>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</si>
  <si>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</si>
  <si>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</si>
  <si>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</si>
  <si>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</si>
  <si>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</si>
  <si>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</si>
  <si>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</si>
  <si>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</si>
  <si>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</si>
  <si>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</si>
  <si>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</si>
  <si>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</si>
  <si>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</si>
  <si>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</si>
  <si>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</si>
  <si>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</si>
  <si>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</si>
  <si>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</si>
  <si>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</si>
  <si>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</si>
  <si>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</si>
  <si>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</si>
  <si>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</si>
  <si>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</si>
  <si>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</si>
  <si>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</si>
  <si>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</si>
  <si>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</si>
  <si>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</si>
  <si>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</si>
  <si>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</si>
  <si>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</si>
  <si>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</si>
  <si>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</si>
  <si>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</si>
  <si>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</si>
  <si>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</si>
  <si>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</si>
  <si>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</si>
  <si>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</si>
  <si>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</si>
  <si>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</si>
  <si>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</si>
  <si>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</si>
  <si>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</si>
  <si>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</si>
  <si>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</si>
  <si>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</si>
  <si>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</si>
  <si>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</si>
  <si>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</si>
  <si>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</si>
  <si>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</si>
  <si>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</si>
  <si>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</si>
  <si>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</si>
  <si>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</si>
  <si>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</si>
  <si>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</si>
  <si>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</si>
  <si>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</si>
  <si>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</si>
  <si>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</si>
  <si>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</si>
  <si>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</si>
  <si>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</si>
  <si>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</si>
  <si>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</si>
  <si>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</si>
  <si>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</si>
  <si>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</si>
  <si>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</si>
  <si>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</si>
  <si>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</si>
  <si>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</si>
  <si>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</si>
  <si>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</si>
  <si>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</si>
  <si>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</si>
  <si>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</si>
  <si>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</si>
  <si>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</si>
  <si>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</si>
  <si>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</si>
  <si>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</si>
  <si>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</si>
  <si>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</si>
  <si>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</si>
  <si>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</si>
  <si>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</si>
  <si>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</si>
  <si>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</si>
  <si>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</si>
  <si>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</si>
  <si>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</si>
  <si>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</si>
  <si>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</si>
  <si>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</si>
  <si>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</si>
  <si>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</si>
  <si>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</si>
  <si>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</si>
  <si>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</si>
  <si>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</si>
  <si>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</si>
  <si>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</si>
  <si>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</si>
  <si>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</si>
  <si>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</si>
  <si>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</si>
  <si>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</si>
  <si>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</si>
  <si>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</si>
  <si>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</si>
  <si>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</si>
  <si>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</si>
  <si>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</si>
  <si>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</si>
  <si>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</si>
  <si>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</si>
  <si>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</si>
  <si>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</si>
  <si>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</si>
  <si>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</si>
  <si>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</si>
  <si>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</si>
  <si>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</si>
  <si>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</si>
  <si>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</si>
  <si>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</si>
  <si>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</si>
  <si>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</si>
  <si>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</si>
  <si>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</si>
  <si>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</si>
  <si>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</si>
  <si>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</si>
  <si>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</si>
  <si>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</si>
  <si>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</si>
  <si>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</si>
  <si>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</si>
  <si>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</si>
  <si>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</si>
  <si>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</si>
  <si>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</si>
  <si>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</si>
  <si>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</si>
  <si>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</si>
  <si>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</si>
  <si>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</si>
  <si>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</si>
  <si>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</si>
  <si>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</si>
  <si>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</si>
  <si>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</si>
  <si>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</si>
  <si>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</si>
  <si>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</si>
  <si>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</si>
  <si>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</si>
  <si>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</si>
  <si>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</si>
  <si>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</si>
  <si>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</si>
  <si>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</si>
  <si>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</si>
  <si>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</si>
  <si>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</si>
  <si>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</si>
  <si>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</si>
  <si>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</si>
  <si>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</si>
  <si>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</si>
  <si>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</si>
  <si>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</si>
  <si>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</si>
  <si>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</si>
  <si>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</si>
  <si>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</si>
  <si>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</si>
  <si>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</si>
  <si>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</si>
  <si>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</si>
  <si>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</si>
  <si>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</si>
  <si>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</si>
  <si>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</si>
  <si>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</si>
  <si>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</si>
  <si>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</si>
  <si>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</si>
  <si>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</si>
  <si>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</si>
  <si>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</si>
  <si>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</si>
  <si>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</si>
  <si>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</si>
  <si>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</si>
  <si>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</si>
  <si>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</si>
  <si>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</si>
  <si>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</si>
  <si>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</si>
  <si>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</si>
  <si>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</si>
  <si>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</si>
  <si>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</si>
  <si>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</si>
  <si>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</si>
  <si>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</si>
  <si>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</si>
  <si>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</si>
  <si>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</si>
  <si>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</si>
  <si>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</si>
  <si>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</si>
  <si>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</si>
  <si>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</si>
  <si>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</si>
  <si>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</si>
  <si>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</si>
  <si>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</si>
  <si>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</si>
  <si>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</si>
  <si>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</si>
  <si>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</si>
  <si>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</si>
  <si>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</si>
  <si>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</si>
  <si>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</si>
  <si>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</si>
  <si>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</si>
  <si>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</si>
  <si>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</si>
  <si>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</si>
  <si>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</si>
  <si>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</si>
  <si>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</si>
  <si>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</si>
  <si>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</si>
  <si>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</si>
  <si>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</si>
  <si>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</si>
  <si>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</si>
  <si>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</si>
  <si>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</si>
  <si>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</si>
  <si>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</si>
  <si>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</si>
  <si>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</si>
  <si>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</si>
  <si>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</si>
  <si>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</si>
  <si>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</si>
  <si>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</si>
  <si>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</si>
  <si>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</si>
  <si>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</si>
  <si>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</si>
  <si>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</si>
  <si>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</si>
  <si>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</si>
  <si>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</si>
  <si>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</si>
  <si>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</si>
  <si>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</si>
  <si>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</si>
  <si>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</si>
  <si>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</si>
  <si>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</si>
  <si>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</si>
  <si>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</si>
  <si>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</si>
  <si>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</si>
  <si>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</si>
  <si>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</si>
  <si>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</si>
  <si>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</si>
  <si>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</si>
  <si>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</si>
  <si>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</si>
  <si>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</si>
  <si>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</si>
  <si>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</si>
  <si>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</si>
  <si>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</si>
  <si>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</si>
  <si>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</si>
  <si>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</si>
  <si>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</si>
  <si>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</si>
  <si>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</si>
  <si>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</si>
  <si>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</si>
  <si>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</si>
  <si>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</si>
  <si>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</si>
  <si>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</si>
  <si>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</si>
  <si>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</si>
  <si>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</si>
  <si>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</si>
  <si>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</si>
  <si>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</si>
  <si>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</si>
  <si>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</si>
  <si>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</si>
  <si>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</si>
  <si>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</si>
  <si>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Emisiones brutas estimadas de gases de efecto invernadero considerando el Protocolo GHG versión 2004 (en tCO2e)</t>
  </si>
  <si>
    <t>Intensidad de emisión de gases de efecto invernadero por volumen de negocios</t>
  </si>
  <si>
    <t>B4 – Contaminación de la atmósfera, del agua y del suelo</t>
  </si>
  <si>
    <t>Sitios en zonas sensibles para la biodiversidad</t>
  </si>
  <si>
    <t>· B7 - Uso de los recursos, economía circular y gestión de residuos</t>
  </si>
  <si>
    <t>Flujo de masa anual de materiales pertinentes utilizados</t>
  </si>
  <si>
    <t>Divulgaciones Sociales</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</si>
  <si>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</si>
  <si>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</si>
  <si>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</si>
  <si>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</si>
  <si>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</si>
  <si>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</si>
  <si>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</si>
  <si>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</si>
  <si>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</si>
  <si>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</si>
  <si>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</si>
  <si>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</si>
  <si>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</si>
  <si>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</si>
  <si>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</si>
  <si>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</si>
  <si>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</si>
  <si>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</si>
  <si>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</si>
  <si>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</si>
  <si>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</si>
  <si>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</si>
  <si>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</si>
  <si>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</si>
  <si>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</si>
  <si>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</si>
  <si>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</si>
  <si>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</si>
  <si>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</si>
  <si>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</si>
  <si>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</si>
  <si>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</si>
  <si>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</si>
  <si>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</si>
  <si>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</si>
  <si>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</si>
  <si>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</si>
  <si>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</si>
  <si>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</si>
  <si>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</si>
  <si>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</si>
  <si>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</si>
  <si>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</si>
  <si>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</si>
  <si>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</si>
  <si>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</si>
  <si>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</si>
  <si>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</si>
  <si>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</si>
  <si>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</si>
  <si>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</si>
  <si>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</si>
  <si>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</si>
  <si>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</si>
  <si>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</si>
  <si>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</si>
  <si>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</si>
  <si>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</si>
  <si>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</si>
  <si>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</si>
  <si>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</si>
  <si>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</si>
  <si>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</si>
  <si>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</si>
  <si>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</si>
  <si>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</si>
  <si>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</si>
  <si>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</si>
  <si>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</si>
  <si>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</si>
  <si>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</si>
  <si>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</si>
  <si>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</si>
  <si>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</si>
  <si>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</si>
  <si>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</si>
  <si>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</si>
  <si>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</si>
  <si>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</si>
  <si>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</si>
  <si>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</si>
  <si>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</si>
  <si>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</si>
  <si>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</si>
  <si>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</si>
  <si>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</si>
  <si>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</si>
  <si>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</si>
  <si>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</si>
  <si>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</si>
  <si>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</si>
  <si>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</si>
  <si>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</si>
  <si>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</si>
  <si>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</si>
  <si>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</si>
  <si>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</si>
  <si>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</si>
  <si>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</si>
  <si>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</si>
  <si>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</si>
  <si>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</si>
  <si>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</si>
  <si>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</si>
  <si>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</si>
  <si>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</si>
  <si>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</si>
  <si>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</si>
  <si>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</si>
  <si>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</si>
  <si>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</si>
  <si>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</si>
  <si>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</si>
  <si>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</si>
  <si>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</si>
  <si>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</si>
  <si>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</si>
  <si>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</si>
  <si>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</si>
  <si>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</si>
  <si>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</si>
  <si>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</si>
  <si>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</si>
  <si>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</si>
  <si>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</si>
  <si>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</si>
  <si>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</si>
  <si>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</si>
  <si>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</si>
  <si>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</si>
  <si>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</si>
  <si>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</si>
  <si>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</si>
  <si>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</si>
  <si>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</si>
  <si>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</si>
  <si>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</si>
  <si>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</si>
  <si>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</si>
  <si>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</si>
  <si>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</si>
  <si>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</si>
  <si>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</si>
  <si>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</si>
  <si>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</si>
  <si>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</si>
  <si>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</si>
  <si>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</si>
  <si>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</si>
  <si>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</si>
  <si>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</si>
  <si>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</si>
  <si>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</si>
  <si>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</si>
  <si>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</si>
  <si>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</si>
  <si>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</si>
  <si>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</si>
  <si>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</si>
  <si>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</si>
  <si>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</si>
  <si>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</si>
  <si>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</si>
  <si>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</si>
  <si>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</si>
  <si>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</si>
  <si>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</si>
  <si>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</si>
  <si>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</si>
  <si>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</si>
  <si>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</si>
  <si>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</si>
  <si>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</si>
  <si>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</si>
  <si>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</si>
  <si>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</si>
  <si>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</si>
  <si>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</si>
  <si>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</si>
  <si>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</si>
  <si>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</si>
  <si>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</si>
  <si>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</si>
  <si>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</si>
  <si>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</si>
  <si>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</si>
  <si>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</si>
  <si>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</si>
  <si>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</si>
  <si>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</si>
  <si>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</si>
  <si>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</si>
  <si>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</si>
  <si>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</si>
  <si>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</si>
  <si>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</si>
  <si>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</si>
  <si>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</si>
  <si>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</si>
  <si>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</si>
  <si>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</si>
  <si>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</si>
  <si>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</si>
  <si>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</si>
  <si>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</si>
  <si>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</si>
  <si>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</si>
  <si>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</si>
  <si>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</si>
  <si>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</si>
  <si>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</si>
  <si>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</si>
  <si>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</si>
  <si>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</si>
  <si>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</si>
  <si>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</si>
  <si>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</si>
  <si>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</si>
  <si>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</si>
  <si>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</si>
  <si>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</si>
  <si>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</si>
  <si>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</si>
  <si>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</si>
  <si>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</si>
  <si>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</si>
  <si>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</si>
  <si>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</si>
  <si>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</si>
  <si>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</si>
  <si>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</si>
  <si>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</si>
  <si>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</si>
  <si>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</si>
  <si>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</si>
  <si>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</si>
  <si>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</si>
  <si>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</si>
  <si>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</si>
  <si>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</si>
  <si>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</si>
  <si>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</si>
  <si>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</si>
  <si>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</si>
  <si>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</si>
  <si>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</si>
  <si>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</si>
  <si>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</si>
  <si>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</si>
  <si>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</si>
  <si>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</si>
  <si>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</si>
  <si>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</si>
  <si>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</si>
  <si>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</si>
  <si>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</si>
  <si>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</si>
  <si>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</si>
  <si>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</si>
  <si>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</si>
  <si>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</si>
  <si>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</si>
  <si>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</si>
  <si>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</si>
  <si>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</si>
  <si>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</si>
  <si>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</si>
  <si>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</si>
  <si>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</si>
  <si>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</si>
  <si>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</si>
  <si>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</si>
  <si>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</si>
  <si>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</si>
  <si>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</si>
  <si>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</si>
  <si>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</si>
  <si>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</si>
  <si>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</si>
  <si>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</si>
  <si>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</si>
  <si>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</si>
  <si>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</si>
  <si>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</si>
  <si>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</si>
  <si>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</si>
  <si>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</si>
  <si>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</si>
  <si>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</si>
  <si>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</si>
  <si>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Objektai biologinei įvairovei jautriose teritorijose</t>
  </si>
  <si>
    <t>Biologinė įvairovė – žemės sunaudojimas</t>
  </si>
  <si>
    <t>Vandens išgavimas</t>
  </si>
  <si>
    <t>· B7 - Išteklių naudojimas, žiedinė ekonomika ir atliekų tvarkymas</t>
  </si>
  <si>
    <t>Metinis reikšmingų naudojamų medžiagų sunaudojimas</t>
  </si>
  <si>
    <t>Socialinių rodiklių atskleidimai</t>
  </si>
  <si>
    <t>Sutarties tipas</t>
  </si>
  <si>
    <t>Šalis, kurioje dirbama</t>
  </si>
  <si>
    <t>Valdysenos rodiklių atskleidimai</t>
  </si>
  <si>
    <t>IŠSAMUSIS MODULIS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</si>
  <si>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</si>
  <si>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</si>
  <si>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</si>
  <si>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 C5 - Papildomi (bendrieji) darbuotojų rodikliai</t>
  </si>
  <si>
    <t>Neįtraukimai į ES lyginamuosius etalonus</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</si>
  <si>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</si>
  <si>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</si>
  <si>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</si>
  <si>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</si>
  <si>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</si>
  <si>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</si>
  <si>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</si>
  <si>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</si>
  <si>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</si>
  <si>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</si>
  <si>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</si>
  <si>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</si>
  <si>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</si>
  <si>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</si>
  <si>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</si>
  <si>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</si>
  <si>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</si>
  <si>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</si>
  <si>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</si>
  <si>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</si>
  <si>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</si>
  <si>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</si>
  <si>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</si>
  <si>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</si>
  <si>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</si>
  <si>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</si>
  <si>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</si>
  <si>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</si>
  <si>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</si>
  <si>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</si>
  <si>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</si>
  <si>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</si>
  <si>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</si>
  <si>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</si>
  <si>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</si>
  <si>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</si>
  <si>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</si>
  <si>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</si>
  <si>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</si>
  <si>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</si>
  <si>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</si>
  <si>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</si>
  <si>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</si>
  <si>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</si>
  <si>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</si>
  <si>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</si>
  <si>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</si>
  <si>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</si>
  <si>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</si>
  <si>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</si>
  <si>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</si>
  <si>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</si>
  <si>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</si>
  <si>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</si>
  <si>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</si>
  <si>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</si>
  <si>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</si>
  <si>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</si>
  <si>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</si>
  <si>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</si>
  <si>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</si>
  <si>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</si>
  <si>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</si>
  <si>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</si>
  <si>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</si>
  <si>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</si>
  <si>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</si>
  <si>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</si>
  <si>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</si>
  <si>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</si>
  <si>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</si>
  <si>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</si>
  <si>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</si>
  <si>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</si>
  <si>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</si>
  <si>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</si>
  <si>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</si>
  <si>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</si>
  <si>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</si>
  <si>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</si>
  <si>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</si>
  <si>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</si>
  <si>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</si>
  <si>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</si>
  <si>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</si>
  <si>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</si>
  <si>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</si>
  <si>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</si>
  <si>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</si>
  <si>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</si>
  <si>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</si>
  <si>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</si>
  <si>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</si>
  <si>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</si>
  <si>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</si>
  <si>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</si>
  <si>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</si>
  <si>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</si>
  <si>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</si>
  <si>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</si>
  <si>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</si>
  <si>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</si>
  <si>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</si>
  <si>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</si>
  <si>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</si>
  <si>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</si>
  <si>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</si>
  <si>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</si>
  <si>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</si>
  <si>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</si>
  <si>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</si>
  <si>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</si>
  <si>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</si>
  <si>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</si>
  <si>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</si>
  <si>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</si>
  <si>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</si>
  <si>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</si>
  <si>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</si>
  <si>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</si>
  <si>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</si>
  <si>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</si>
  <si>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</si>
  <si>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</si>
  <si>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</si>
  <si>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</si>
  <si>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</si>
  <si>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</si>
  <si>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</si>
  <si>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</si>
  <si>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</si>
  <si>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</si>
  <si>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</si>
  <si>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</si>
  <si>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</si>
  <si>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</si>
  <si>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</si>
  <si>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</si>
  <si>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</si>
  <si>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</si>
  <si>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</si>
  <si>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</si>
  <si>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</si>
  <si>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</si>
  <si>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</si>
  <si>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</si>
  <si>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</si>
  <si>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</si>
  <si>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</si>
  <si>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</si>
  <si>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</si>
  <si>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</si>
  <si>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</si>
  <si>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</si>
  <si>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</si>
  <si>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</si>
  <si>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</si>
  <si>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</si>
  <si>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</si>
  <si>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</si>
  <si>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</si>
  <si>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</si>
  <si>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</si>
  <si>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</si>
  <si>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</si>
  <si>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</si>
  <si>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</si>
  <si>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</si>
  <si>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</si>
  <si>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</si>
  <si>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</si>
  <si>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</si>
  <si>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</si>
  <si>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</si>
  <si>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</si>
  <si>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</si>
  <si>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</si>
  <si>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</si>
  <si>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</si>
  <si>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</si>
  <si>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</si>
  <si>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</si>
  <si>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</si>
  <si>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</si>
  <si>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</si>
  <si>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</si>
  <si>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</si>
  <si>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</si>
  <si>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</si>
  <si>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</si>
  <si>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</si>
  <si>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</si>
  <si>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</si>
  <si>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</si>
  <si>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</si>
  <si>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</si>
  <si>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</si>
  <si>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</si>
  <si>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 prekyba žmonėmis</t>
  </si>
  <si>
    <t>· nelaimingų atsitikimų prevencija</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</si>
  <si>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</si>
  <si>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</si>
  <si>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</si>
  <si>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</si>
  <si>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</si>
  <si>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</si>
  <si>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</si>
  <si>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</si>
  <si>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</si>
  <si>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</si>
  <si>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</si>
  <si>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</si>
  <si>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</si>
  <si>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</si>
  <si>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</si>
  <si>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</si>
  <si>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</si>
  <si>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</si>
  <si>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</si>
  <si>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</si>
  <si>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</si>
  <si>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</si>
  <si>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</si>
  <si>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</si>
  <si>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</si>
  <si>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</si>
  <si>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</si>
  <si>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</si>
  <si>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</si>
  <si>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</si>
  <si>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</si>
  <si>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</si>
  <si>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</si>
  <si>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</si>
  <si>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</si>
  <si>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</si>
  <si>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</si>
  <si>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</si>
  <si>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</si>
  <si>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</si>
  <si>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</si>
  <si>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</si>
  <si>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</si>
  <si>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</si>
  <si>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</si>
  <si>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</si>
  <si>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</si>
  <si>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</si>
  <si>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</si>
  <si>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</si>
  <si>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</si>
  <si>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</si>
  <si>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</si>
  <si>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</si>
  <si>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</si>
  <si>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</si>
  <si>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</si>
  <si>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</si>
  <si>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</si>
  <si>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</si>
  <si>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</si>
  <si>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</si>
  <si>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</si>
  <si>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</si>
  <si>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</si>
  <si>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</si>
  <si>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</si>
  <si>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</si>
  <si>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</si>
  <si>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</si>
  <si>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</si>
  <si>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</si>
  <si>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</si>
  <si>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</si>
  <si>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</si>
  <si>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</si>
  <si>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</si>
  <si>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</si>
  <si>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</si>
  <si>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</si>
  <si>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</si>
  <si>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</si>
  <si>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</si>
  <si>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</si>
  <si>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</si>
  <si>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</si>
  <si>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</si>
  <si>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</si>
  <si>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</si>
  <si>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</si>
  <si>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</si>
  <si>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</si>
  <si>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</si>
  <si>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</si>
  <si>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</si>
  <si>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</si>
  <si>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</si>
  <si>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</si>
  <si>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</si>
  <si>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</si>
  <si>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</si>
  <si>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</si>
  <si>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</si>
  <si>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</si>
  <si>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</si>
  <si>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</si>
  <si>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</si>
  <si>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</si>
  <si>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</si>
  <si>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</si>
  <si>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</si>
  <si>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</si>
  <si>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</si>
  <si>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</si>
  <si>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</si>
  <si>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</si>
  <si>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</si>
  <si>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</si>
  <si>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</si>
  <si>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</si>
  <si>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</si>
  <si>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</si>
  <si>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</si>
  <si>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</si>
  <si>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</si>
  <si>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</si>
  <si>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</si>
  <si>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</si>
  <si>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</si>
  <si>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</si>
  <si>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</si>
  <si>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</si>
  <si>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</si>
  <si>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</si>
  <si>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</si>
  <si>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</si>
  <si>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</si>
  <si>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</si>
  <si>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</si>
  <si>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</si>
  <si>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</si>
  <si>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</si>
  <si>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</si>
  <si>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</si>
  <si>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</si>
  <si>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</si>
  <si>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</si>
  <si>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</si>
  <si>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</si>
  <si>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</si>
  <si>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</si>
  <si>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</si>
  <si>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</si>
  <si>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</si>
  <si>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</si>
  <si>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</si>
  <si>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</si>
  <si>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</si>
  <si>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</si>
  <si>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</si>
  <si>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</si>
  <si>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</si>
  <si>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</si>
  <si>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</si>
  <si>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</si>
  <si>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</si>
  <si>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</si>
  <si>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</si>
  <si>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</si>
  <si>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</si>
  <si>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</si>
  <si>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</si>
  <si>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</si>
  <si>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</si>
  <si>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</si>
  <si>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</si>
  <si>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</si>
  <si>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</si>
  <si>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</si>
  <si>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</si>
  <si>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</si>
  <si>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</si>
  <si>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</si>
  <si>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</si>
  <si>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</si>
  <si>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</si>
  <si>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</si>
  <si>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</si>
  <si>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</si>
  <si>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</si>
  <si>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</si>
  <si>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</si>
  <si>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</si>
  <si>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</si>
  <si>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</si>
  <si>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</si>
  <si>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</si>
  <si>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</si>
  <si>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</si>
  <si>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</si>
  <si>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</si>
  <si>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</si>
  <si>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</si>
  <si>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</si>
  <si>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</si>
  <si>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</si>
  <si>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</si>
  <si>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</si>
  <si>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</si>
  <si>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</si>
  <si>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</si>
  <si>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</si>
  <si>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</si>
  <si>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</si>
  <si>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</si>
  <si>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</si>
  <si>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</si>
  <si>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</si>
  <si>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</si>
  <si>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</si>
  <si>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</si>
  <si>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</si>
  <si>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</si>
  <si>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</si>
  <si>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</si>
  <si>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</si>
  <si>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</si>
  <si>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</si>
  <si>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</si>
  <si>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</si>
  <si>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</si>
  <si>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</si>
  <si>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</si>
  <si>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</si>
  <si>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</si>
  <si>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</si>
  <si>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</si>
  <si>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</si>
  <si>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</si>
  <si>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</si>
  <si>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</si>
  <si>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</si>
  <si>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</si>
  <si>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</si>
  <si>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</si>
  <si>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</si>
  <si>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</si>
  <si>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</si>
  <si>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</si>
  <si>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</si>
  <si>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</si>
  <si>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</si>
  <si>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</si>
  <si>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</si>
  <si>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</si>
  <si>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</si>
  <si>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</si>
  <si>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</si>
  <si>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</si>
  <si>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</si>
  <si>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</si>
  <si>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</si>
  <si>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</si>
  <si>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</si>
  <si>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</si>
  <si>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</si>
  <si>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</si>
  <si>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</si>
  <si>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</si>
  <si>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</si>
  <si>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</si>
  <si>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</si>
  <si>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</si>
  <si>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</si>
  <si>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</si>
  <si>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</si>
  <si>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</si>
  <si>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</si>
  <si>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</si>
  <si>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</si>
  <si>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</si>
  <si>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</si>
  <si>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</si>
  <si>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</si>
  <si>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</si>
  <si>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</si>
  <si>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</si>
  <si>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</si>
  <si>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</si>
  <si>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</si>
  <si>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</si>
  <si>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</si>
  <si>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</si>
  <si>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</si>
  <si>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</si>
  <si>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</si>
  <si>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</si>
  <si>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</si>
  <si>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</si>
  <si>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</si>
  <si>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</si>
  <si>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</si>
  <si>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</si>
  <si>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</si>
  <si>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</si>
  <si>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</si>
  <si>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Volume em Massa</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</si>
  <si>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</si>
  <si>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</si>
  <si>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</si>
  <si>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</si>
  <si>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</si>
  <si>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</si>
  <si>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</si>
  <si>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</si>
  <si>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</si>
  <si>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</si>
  <si>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</si>
  <si>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</si>
  <si>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</si>
  <si>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</si>
  <si>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</si>
  <si>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</si>
  <si>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</si>
  <si>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</si>
  <si>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</si>
  <si>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</si>
  <si>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</si>
  <si>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</si>
  <si>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</si>
  <si>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</si>
  <si>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</si>
  <si>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</si>
  <si>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</si>
  <si>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</si>
  <si>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</si>
  <si>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</si>
  <si>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</si>
  <si>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</si>
  <si>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</si>
  <si>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</si>
  <si>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</si>
  <si>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</si>
  <si>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</si>
  <si>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</si>
  <si>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</si>
  <si>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</si>
  <si>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</si>
  <si>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</si>
  <si>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</si>
  <si>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</si>
  <si>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</si>
  <si>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</si>
  <si>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</si>
  <si>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</si>
  <si>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</si>
  <si>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</si>
  <si>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</si>
  <si>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</si>
  <si>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</si>
  <si>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</si>
  <si>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</si>
  <si>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</si>
  <si>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</si>
  <si>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</si>
  <si>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</si>
  <si>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</si>
  <si>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</si>
  <si>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</si>
  <si>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</si>
  <si>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</si>
  <si>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</si>
  <si>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</si>
  <si>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</si>
  <si>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</si>
  <si>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</si>
  <si>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</si>
  <si>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</si>
  <si>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</si>
  <si>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</si>
  <si>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</si>
  <si>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</si>
  <si>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</si>
  <si>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</si>
  <si>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</si>
  <si>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</si>
  <si>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</si>
  <si>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</si>
  <si>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</si>
  <si>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</si>
  <si>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</si>
  <si>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</si>
  <si>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</si>
  <si>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</si>
  <si>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</si>
  <si>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</si>
  <si>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</si>
  <si>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</si>
  <si>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</si>
  <si>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</si>
  <si>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</si>
  <si>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</si>
  <si>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</si>
  <si>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</si>
  <si>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</si>
  <si>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</si>
  <si>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</si>
  <si>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</si>
  <si>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</si>
  <si>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</si>
  <si>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</si>
  <si>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</si>
  <si>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</si>
  <si>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</si>
  <si>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</si>
  <si>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</si>
  <si>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</si>
  <si>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</si>
  <si>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</si>
  <si>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</si>
  <si>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</si>
  <si>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</si>
  <si>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</si>
  <si>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</si>
  <si>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</si>
  <si>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</si>
  <si>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</si>
  <si>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</si>
  <si>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</si>
  <si>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</si>
  <si>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</si>
  <si>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</si>
  <si>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</si>
  <si>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</si>
  <si>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</si>
  <si>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</si>
  <si>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</si>
  <si>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</si>
  <si>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</si>
  <si>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</si>
  <si>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</si>
  <si>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</si>
  <si>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</si>
  <si>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</si>
  <si>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</si>
  <si>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</si>
  <si>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</si>
  <si>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</si>
  <si>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</si>
  <si>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</si>
  <si>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</si>
  <si>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</si>
  <si>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</si>
  <si>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</si>
  <si>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</si>
  <si>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</si>
  <si>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</si>
  <si>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</si>
  <si>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</si>
  <si>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</si>
  <si>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</si>
  <si>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</si>
  <si>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</si>
  <si>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</si>
  <si>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</si>
  <si>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</si>
  <si>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</si>
  <si>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</si>
  <si>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</si>
  <si>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</si>
  <si>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</si>
  <si>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</si>
  <si>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</si>
  <si>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</si>
  <si>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</si>
  <si>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</si>
  <si>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</si>
  <si>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</si>
  <si>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</si>
  <si>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</si>
  <si>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</si>
  <si>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4. Validate the data entered by checking the validation status. The report is considered incomplete or erroneous if the validation fails, which might result in an invalid XBRL report.</t>
  </si>
  <si>
    <t>B10 – Number of annual training hours per employee during the reporting period</t>
  </si>
  <si>
    <t>B10 – Vidutinis metinis mokymo valandų skaičius vienam darbuotojui ataskaitiniu laikotarpiu</t>
  </si>
  <si>
    <t>B10 – Średnia liczba godzin szkoleń w ciągu roku na pracownika w okresie sprawozdawczym</t>
  </si>
  <si>
    <t>B10 – Número médio de horas de formação anual por trabalhador durante o período de relato</t>
  </si>
  <si>
    <t>B10 – Número de horas anuales de formación por empleado durante el período de información</t>
  </si>
  <si>
    <t>German - Reviewed translation by German Standard Setter</t>
  </si>
  <si>
    <t>Unternehmensname</t>
  </si>
  <si>
    <t>Unternehmenskennung (ID)</t>
  </si>
  <si>
    <t>System zur Unternehmenskennung</t>
  </si>
  <si>
    <t>Berichtswährung</t>
  </si>
  <si>
    <t>Dezimaltrennzeichen</t>
  </si>
  <si>
    <t xml:space="preserve">Berichtszeitraum
</t>
  </si>
  <si>
    <t>Bericht erstellt</t>
  </si>
  <si>
    <t>Alle Angaben beziehen sich auf den oben genannten Berichtszeitraum, sofern nicht anders angegeben.</t>
  </si>
  <si>
    <t>Inhaltsverzeichnis</t>
  </si>
  <si>
    <t>Berichtszeitraum:</t>
  </si>
  <si>
    <t>Dieser Bericht enthält {{ ns.fact_count }} XBRL facts ({{ facts | count }} unique facts).</t>
  </si>
  <si>
    <t>Veröffentlichungsdatum:</t>
  </si>
  <si>
    <t>Taxonomie-Zugangspunkt (entry point)</t>
  </si>
  <si>
    <t>Sprachauswahl:</t>
  </si>
  <si>
    <t>Überschrift des Berichts</t>
  </si>
  <si>
    <t>Nachhaltigkeitsbericht</t>
  </si>
  <si>
    <t>Untertitel des Berichts</t>
  </si>
  <si>
    <t>Erstellt gemäß dem Standard für die freiwillige Nachhaltigkeitsberichterstattung kleiner und mittlerer 
Unternehmen (VSME), veröffentlicht durch die Europäische Kommission am 30. Juli 2025.</t>
  </si>
  <si>
    <t>Digitale VSME-Vorlage</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</si>
  <si>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</si>
  <si>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Anleitung:</t>
  </si>
  <si>
    <t>0. Geben Sie die Informationen an, die für die Erstellung des VSME- und XBRL-Berichts verpflichtend anzugeben sind.</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</si>
  <si>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</si>
  <si>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</si>
  <si>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</si>
  <si>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 xml:space="preserve">4. Eingegebene Daten können über den Validierungsstatus überprüft werden. Wenn die Validierung fehlschlägt, gilt der Bericht als unvollständig oder fehlerhaft. Dies kann zu einem ungültigen XBRL-Bericht führen. 
</t>
  </si>
  <si>
    <t>5. Konvertieren Sie diese VSME-Vorlage mit dem Online-Konverter in einen Inline-XBRL-Bericht (oder XBRL-JSON, XBRL-CSV). Achten Sie auf die vom Validator durchgeführte XBRL-Validierung.</t>
  </si>
  <si>
    <t xml:space="preserve">6. Das Unternehmen kann den Bericht auch in öffentlichen Archiven oder auf einer Webseite hochladen. </t>
  </si>
  <si>
    <t>Die Hintergrundfarben der Zellen haben folgende Bedeutungen:</t>
  </si>
  <si>
    <t>Allgemeine Grundsätze</t>
  </si>
  <si>
    <t>Bedeutet, dass die Angabe sich auf die allgemeinen Grundsätze des VSME bezieht.</t>
  </si>
  <si>
    <t>Basismodul</t>
  </si>
  <si>
    <t>Bedeutet, dass die Angabe aus dem VSME-Basismodul stammt.</t>
  </si>
  <si>
    <t>Zusatzmodul</t>
  </si>
  <si>
    <t>Bedeutet, dass die Angabe aus dem VSME-Zusatzmodul stammt.</t>
  </si>
  <si>
    <t>Bedeutet, dass die Zelle automatisch berechnet wird und keine Dateneingabe erforderlich ist.</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</si>
  <si>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</si>
  <si>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Bedeutet, dass keine Dateneingabe erforderlich ist, es sei denn, bestimmte Logiken (z.B. "falls zutreffend") werden in der Angabe selbst ausgewählt. Wenn eine dieser Logiken ausgewählt wird, wird diese Zelle weiß.</t>
  </si>
  <si>
    <t>Validierung FEHLENDER WERT/FEHLER/INKONSISTENTER WERT/UNGÜLTIGE URL</t>
  </si>
  <si>
    <t>Bedeutet, dass entweder die Dateneingabe im Hinblick auf das Format fehlerhaft ist oder dass bestimmte Informationen fehlen, um die Angabe korrekt zu erfassen.</t>
  </si>
  <si>
    <t>Validierung OK</t>
  </si>
  <si>
    <t>Bedeutet, dass die Dateneingabe in Ordnung ist und das Unternehmen mit der nächsten Angabe fortfahren kann.</t>
  </si>
  <si>
    <t>In diese Zelle kann kein Wert eingegeben werden.</t>
  </si>
  <si>
    <t>Listen können mit der Plus [+] Taste links erweitert werden. Wenn die Anzahl der Zeilen nicht ausreicht, können weitere Zeilen hinzugefügt werden, indem man mit der rechten Maustaste auf die zweite Zeile klickt und „Zeile einfügen“ auswählt.</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</si>
  <si>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</si>
  <si>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 xml:space="preserve">Die Vervielfältigungs- und Nutzungsrechte sind streng begrenzt. Für weitere Informationen wenden Sie sich bitte an efragsecretariat@efrag.org
</t>
  </si>
  <si>
    <t>Gesamtstatus der Validierung</t>
  </si>
  <si>
    <t>Die Gruppierung der Inhalte folgt dem Aufbau der VSME-Vorlage</t>
  </si>
  <si>
    <t>Spezifischer Validierungsstatus des Inhalts</t>
  </si>
  <si>
    <t xml:space="preserve">Allgemeine Informationen
</t>
  </si>
  <si>
    <t>· Informationen über den Bericht, die für XBRL erforderlich sind</t>
  </si>
  <si>
    <t>· Informationen zum vorherigen Berichtszeitraum</t>
  </si>
  <si>
    <t>· B1 - Grundlagen für die Erstellung</t>
  </si>
  <si>
    <t>Grundlagen für die Erstellung und weitere allgemeine Informationen des Unternehmens</t>
  </si>
  <si>
    <t>Liste der Tochterunternehmen</t>
  </si>
  <si>
    <t>Nachweis über nachhaltigkeitsbezogene Zertifizierungen oder sonstige nachhaltigkeitsbezogene Siegel</t>
  </si>
  <si>
    <t>Liste der Standorte</t>
  </si>
  <si>
    <t>· B2 - Verfahrensweisen, Richtlinien und künftige Initiativen für den Übergang zu einer nachhaltigeren Wirtschaft</t>
  </si>
  <si>
    <t>Verfahrensweisen, Richtlinien und künftige Initiativen für den Übergang zu einer nachhaltigeren Wirtschaft</t>
  </si>
  <si>
    <t>Genossenschaftsspezifische Angaben</t>
  </si>
  <si>
    <t>Umweltangaben</t>
  </si>
  <si>
    <t>· B3 - Energie und Treibhausgasemissionen</t>
  </si>
  <si>
    <t>Gesamtenergieverbrauch (in MWh)</t>
  </si>
  <si>
    <t>Aufschlüsselung des Energieverbrauchs (in MWh)</t>
  </si>
  <si>
    <t>Geschätzte Treibhausgasemissionen unter Berücksichtigung des THG-Protokolls (GHG Protocol, Corporate Standard) Version 2004  (in tCO2e)</t>
  </si>
  <si>
    <t>Treibhausgas-Emissionsintensität im Verhältnis zu den Umsatzerlösen</t>
  </si>
  <si>
    <t>· B4 - Luft-, Wasser- und Bodenverschmutzung</t>
  </si>
  <si>
    <t>· B5 - Biodiversität</t>
  </si>
  <si>
    <t>Standorte in Gebieten mit schutzbedürftiger Biodiversität</t>
  </si>
  <si>
    <t>Biodiversität – Flächennutzung</t>
  </si>
  <si>
    <t>· B6 - Wasser</t>
  </si>
  <si>
    <t>Wasserentnahme</t>
  </si>
  <si>
    <t>Wasserverbrauch</t>
  </si>
  <si>
    <t>· B7 - Ressourcennutzung, Kreislaufwirtschaft und Abfallwirtschaft</t>
  </si>
  <si>
    <t>Beschreibung der Grundsätze der Kreislaufwirtschaft</t>
  </si>
  <si>
    <t>Abfallaufkommen</t>
  </si>
  <si>
    <t>Jährlicher Massenstrom der verwendeten relevanten Materialien</t>
  </si>
  <si>
    <t>Sozialangaben</t>
  </si>
  <si>
    <t>· B8 - Arbeitskräfte – Allgemeine Merkmale</t>
  </si>
  <si>
    <t>Art des (Arbeits-)Vertrags</t>
  </si>
  <si>
    <t>Geschlecht</t>
  </si>
  <si>
    <t>Land des Arbeitsvertrags</t>
  </si>
  <si>
    <t>Fluktuationsrate</t>
  </si>
  <si>
    <t>· B9 - Arbeitskräfte – Gesundheitsschutz und Sicherheit</t>
  </si>
  <si>
    <t>· B10 - Arbeitskräfte – Vergütung, Tarif-/Kollektivverhandlungen und Schulung</t>
  </si>
  <si>
    <t>Governance-Angaben</t>
  </si>
  <si>
    <t>· B11 - Verurteilungen und Geldstrafen wegen Korruption und Bestechung</t>
  </si>
  <si>
    <t>· C1 - Strategie: Geschäftsmodell und Nachhaltigkeit – Zugehörige Initiativen</t>
  </si>
  <si>
    <t>· C2 - Beschreibung von Verfahrensweisen, Richtlinien und künftigen Initiativen für den Übergang zu einer nachhaltigeren Wirtschaft</t>
  </si>
  <si>
    <t>· C3 - THG-Reduktionsziele und Übergang für den Klimaschutz</t>
  </si>
  <si>
    <t>THG-Reduktionsziele (in tCO2e)</t>
  </si>
  <si>
    <t>Angabe der wesentlichen Maßnahmen, die das Unternehmen zur Erreichung seiner Ziele durchzuführen beabsichtigt</t>
  </si>
  <si>
    <t>Übergangsplan für Unternehmen, die in klimaintensiven Sektoren tätig sind</t>
  </si>
  <si>
    <t>· C4 - Klimabedingte Risiken</t>
  </si>
  <si>
    <t>· C5 - Zusätzliche (allgemeine) Merkmale der Arbeitskräfte</t>
  </si>
  <si>
    <t>· C6 - Zusätzliche Informationen über die Arbeitskräfte des Unternehmens – Richtlinien für die Achtung der Menschenrechte und diesbezügliche Prozesse</t>
  </si>
  <si>
    <t>· C7 - Schwerwiegende Vorfälle im Zusammenhang mit Menschenrechten</t>
  </si>
  <si>
    <t>· C8 - Umsatzerlöse aus bestimmten Tätigkeiten und Ausnahme von EU-Referenzwerten</t>
  </si>
  <si>
    <t>Umsatzerlöse aus bestimmten Tätigkeiten</t>
  </si>
  <si>
    <t>Ausschluss von EU-Referenzwerten</t>
  </si>
  <si>
    <t>· C9 - Geschlechtervielfalt im Leitungsorgan</t>
  </si>
  <si>
    <t>Zusätzliche Angaben</t>
  </si>
  <si>
    <t>· Angabe weiterer allgemeiner und/oder unternehmensspezifischer Informationen im Berichtszeitraum</t>
  </si>
  <si>
    <t>· Angabe weiterer umweltbezogener und/oder unternehmensspezifischer umweltbezogener Angaben</t>
  </si>
  <si>
    <t>· Angabe weiterer Sozial- und/oder unternehmensspezifischer Sozialangaben</t>
  </si>
  <si>
    <t>· Angabe weiterer Governance- und/oder unternehmensspezifischer Governance-Angaben</t>
  </si>
  <si>
    <t>Verweis auf Absatz/ Nummer</t>
  </si>
  <si>
    <t>Verweis auf Leitlinien-absatz/ -nummer</t>
  </si>
  <si>
    <t>vom</t>
  </si>
  <si>
    <t>bis</t>
  </si>
  <si>
    <t>zum</t>
  </si>
  <si>
    <t>[Immer anzugeben]</t>
  </si>
  <si>
    <t>[Falls zutreffend]</t>
  </si>
  <si>
    <t>[Kann (optional)]</t>
  </si>
  <si>
    <t>Kann (optional)</t>
  </si>
  <si>
    <t>[Immer anzugeben + falls zutreffend]</t>
  </si>
  <si>
    <t>[Falls angegeben mit B2 verknüpft]</t>
  </si>
  <si>
    <t>Betrag in</t>
  </si>
  <si>
    <t>Informationen über den Bericht, die für XBRL erforderlich sind</t>
  </si>
  <si>
    <t>Name des berichterstattenden Unternehmens</t>
  </si>
  <si>
    <t>Kennung des berichterstattenden Unternehmens (rechts auswählen und angeben)</t>
  </si>
  <si>
    <t>Währung der monetären Angaben im Bericht</t>
  </si>
  <si>
    <t>Beginn: Jahr</t>
  </si>
  <si>
    <t>Beginn: Monat</t>
  </si>
  <si>
    <t>Beginn: Tag</t>
  </si>
  <si>
    <t>Beginn des Berichtszeitraums (yyyy-mm-dd)</t>
  </si>
  <si>
    <t>Ende: Jahr</t>
  </si>
  <si>
    <t>Ende: Monat</t>
  </si>
  <si>
    <t>Ende: Tag</t>
  </si>
  <si>
    <t>Ende des Berichtszeitraums (yyyy-mm-dd)</t>
  </si>
  <si>
    <t>Informationen zum vorherigen Berichtszeitraum</t>
  </si>
  <si>
    <t xml:space="preserve">Dieser Bericht enthält Angaben, die sich gegenüber dem vorherigen Berichtszeitraum nicht verändert haben.
</t>
  </si>
  <si>
    <t>Liste der Angaben, für die im Vergleich zum vorherigen Berichtszeitraum keine Änderungen gemeldet werden</t>
  </si>
  <si>
    <t>Link zum vorherigen Bericht mit Angaben, die unverändert bleiben</t>
  </si>
  <si>
    <t>B1 – Grundlagen für die Erstellung und allgemeine Informationen zum Unternehmen</t>
  </si>
  <si>
    <t>Grundlagen für die Erstellung (Nur Basismodul oder Basismodul &amp; Zusatzmodul)</t>
  </si>
  <si>
    <t>Liste der weggelassenen Angaben, die als Verschlusssachen oder vertrauliche Informationen eingestuft werden</t>
  </si>
  <si>
    <t>Berichtsgrundlage (konsolidiert oder einzeln)</t>
  </si>
  <si>
    <t>Rechtsform des Unternehmens</t>
  </si>
  <si>
    <t>"Sonstige" Rechtsform des Unternehmens</t>
  </si>
  <si>
    <t>NACE-Code(s) zur Klassifikation der Wirtschaftszweige</t>
  </si>
  <si>
    <t>Bilanzsumme in</t>
  </si>
  <si>
    <t>Umsatzerlöse in</t>
  </si>
  <si>
    <t>Anzahl der Beschäftigten</t>
  </si>
  <si>
    <t>Art der Zählung von Beschäftigten (am Ende des Berichtszeitraums oder als Durchschnitt während des Berichtszeitraums)</t>
  </si>
  <si>
    <t>Art der Zählung von Beschäftigten (Beschäftigtenzahl oder Vollzeitäquivalente)</t>
  </si>
  <si>
    <t>Land der Hauptgeschäftstätigkeit und Standort des/der wesentlichen Vermögenswerte(s)</t>
  </si>
  <si>
    <t>B1 - Liste der Tochterunternehmen</t>
  </si>
  <si>
    <t>Nr.</t>
  </si>
  <si>
    <t>eingetragene Adresse (=offizielle Anschrift des Unternehmens)</t>
  </si>
  <si>
    <t>B1 - Angabe von nachhaltigkeitsbezogenen Zertifizierung(en) oder Siegel(n)</t>
  </si>
  <si>
    <t>Hat das Unternehmen nachhaltigkeitsbezogene Zertifizierung(en) oder Siegel erhalten?</t>
  </si>
  <si>
    <t>Beschreibung der nachhaltigkeitsbezogenen Zertifizierung(en) oder des/der Siegel(s), einschließlich, falls relevant, unter Angabe der Aussteller der Zertifizierung oder des Siegels, des Datums und der entsprechenden Einstufung</t>
  </si>
  <si>
    <t>B1 - Liste der Standorte</t>
  </si>
  <si>
    <t>Adresse</t>
  </si>
  <si>
    <t>Postleitzahl</t>
  </si>
  <si>
    <t xml:space="preserve">Stadt
</t>
  </si>
  <si>
    <t>Land</t>
  </si>
  <si>
    <t>GPS-Koordinaten (Geoposition)</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</si>
  <si>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</si>
  <si>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B2 – Verfahrensweisen, Richtlinien und künftige Initiativen für den Übergang zu einer nachhaltigeren Wirtschaft</t>
  </si>
  <si>
    <t>Hat das Unternehmen spezifische Verfahrensweisen, Richtlinien oder künftige Initiativen für den Übergang zu einer nachhaltigeren Wirtschaft eingeführt?</t>
  </si>
  <si>
    <t>Nachhaltigkeitsaspekte, die durch eine Verfahrensweise, Richtlinie und/oder künftige Initiativen, die das Unternehmen eingeführt hat, adressiert werden</t>
  </si>
  <si>
    <t>Das Unternehmen verfügt über eine Verfahrensweise, Richtlinie und/oder eine zukünftige Initiative, die öffentlich verfügbar ist.</t>
  </si>
  <si>
    <t>Das Unternehmen hat ein Ziel festgelegt, das mit einer Richtlinie zusammenhängt.</t>
  </si>
  <si>
    <t>Klimawandel</t>
  </si>
  <si>
    <t>Umweltverschmutzung</t>
  </si>
  <si>
    <t>Wasser- und Meeresressourcen</t>
  </si>
  <si>
    <t>Biodiversität und Ökosysteme</t>
  </si>
  <si>
    <t>Kreislaufwirtschaft</t>
  </si>
  <si>
    <t>Eigene Arbeitskräfte</t>
  </si>
  <si>
    <t>Arbeitskräfte in der Wertschöpfungskette</t>
  </si>
  <si>
    <t>Betroffene Gemeinschaften</t>
  </si>
  <si>
    <t>Verbraucher und Endnutzer</t>
  </si>
  <si>
    <t>Unternehmenspolitik</t>
  </si>
  <si>
    <t>B2 - Genossenschaftsspezifische Angaben</t>
  </si>
  <si>
    <t>Die wirksame Beteiligung von Arbeitskräften, Nutzern oder anderen interessierten Parteien oder Gemeinschaften an der Governance</t>
  </si>
  <si>
    <t>Die finanzielle Investition in das Kapital oder die Vermögenswerte sozialwirtschaftlicher Einrichtungen, auf die sich die Empfehlung des Rates vom 29. September 2023 bezieht (ausgenommen Spenden und Zuwendungen)</t>
  </si>
  <si>
    <t>Beschränkungen der Gewinnausschüttung im Zusammenhang mit dem gegenseitigen Charakter oder der Art der Tätigkeiten, die in Dienstleistungen von allgemeinem wirtschaftlichem Interesse (DAWI) bestehen</t>
  </si>
  <si>
    <t>C2 – Beschreibung von Verfahrensweisen, Richtlinien und künftigen Initiativen für den Übergang zu einer nachhaltigeren Wirtschaft</t>
  </si>
  <si>
    <t>Beschreibung einer Verfahrensweisen, Richtlinie und/oder zukünftigen Initiative für eine nachhaltigere Zukunft (falls die Unternehmensleitlinie oder zukünftige Initiative Lieferanten oder Kunden umfasst, ist dies durch das Unternehmen anzugeben)</t>
  </si>
  <si>
    <t>Beschreibung des auf eine Richtlinie bezogenen Ziels</t>
  </si>
  <si>
    <t>Höchste Personalebene, die für die Umsetzung der Richtlinien verantwortlich ist, sofern im Unternehmen Festlegungen dazu bestehen.</t>
  </si>
  <si>
    <t>C1 – Strategie: Geschäftsmodell und Nachhaltigkeit – Zugehörige Initiativen</t>
  </si>
  <si>
    <t>Beschreibung bedeutender Gruppen von angebotenen Produkten und/oder Dienstleistungen</t>
  </si>
  <si>
    <t>Beschreibung des bedeutenden Marktes bzw. der bedeutenden Märkte, auf denen das Unternehmen tätig ist (z.B. B2B, Großhandel, Einzelhandel, Länder)</t>
  </si>
  <si>
    <t>Beschreibung der wesentlichen Geschäftsbeziehungen (z.B.  zentrale Lieferanten, Kunden, Vertriebskanäle)</t>
  </si>
  <si>
    <t>Enthält die Strategie Kernelemente, die Nachhaltigkeitsaspekte betreffen oder beeinflussen?</t>
  </si>
  <si>
    <t>Beschreibung jener Kernelemente in der Strategie, die Nachhaltigkeitsaspekte betreffen oder beeinflussen</t>
  </si>
  <si>
    <t>Angabe weiterer allgemeiner und/oder unternehmensspezifischer Informationen zum Berichtszeitraum</t>
  </si>
  <si>
    <t>B3 – Gesamtenergieverbrauch (in MWh)</t>
  </si>
  <si>
    <t>Gesamtenergieverbrauch</t>
  </si>
  <si>
    <t>B3 - Aufschlüsselung des Energieverbrauchs (in MWh)</t>
  </si>
  <si>
    <t>Hat das Unternehmen die notwendigen Informationen beschaffen können, um eine Aufschlüsselung des Energieverbrauchs bereitzustellen?</t>
  </si>
  <si>
    <t>Erneuerbar</t>
  </si>
  <si>
    <t>Nicht erneuerbar</t>
  </si>
  <si>
    <t>Gesamte erneuerbare und nicht erneuerbare Energie</t>
  </si>
  <si>
    <t>Strom (wie in den Rechnungen der Versorgungsunternehmen angegeben)</t>
  </si>
  <si>
    <t>Selbst erzeugter Strom</t>
  </si>
  <si>
    <t>Brennstoffe (siehe Brennstoffumrechner im Arbeitsblatt Brennstoffe)</t>
  </si>
  <si>
    <t>B3 - Geschätzte Treibhausgasemissionen gemäß des THG-Protokolls Version 2004 (in tCO2e)</t>
  </si>
  <si>
    <t>C3 – THG-Reduktionsziele (in tCO2e)</t>
  </si>
  <si>
    <t>Hat das Unternehmen Ziele zur Reduktion der THG-Emissionen festgelegt?</t>
  </si>
  <si>
    <t>Aktueller Berichtszeitraum</t>
  </si>
  <si>
    <t>Basisjahr</t>
  </si>
  <si>
    <t>Zieljahr</t>
  </si>
  <si>
    <t>Prozentuale Reduktion gegenüber dem Basisjahr</t>
  </si>
  <si>
    <t>Jahr (Datum)</t>
  </si>
  <si>
    <t>Scope 1-Brutto-Treibhausgasemissionen</t>
  </si>
  <si>
    <t>Standortbezogene Scope 2-Brutto-Treibhausgasemissionen</t>
  </si>
  <si>
    <t>Marktbasierte Scope 2-Brutto-Treibhausgasemissionen</t>
  </si>
  <si>
    <t>Gesamte Scope 1- und Scope 2-Treibhausgasemissionen (standortbezogen)</t>
  </si>
  <si>
    <t>Gesamte Scope 1- und Scope 2-Treibhausgasemissionen (marktbasiert)</t>
  </si>
  <si>
    <t>Macht das Unternehmen unternehmensspezifische Angaben zu Scope 3-Emissionen (in tCO2e)?</t>
  </si>
  <si>
    <t>1. Eingekaufte Waren und Dienstleistungen</t>
  </si>
  <si>
    <t>2. Investitionsgüter</t>
  </si>
  <si>
    <t>3. Brennstoff- und energiebezogene Tätigkeiten (nicht in Scope 1 oder Scope 2 enthalten)</t>
  </si>
  <si>
    <t>4. Vorgelageter Transport und Vertrieb</t>
  </si>
  <si>
    <t>5. Im Rahmen der Geschäftstätigkeiten anfallender Abfall</t>
  </si>
  <si>
    <t>6. Geschäftsreisen</t>
  </si>
  <si>
    <t>7. Pendeln der Arbeitskräfte</t>
  </si>
  <si>
    <t>8. Vorgelagerte Leasinggüter</t>
  </si>
  <si>
    <t>9. Nachgelagerter Transport und Vertrieb</t>
  </si>
  <si>
    <t>10. Verarbeitung verkaufter Produkte</t>
  </si>
  <si>
    <t>11. Verwendung verkaufter Produkte</t>
  </si>
  <si>
    <t>12. Behandlung verkaufter Produkte am Ende der Lebensdauer</t>
  </si>
  <si>
    <t>13. Nachgelagerte Leasinggüter</t>
  </si>
  <si>
    <t>15. Investitionen</t>
  </si>
  <si>
    <t>Gesamte Scope 3-Treibhausgasemissionen</t>
  </si>
  <si>
    <t>Gesamte Scope 1-, Scope 2- und Scope 3-Treibhausgasemissionen (standortbezogen)</t>
  </si>
  <si>
    <t>Gesamte Scope 1-, Scope 2- und Scope 3-Treibhausgasemissionen (marktbasiert)</t>
  </si>
  <si>
    <t>C3 – Angabe der wesentlichen Maßnahmen, die das Unternehmen zur Erreichung seiner Ziele durchzuführen beabsichtigt</t>
  </si>
  <si>
    <t>C3 – Übergangsplan für Unternehmen, die in klimaintensiven Sektoren tätig sind</t>
  </si>
  <si>
    <t>Ist das Unternehmen in klimaintensiven Sektoren tätig?</t>
  </si>
  <si>
    <t>Status der Umsetzung eines Übergangsplans zur Minderung des Klimawandels</t>
  </si>
  <si>
    <t>Beschreibung eines Übergangsplans für den Klimaschutz, einschließlich einer Erläuterung, wie dieser dazu beiträgt, die THG-Emissionen zu verringern</t>
  </si>
  <si>
    <t>Datum der vorgesehenen Annahme des Übergangsplans für Unternehmen, die noch keinen Übergangsplan angenommen haben</t>
  </si>
  <si>
    <t>Jahr</t>
  </si>
  <si>
    <t>Monat</t>
  </si>
  <si>
    <t>Tag</t>
  </si>
  <si>
    <t>B3 - Treibhausgas-Emissionsintensität bezogen auf Umsatzerlöse (in tCO2e)</t>
  </si>
  <si>
    <t>Scope 1- und Scope 2-THG-Emissionsintensität (standortbezogen)</t>
  </si>
  <si>
    <t>Scope 1- und Scope 2-THG-Emissionsintensität (marktbasiert)</t>
  </si>
  <si>
    <t>Gesamte Scope 1-, Scope 2- und Scope-3-THG-Emissionsintensität (standortbezogen)</t>
  </si>
  <si>
    <t>Gesamte Scope 1-, Scope 2- und Scope-3-THG-Emissionsintensität (marktbasiert)</t>
  </si>
  <si>
    <t>B4 – Luft-, Wasser- und Bodenverschmutzung</t>
  </si>
  <si>
    <t>Ist das Unternehmen aufgrund rechtlicher oder sonstiger nationaler Vorschriften bereits verpflichtet, den zuständigen Behörden seine Schadstoffemissionen zu melden, oder meldet es diese bereits freiwillig im Rahmen eines Umweltmanagementsystems?</t>
  </si>
  <si>
    <t>Wurde diese Angabe bereits an anderer Stelle öffentlich verfügbar gemacht?</t>
  </si>
  <si>
    <t>Bitte geben Sie den entsprechenden URL-Link oder Hyperlink an, unter dem diese Informationen berichtet werden.</t>
  </si>
  <si>
    <t>Bitte wählen Sie die Einheit aus, die für die Mengenangabe verwendet wird (d. h. entweder kg oder Tonne).</t>
  </si>
  <si>
    <t>Zeilen-Nr.</t>
  </si>
  <si>
    <t>Schadstoff</t>
  </si>
  <si>
    <t>Emissionen in die Luft</t>
  </si>
  <si>
    <t>Emissionen in Wasser und Gewässer</t>
  </si>
  <si>
    <t>Emissionen in den Boden</t>
  </si>
  <si>
    <t xml:space="preserve">B5 – Gebiete mit schutzbedürftiger Biodiversität </t>
  </si>
  <si>
    <t>Hat das Unternehmen Standorte, die sich in oder in der Nähe von Gebieten mit schutzbedürftiger Biodiversität befinden?</t>
  </si>
  <si>
    <t>Bitte wählen Sie die Einheit aus, die für die Flächenangabe verwendet wird (d.h. entweder Hektar oder m²):</t>
  </si>
  <si>
    <t>Zugehörige Standort-Nr. (wählen Sie eine Nr. aus einem in B1 angegebenen Standort aus)</t>
  </si>
  <si>
    <t>Standort in der Nähe eines Gebiets mit schutzbedürftiger Biodiversität – automatisch ausgefüllt aus B1</t>
  </si>
  <si>
    <t>Fläche (Hektar oder m², basierend auf der obigen Auswahl)</t>
  </si>
  <si>
    <t>Standort in einem Gebiet mit schutzbedürftiger Biodiversität</t>
  </si>
  <si>
    <t>Standort in der Nähe eines Gebiets mit schutzbedürftiger Biodiversität</t>
  </si>
  <si>
    <t>B5 – Biodiversität – Flächennutzung</t>
  </si>
  <si>
    <t>Art der Flächennutzung</t>
  </si>
  <si>
    <t>Fläche</t>
  </si>
  <si>
    <t>Gesamte versiegelte Fläche</t>
  </si>
  <si>
    <t>Gesamte naturnahe Fläche am Standort</t>
  </si>
  <si>
    <t>Gesamte naturnahe Fläche abseits des Standorts</t>
  </si>
  <si>
    <t>Gesamter Flächenverbrauch</t>
  </si>
  <si>
    <t>B6 – Wasserentnahme</t>
  </si>
  <si>
    <t>Gesamtmenge des aus allen Standorten entnommenen Wassers (Kubikmeter m³)</t>
  </si>
  <si>
    <t>Menge des an Standorten in Gebieten mit hohem Wasserstress entnommenen Wassers (Kubikmeter m³)</t>
  </si>
  <si>
    <t>B6 – Wasserverbrauch</t>
  </si>
  <si>
    <t>Wendet das Unternehmen Produktionsverfahren mit einem erheblichen Wasserverbrauch an (z. B. thermische Energieprozesse wie Trocknung oder Stromerzeugung, Herstellung von Waren, landwirtschaftliche Bewässerung usw.)?</t>
  </si>
  <si>
    <t>Wasserableitung aus den Produktionsprozessen des Unternehmens (Kubikmeter m³)</t>
  </si>
  <si>
    <t>Gesamtwasserverbrauch (Kubikmeter m³)</t>
  </si>
  <si>
    <t>B7 – Beschreibung der Grundsätze der Kreislaufwirtschaft</t>
  </si>
  <si>
    <t xml:space="preserve">Das Unternehmen wendet Grundsätze der Kreislaufwirtschaft an. </t>
  </si>
  <si>
    <t>Beschreibung, wie diese Grundsätze angewendet werden</t>
  </si>
  <si>
    <t>B7 – Abfallaufkommen</t>
  </si>
  <si>
    <t>Abfallart</t>
  </si>
  <si>
    <t>Maßeinheit</t>
  </si>
  <si>
    <t>Abfälle, die zum Recycling oder zur Wiederverwendung umgeleitet werden</t>
  </si>
  <si>
    <t>Abfälle, die der Beseitigung zugeführt werden</t>
  </si>
  <si>
    <t>Abfallmenge, das recycelt, wiederverwendet und der Beseitigung zugeführt wird</t>
  </si>
  <si>
    <t>Gesamtmenge gefährlicher Abfälle (Masse/Gewicht)</t>
  </si>
  <si>
    <t>Gesamtabfallmenge oder Abfallmenge gesamt</t>
  </si>
  <si>
    <t>Gesamtaufkommen nicht gefährlicher Abfälle (Masse/Gewicht)</t>
  </si>
  <si>
    <t>Gesamtabfallaufkommen (Masse/Gewicht)</t>
  </si>
  <si>
    <t>Gesamtaufkommen gefährlicher Abfälle (Volumen)</t>
  </si>
  <si>
    <t>Kubikmeter (m³)</t>
  </si>
  <si>
    <t>Gesamtaufkommen nicht gefährlicher Abfälle (Volumen)</t>
  </si>
  <si>
    <t>Gesamtabfallaufkommen (Volumen)</t>
  </si>
  <si>
    <t>B7 – Jährlicher Massenstrom der verwendeten relevanten Materialien</t>
  </si>
  <si>
    <t>Operiert das Unternehmen in einem Wirtschaftszweig mit erheblichen Materialflüssen (zum Beispiel verarbeitendes Gewerbe/Hertsellung von Waren, Baugewerbe/Bau, Abfüllen/Verpacken oder andere)?</t>
  </si>
  <si>
    <t>Name der relevanten Materialien</t>
  </si>
  <si>
    <t>Masse / Volumen</t>
  </si>
  <si>
    <t>Gesamter jährlicher Massenstrom der verwendeten relevanten Materialien (Masse in kg)</t>
  </si>
  <si>
    <t>Kilogramm (kg)</t>
  </si>
  <si>
    <t>Gesamter jährlicher Massenstrom der verwendeten relevanten Materialien (Volumen in m³)</t>
  </si>
  <si>
    <t>C4 – Klimabedingte Risiken</t>
  </si>
  <si>
    <t>Hat das Unternehmen klimabedingte Gefahren und klimabedingte Übergangsereignisse ermittelt, aus denen sich bei Bruttobetrachtung klimabedingte Risiken für das Unternehmen ergeben?</t>
  </si>
  <si>
    <t>Beschreibung der klimabedingten Gefahren und klimabedingten Übergangsereignisse</t>
  </si>
  <si>
    <t>Angabe, wie das Unternehmen die Exposition und Anfälligkeit seiner Vermögenswerte, Tätigkeiten und Wertschöpfungskette gegenüber diesen Gefahren und Übergangsereignissen bewertet hat</t>
  </si>
  <si>
    <t>Zeithorizonte etwaiger ermittelter klimabedingter Gefahren und Übergangsereignisse</t>
  </si>
  <si>
    <t>Angabe, ob Maßnahmen zur Anpassung an den Klimawandel für klimabedingte Gefahren und Übergangsereignisse ergriffen wurden</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</si>
  <si>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</si>
  <si>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Angabe weiterer umweltbezogener und/oder unternehmensspezifischer umweltbezogener Angaben</t>
  </si>
  <si>
    <t>Art der Zählung von Beschäftigten für die nachstehenden Angaben (Beschäftigtenzahl oder Vollzeitäquivalente, verknüpft mit B1)</t>
  </si>
  <si>
    <t>Art der Zählung von Beschäftigten für die nachstehenden Angaben (Am Ende des Berichtszeitraums oder als Durchschnitt über den Berichtszeitraum, verknüpft aus B1)</t>
  </si>
  <si>
    <t>B8 – Arbeitskräfte – Allgemeine Merkmale – Art des Arbeitsvertrags</t>
  </si>
  <si>
    <t>Art des Vertrags</t>
  </si>
  <si>
    <t>Unbefristeter Vertrag</t>
  </si>
  <si>
    <t>Befristeter Vertrag</t>
  </si>
  <si>
    <t>Beschäftigte insgesamt (verknüpft mit B1)</t>
  </si>
  <si>
    <t>B8 – Belegschaft – Allgemeine Merkmale – Geschlecht</t>
  </si>
  <si>
    <t>Männlich</t>
  </si>
  <si>
    <t>Weiblich</t>
  </si>
  <si>
    <t>Andere</t>
  </si>
  <si>
    <t>Nicht angegeben</t>
  </si>
  <si>
    <t>Arbeitskräfte – Allgemeine Merkmale – Beschäftigungsland</t>
  </si>
  <si>
    <t>Hat das Unternehmen Geschäftstätigkeiten in mehr als einem Land?</t>
  </si>
  <si>
    <t>B8 – Arbeitskräfte – Allgemeine Merkmale – Fluktuationsrate</t>
  </si>
  <si>
    <t>Anzahl der Beschäftigten, die während des Berichtszeitraums aus dem Unternehmen ausgeschieden sind</t>
  </si>
  <si>
    <t>Anzahl der Beschäftigten zu Beginn des Berichtszeitraums</t>
  </si>
  <si>
    <t>Anzahl der Beschäftigten am Ende des Berichtszeitraums</t>
  </si>
  <si>
    <t>Fluktuationsrate der Beschäftigten [%] im Berichtszeitraum</t>
  </si>
  <si>
    <t>B9 – Arbeitskräfte – Gesundheitsschutz und Sicherheit</t>
  </si>
  <si>
    <t>Anzahl der meldepflichtigen Arbeitsunfälle im Berichtszeitraum</t>
  </si>
  <si>
    <t>Anzahl der von einem Vollzeitbeschäftigten im Berichtszeitraum geleisteten Arbeitsstunden</t>
  </si>
  <si>
    <t>Gesamtanzahl der von allen Beschäftigten im Berichtszeitraum in einem Jahr geleisteten Arbeitsstunden</t>
  </si>
  <si>
    <t>Quote der meldepflichtigen Arbeitsunfälle im Berichtszeitraum</t>
  </si>
  <si>
    <t>Zahl der Todesfälle infolge arbeitsbedingter Verletzungen und arbeitsbedingter Erkrankungen</t>
  </si>
  <si>
    <t>B10 – Arbeitskräfte – Vergütung, Tarif-/Kollektivverhandlungen und Schulung</t>
  </si>
  <si>
    <t>Beschäftigte erhalten eine Vergütung, die dem durch nationales Recht oder Tarifvertrag/Kollektivvertrag festgelegten Mindestlohn entspricht oder darüber liegt.</t>
  </si>
  <si>
    <t>Durchschnittliches Bruttostundenentgelt der männlichen Beschäftigten</t>
  </si>
  <si>
    <t>Durchschnittliches Bruttostundenentgelt der weiblichen Beschäftigten</t>
  </si>
  <si>
    <t>Prozentuales Entgeltgefälle zwischen den weiblichen und männlichen Beschäftigten des Unternehmens [%]</t>
  </si>
  <si>
    <t>Anzahl der Beschäftigten, die durch Tarif-/Kollektivverträge abgedeckt sind</t>
  </si>
  <si>
    <t>Prozentsatz der Beschäftigten, die durch Tarif-/Kollektivverträge abgedeckt sind [%]</t>
  </si>
  <si>
    <t>Durchschnittliche Anzahl der jährlichen Schulungsstunden je Beschäftigtem</t>
  </si>
  <si>
    <t>C5 – Zusätzliche (allgemeine) Merkmale der Arbeitskräfte</t>
  </si>
  <si>
    <t>Anzahl männlicher Beschäftigter auf Führungsebene</t>
  </si>
  <si>
    <t>Anzahl weiblicher Beschäftigter auf Führungsebene</t>
  </si>
  <si>
    <t>Verhältnis weiblicher zu männlicher Beschäftiger auf Führungsebene im Berichtszeitraum</t>
  </si>
  <si>
    <t>Gesamtanzahl der Selbstständigen, die ausschließlich für das Unternehmen tätig sind und kein eigenes Personal haben</t>
  </si>
  <si>
    <t>Gesamtanzahl der Zeitarbeitskräfte, die von Unternehmen bereitgestellt werden, die in erster Linie im Bereich der Vermittlung und Überlassung von Arbeitskräften tätig sind</t>
  </si>
  <si>
    <t>C6 – Zusätzliche Informationen über die Arbeitskräfte des Unternehmens – Richtlinien für die Achtung der Menschenrechte und diesbezügliche Prozesse</t>
  </si>
  <si>
    <t>Verfügt das Unternehmen über einen Verhaltenskodex oder Richtlinien für die Achtung der Menschenrechte bei seinen eigenen Arbeitskräften?</t>
  </si>
  <si>
    <t>Falls ja, sind folgende Aspekte abgedeckt:</t>
  </si>
  <si>
    <t>· Kinderarbeit</t>
  </si>
  <si>
    <t>· Zwangsarbeit</t>
  </si>
  <si>
    <t>· Menschenhandel</t>
  </si>
  <si>
    <t>· Diskriminierung</t>
  </si>
  <si>
    <t>· Unfallverhütung</t>
  </si>
  <si>
    <t>· Sonstige? (JA/NEIN – falls ja, ausführen)</t>
  </si>
  <si>
    <t>Führen Sie sonstige Inhalte an, die vom Verhaltenskodex oder von Richtlinien für die Achtung der Menschenrechte abgedeckt sind</t>
  </si>
  <si>
    <t>Verfügt das Unternehmen über ein Verfahren zur Bearbeitung von Beschwerden der eigenen Arbeitskräfte?</t>
  </si>
  <si>
    <t>C7 –   Schwerwiegende Vorfälle im Zusammenhang mit Menschenrechten</t>
  </si>
  <si>
    <t>Sind unter den Arbeitskräften des Unternehmens bestätigte Vorfälle im Zusammenhang mit Menschenrechten aufgetreten?</t>
  </si>
  <si>
    <t>Falls ja, beziehen sich die Vorfälle auf:</t>
  </si>
  <si>
    <t>Geben Sie sonstige im Zusammenhang mit den bestätigten Vorfällen stehende Menschenrechte an</t>
  </si>
  <si>
    <t>Beschreibung der Maßnahmen zur Behebung der bestätigten Vorfälle</t>
  </si>
  <si>
    <t xml:space="preserve">	
Sind dem Unternehmen bestätigte Vorfälle bekannt, an denen Arbeitskräfte in der Wertschöpfungskette, betroffene Gemeinschaften, Verbraucher und Endnutzer beteiligt sind? Falls ja, sind Einzelheiten in der nächsten Zeile anzugeben.</t>
  </si>
  <si>
    <t>Erläuterung von bestätigten Vorfällen, an denen Arbeitskräfte in der Wertschöpfungskette, betroffene Gemeinschaften, Verbraucher und Endnutzer beteiligt sind</t>
  </si>
  <si>
    <t>Angabe weiterer Sozial- und/oder unternehmensspezifischer Sozialangaben</t>
  </si>
  <si>
    <t>B11 – Verurteilungen und Geldstrafen wegen Korruption und Bestechung</t>
  </si>
  <si>
    <t>Sind gegen das Unternehmen im Berichtszeitraum Verurteilungen erfolgt oder Geldstrafen verhängt worden?</t>
  </si>
  <si>
    <t>Gesamtzahl der Verurteilungen wegen Verstößen gegen Rechtsvorschriften zur Bekämpfung von Korruption und Bestechung</t>
  </si>
  <si>
    <t>Gesamtbetrag der Geldstrafen wegen Verstößen gegen Rechtsvorschriften zur Bekämpfung von Korruption und Bestechung</t>
  </si>
  <si>
    <t>C8 – Umsatzerlöse aus bestimmten Tätigkeiten</t>
  </si>
  <si>
    <t>Erzielt das Unternehmen Umsatzerlöse aus einer der unten aufgeführten Tätigkeiten?</t>
  </si>
  <si>
    <t>Umsatzerlöse aus umstrittenen Waffen (Antipersonenminen, Streumunition, chemische und biologische Waffen)</t>
  </si>
  <si>
    <t>Umsatzerlöse aus dem Anbau und der Produktion von Tabak</t>
  </si>
  <si>
    <t>Umsatzerlöse aus Kohle</t>
  </si>
  <si>
    <t>Umsatzerlöse aus Erdöl</t>
  </si>
  <si>
    <t>Umsatzerlöse aus Erdgas</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</si>
  <si>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</si>
  <si>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Umsatzerlöse aus der Herstellung von Chemikalien</t>
  </si>
  <si>
    <t>C8 –  Ausnahme von EU-Referenzwerten</t>
  </si>
  <si>
    <t>Unternehmen werden von den Paris-abgestimmten EU-Referenzwerten ausgeschlossen, wenn sie:</t>
  </si>
  <si>
    <t>1 % oder mehr ihrer Umsatzerlöse mit der Exploration, dem Abbau, der Förderung, dem Vertrieb oder der Veredelung von Stein- und Braunkohle erzielen</t>
  </si>
  <si>
    <t>10 % oder mehr ihrer Umsatzerlöse mit der Exploration, der Förderung, dem Vertrieb oder der Veredelung von Erdöl erzielen</t>
  </si>
  <si>
    <t>50 % oder mehr ihrer Umsatzerlöse mit der Exploration, der Förderung, der Herstellung oder dem Vertrieb von gasförmigen Brennstoffen erzielen</t>
  </si>
  <si>
    <t>50 % oder mehr ihrer Umsatzerlöse mit der Stromerzeugung mit einer THG-Emissionsintensität von mehr als 100 g CO2eq/kWh erzielen</t>
  </si>
  <si>
    <t>Keine der oben genannten</t>
  </si>
  <si>
    <t>Unternehmen sind von allen EU-Referenzwerten, die mit dem Pariser Abkommen in Einklang stehen, ausgeschlossen.</t>
  </si>
  <si>
    <t>C9 – Geschlechtervielfalt im Leitungsorgan</t>
  </si>
  <si>
    <t>Verfügt das Unternehmen über ein Leitungsorgan?</t>
  </si>
  <si>
    <t>Anzahl der weiblichen Mitglieder im Leitungsorgan am Ende des Berichtszeitraums</t>
  </si>
  <si>
    <t>Anzahl der männlichen Mitglieder im Leitungsorgan am Ende des Berichtszeitraums</t>
  </si>
  <si>
    <t>Geschlechterverhältnis im Leitungsorgan</t>
  </si>
  <si>
    <t>Angabe weiterer Governance- und/oder unternehmensspezifischer Governance-Angaben</t>
  </si>
  <si>
    <t>Brennstoffumrechner</t>
  </si>
  <si>
    <t>HAFTUNGSAUSSCHLUSS:</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</si>
  <si>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</si>
  <si>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</si>
  <si>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</si>
  <si>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Bedeutet, dass die Zelle entweder durch Auswahl eines Wertes aus dem Dropdown-Menü (z. B. Brennstoffart oder Maßeinheit) oder durch Eingabe eines Betrags ausgefüllt werden soll.</t>
  </si>
  <si>
    <t>Brennstofftyp</t>
  </si>
  <si>
    <t>Betrag</t>
  </si>
  <si>
    <t>Aggregatzustand</t>
  </si>
  <si>
    <t>Typische Erneuerbarkeit</t>
  </si>
  <si>
    <t>Berechnete Energie in MWh</t>
  </si>
  <si>
    <t>Verwendung des Brennstoffumrechners:</t>
  </si>
  <si>
    <t>1. Wählen Sie in Zelle A9 den verwendeten Brennstoff aus, indem Sie danach suchen oder in der angezeigten Liste nach unten scrollen und die Zelle anklicken.</t>
  </si>
  <si>
    <t>2. Wählen Sie in Zelle B9 die verwendete Maßeinheit aus.</t>
  </si>
  <si>
    <t>3. Wählen Sie in Zelle C9 die genutzte Brennstoffmenge aus.</t>
  </si>
  <si>
    <t xml:space="preserve">4. In Zelle D9 wird der Aggregatzustand des ausgewählten Brennstoffs angezeigt. </t>
  </si>
  <si>
    <t>5. In Zelle E9 wird die typischeErneuerbarkeit für den ausgewählten Brennstoff angezeigt.</t>
  </si>
  <si>
    <t>6. In Zelle F9 wird die in Megawattstunden erzeugte Energie basierend auf der angegebenen Brennstoffmenge angezeigt.</t>
  </si>
  <si>
    <t>7. In Zelle A28 wird der Gesamtenergieverbrauch in Megawattstunden angezeigt.</t>
  </si>
  <si>
    <t>8. In Zelle A31 wird die gesamte erneuerbare Energie in Megawattstunden angezeigt.</t>
  </si>
  <si>
    <t xml:space="preserve">In Zelle B31 wird die gesamte nicht erneuerbare Energie in Megawattstunden angezeigt. </t>
  </si>
  <si>
    <t>10. Weitere Anmerkungen siehe unten</t>
  </si>
  <si>
    <t>Übertragen Sie die berechneten Gesamtergebnisse in die Berichts-Zelle B3 „Brennstoffenergieverbrauch“</t>
  </si>
  <si>
    <t>Gesamtenergie [MWh]</t>
  </si>
  <si>
    <t>Gesamte erneuerbare Energien [MWh]</t>
  </si>
  <si>
    <t>Gesamte nicht erneuerbare Energien [MWh]</t>
  </si>
  <si>
    <t>Weitere Hinweise: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</si>
  <si>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</si>
  <si>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Energieverbrauch pro Stunde in MWh für feste Brennstoffe:</t>
  </si>
  <si>
    <t>Energie [MWh] = Masse [t] * NCV [MWh/t]</t>
  </si>
  <si>
    <t>Energieverbrauch pro Stunde in MWh für flüssige Brennstoffe:</t>
  </si>
  <si>
    <t>Masse [t] = Volumen [L] * Dichte [t/L]</t>
  </si>
  <si>
    <t xml:space="preserve">Energie [MWh] = Masse [t] * NCV [MWh/t] </t>
  </si>
  <si>
    <t>Energieverbrauch pro Stunde in MWh für gasförmige Brennstoffe:</t>
  </si>
  <si>
    <t>Masse [t] = Volumen [m³] * Dichte [t/m³]</t>
  </si>
  <si>
    <t>EINHEITENUMRECHNER</t>
  </si>
  <si>
    <t>Von</t>
  </si>
  <si>
    <t>Maßeinheit des Massenumrechners</t>
  </si>
  <si>
    <t>Maßeinheit des Volumenumrechners</t>
  </si>
  <si>
    <t>Maßeinheit des Energieverbrauchs pro Stunde</t>
  </si>
  <si>
    <t>Maßeinheit des NCV-Umrechners</t>
  </si>
  <si>
    <t>Maßeinheit des Dichteumrechners</t>
  </si>
  <si>
    <t>Nutzung des Einheitenumrechners</t>
  </si>
  <si>
    <t>Schritte zur Nutzung der Massentabelle:</t>
  </si>
  <si>
    <t>1. In Zelle B5 des Tabellenblatts mit dem Einheitenumrechner wird die umzuwandelnde Maßeinheit für die Masse eingetragen.</t>
  </si>
  <si>
    <t>2. Dann wird in Zelle B6 die Masse eingetragen.</t>
  </si>
  <si>
    <t>3. Abschließend wird in Zelle D5 die gewünschte Maßeinheit für die Masse eingetragen.</t>
  </si>
  <si>
    <t>4. Das Ergebnis der Umrechnung wird in Zelle D6 angezeigt.</t>
  </si>
  <si>
    <t>Die Schritte für die anderen Tabellen (Volumen, Energieverbrauch, Dichte und NCV) entsprechen den Schritten für die Massentabelle.</t>
  </si>
  <si>
    <t>Nachfolgend sind alle Maßeinheiten der Tabellen für die Einheitenumrechnung angegeben.</t>
  </si>
  <si>
    <t>UNVOLLSTÄNDIG</t>
  </si>
  <si>
    <t xml:space="preserve">VOLLSTÄNDIG
</t>
  </si>
  <si>
    <t>FEHLENDER WERT</t>
  </si>
  <si>
    <t>FEHLER</t>
  </si>
  <si>
    <t>INKONSISTENTER WERT</t>
  </si>
  <si>
    <t>FEHLER + INKONSISTENTER WERT</t>
  </si>
  <si>
    <t>FEHLER + FEHLENDER WERT + INKONSISTENTER WERT</t>
  </si>
  <si>
    <t>FEHLER + FEHLENDER WERT</t>
  </si>
  <si>
    <t>FEHLENDER WERT + INKONSISTENTER WERT</t>
  </si>
  <si>
    <t>UNGÜLTIGE URL</t>
  </si>
  <si>
    <t>ℹ️ Flüssiger Brennstoff: Bitte wählen Sie eine Maßeinheit aus m³ und L aus</t>
  </si>
  <si>
    <t>ℹ️ Feste Brennstoffe: Bitte wählen Sie eine Maßeinheit aus Gg, t, Kg und g aus</t>
  </si>
  <si>
    <t>ℹ️ Gasförmige Brennstoffe: Bitte wählen Sie eine Maßeinheit aus m³ und L aus</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</si>
  <si>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</si>
  <si>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 xml:space="preserve">ℹ️ Wenn rechts die Meldung INKONSISTENTER WERT erscheint, stellen Sie bitte sicher, dass das Enddatum des Berichtszeitraums chronologisch nach dem Anfangsdatum liegt.
</t>
  </si>
  <si>
    <t>ℹ️ Listen können mit dem kleinen [+]-Button auf der linken Seite ausgeklappt werden. Wenn die Anzahl der Zeilen nicht ausreicht, können weitere hinzugefügt werden, indem in die zweite Zeile mit der rechten Maustaste geklickt und „Zeile einfügen“ ausgewählt wird.</t>
  </si>
  <si>
    <t xml:space="preserve">ℹ️ Wenn „sonstige“ als Rechtsform des Unternehmens gewählt wird, füllen Sie bitte die nachfolgende Zeile aus. </t>
  </si>
  <si>
    <t>ℹ️ Bitte wählen Sie einen NACE-Code anstelle einer Kategorie aus, da sonst die Meldung FEHLER erscheint.</t>
  </si>
  <si>
    <t>ℹ️ Bitte achten Sie darauf, jede Straßen- und Hausnummer mit dem Schrägstrich-Symbol "/" und nicht mit dem Komma "," zu trennen.</t>
  </si>
  <si>
    <t xml:space="preserve">ℹ️ Bitte beachten Sie, dass die in dieser Zelle vorhandene Formel überschrieben werden kann, falls das Unternehmen den Wert direkt angeben möchte.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</si>
  <si>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</si>
  <si>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Wenn eine Überprüfung im Zusammenhang mit inkonsistenten Werten angezeigt wird, wählen Sie bitte eine Standort-Nr. aus, die sich von den zuvor ausgewählten unterscheidet.</t>
  </si>
  <si>
    <t>ℹ️ Bitte wählen Sie die Art des Abfalls (gefährlich oder nicht gefährlich) anstelle einer Kategorie, andernfalls erscheint die Meldung FEHLER.</t>
  </si>
  <si>
    <t>ℹ️ Bitte stellen Sie sicher, dass die Gesamtzahl der Beschäftigten mit der in Zelle E55 des Tabellenblatts „General Information“ angegebenen Zahl übereinstimmt.</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</si>
  <si>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</si>
  <si>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Besuchen Sie die EFRAG-Website für eine nicht vollständige Liste der THG-Rechner.</t>
  </si>
  <si>
    <t>Virksomhedens navn</t>
  </si>
  <si>
    <t>Entitetsidentifikator</t>
  </si>
  <si>
    <t xml:space="preserve">Virksomhedsindentifikationsskema </t>
  </si>
  <si>
    <t>Rapporteringsvaluta</t>
  </si>
  <si>
    <t>Rapporteringsperiode</t>
  </si>
  <si>
    <t>Rapport genereret</t>
  </si>
  <si>
    <t>Alle oplysninger vedrører den ovenfor nævnte rapporteringsperiode, medmindre andet er angivet.</t>
  </si>
  <si>
    <t xml:space="preserve">Indholdsfortegnelse
</t>
  </si>
  <si>
    <t>Rapporteringsperiode:</t>
  </si>
  <si>
    <t>Denne rapport indeholder {{ ns.fact_count }} XBRL-fakta ({{ facts | count }} unikke fakta).</t>
  </si>
  <si>
    <t>Publikationsdato:</t>
  </si>
  <si>
    <t>Indgangspunkt til taksonomi:</t>
  </si>
  <si>
    <t>Vælg sprog for skabelonvisning:</t>
  </si>
  <si>
    <t xml:space="preserve">Rapportens hovedtitel </t>
  </si>
  <si>
    <t>Bæredygtighedsrapport</t>
  </si>
  <si>
    <t>Rapportens undertitel</t>
  </si>
  <si>
    <t>Udarbejdet i overensstemmelse med den frivillige standard for bæredygtighedsrapportering for ikke-børsnoterede SMV'er (VSME), udgivet af Europa-Kommissionen den 30. juli 2025.</t>
  </si>
  <si>
    <t>VSME Digital Skabelon</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</si>
  <si>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</si>
  <si>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Sådan bruges den:</t>
  </si>
  <si>
    <t>0. Indtast de obligatoriske oplysninger for at kunne generere VSME- og XBRL-rapport</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</si>
  <si>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</si>
  <si>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2. Find mere information om de faktiske oplysningskrav i VSME-standarden og den relaterede vejledning, der er knyttet til hver celle. Yderligere eller virksomheds-specifikke oplysninger kan gives i hver tekstboks i slutningen af hvert regneark.</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</si>
  <si>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</si>
  <si>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4. Valider de indtastede data ved at kontrollere valideringsstatus. Rapporten betragtes som ufuldstændig eller fejlagtig, hvis valideringen fejler, hvilket kan resultere i en ugyldig XBRL-rapport.</t>
  </si>
  <si>
    <t>5. Konverter denne skabelon til en Inline XBRL-rapport (eller XBRL-JSON, XBRL-CSV) ved brug af denne online-konverter. Vær opmærksom på den XBRL-validering, der udføres af validatoren.</t>
  </si>
  <si>
    <t>6. Virksomheden kan også uploade rapporten til offentlige arkiver eller en webside.</t>
  </si>
  <si>
    <t>Farveindeks for cellebaggrund:</t>
  </si>
  <si>
    <t>Generelle principper</t>
  </si>
  <si>
    <t>Angiver, at oplysningerne stammer fra de generelle principper for VSME.</t>
  </si>
  <si>
    <t xml:space="preserve">Basismondul </t>
  </si>
  <si>
    <t>Angiver, at oplysningen stammer fra basismodulet i VSME.</t>
  </si>
  <si>
    <t>Udvidet modul</t>
  </si>
  <si>
    <t>Angiver, at oplysningen stammer fra det udvidede modul i VSME.</t>
  </si>
  <si>
    <t>Indikerer, at cellen automatisk beregnes, og at der ikke kræves nogen dataindtastning.</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</si>
  <si>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</si>
  <si>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Angiver, at dataindtastning ikke er nødvendig, medmindre visse logikker vælges i selve oplysningen. Når en af disse logikker vælges, bliver cellen hvid</t>
  </si>
  <si>
    <t>Validering MANGLENDE VÆRDI/FEJL/UOVERENSSTEMMELSE I VÆRDI/UGYLDIG URL</t>
  </si>
  <si>
    <t>Angiver, at dataindtastningen enten er forkert i forhold til format, eller at visse oplysninger mangler for at kunne rapportere korrekt.</t>
  </si>
  <si>
    <t>Validering OK</t>
  </si>
  <si>
    <t>Angiver, at dataindtastningen er korrekt, og virksomheden kan gå videre til næste oplysning.</t>
  </si>
  <si>
    <t>Der kan ikke indtastes nogen værdi i cellen.</t>
  </si>
  <si>
    <t>Lister kan udvides ved hjælp af plustegnet [+] til venstre. Hvis antallet af rækker ikke er tilstrækkeligt, kan der tilføjes ekstra rækker ved at højreklikke på anden række og vælge "Indsæt række".</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</si>
  <si>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</si>
  <si>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Reproduktions- og brugsrettigheder er strengt begrænsede. For yderligere oplysninger bedes du kontakte efragsecretariat@efrag.org</t>
  </si>
  <si>
    <t>Samlet valideringsstatus</t>
  </si>
  <si>
    <t>Indholdsfortegnelse</t>
  </si>
  <si>
    <t>Gruppering af indhold følger skabelonens ramme</t>
  </si>
  <si>
    <t xml:space="preserve">Valideringsstatus for indhold </t>
  </si>
  <si>
    <t>Generel information</t>
  </si>
  <si>
    <t>· Oplysninger i rapporten, der er nødvendige for XBRL</t>
  </si>
  <si>
    <t>· Oplysninger om den foregående rapporteringsperiode</t>
  </si>
  <si>
    <t>· B1 – Grundlag for udarbejdelse</t>
  </si>
  <si>
    <t>Grundlag for udarbejdelse og andre generelle oplysninger om virksomheden</t>
  </si>
  <si>
    <t>Liste over datterselskaber</t>
  </si>
  <si>
    <t>Oplysning om ESG-certifikat(er) eller miljømærke(r)</t>
  </si>
  <si>
    <t>Liste over lokation(er)</t>
  </si>
  <si>
    <t>· B2 - Praksisser, politikker og fremtidige initiativer for omstilling til en mere bæredygtig økonomi</t>
  </si>
  <si>
    <t>Praksisser, politikker og fremtidige initiativer for omstilling til en mere bæredygtig økonomi</t>
  </si>
  <si>
    <t xml:space="preserve">   Særlige oplysninger for kooperative virksomheder </t>
  </si>
  <si>
    <t>Miljømæssige oplysninger</t>
  </si>
  <si>
    <t xml:space="preserve">· B3 - Energi og drivhusgasudledninger </t>
  </si>
  <si>
    <t>Samlet energiforbrug (i MWh)</t>
  </si>
  <si>
    <t>Fordeling af energiforbrug (i MWh)</t>
  </si>
  <si>
    <t>Anslåede drivhusgasudledninger under hensyntagen til GHG-protokollen version 2004 (i tCO2e)</t>
  </si>
  <si>
    <t>Drivhusgasudledning pr. omsætningsenhed</t>
  </si>
  <si>
    <t>· B4 – Forurening af luft, vand og jord</t>
  </si>
  <si>
    <t>· B5 – Biodiversitet</t>
  </si>
  <si>
    <t>Lokationer i biodiversitetsfølsomme områder</t>
  </si>
  <si>
    <t>Biodiversitet - Arealanvendelse</t>
  </si>
  <si>
    <t>· B6 – Vand</t>
  </si>
  <si>
    <t>Udtagning af vand</t>
  </si>
  <si>
    <t>Vandforbrug</t>
  </si>
  <si>
    <t>· B7 –   Ressourceforbrug, cirkulær økonomi og affaldshåndtering</t>
  </si>
  <si>
    <t>Beskrivelse af principper for cirkulær økonomi</t>
  </si>
  <si>
    <t xml:space="preserve">Genereret affald </t>
  </si>
  <si>
    <t>Årligt materialeflow af relevante anvendte materialer</t>
  </si>
  <si>
    <t>Sociale oplysninger</t>
  </si>
  <si>
    <t>· B8 - Arbejdsstyrke - Generelle karakteristika</t>
  </si>
  <si>
    <t>Kontrakttype</t>
  </si>
  <si>
    <t>Køn</t>
  </si>
  <si>
    <t>Land (hvor ansættelseskontrakten er indgået)</t>
  </si>
  <si>
    <t xml:space="preserve">Medarbejderomsætning </t>
  </si>
  <si>
    <t>· B9 – Arbejdsstyrke – Sundhed og sikkerhed</t>
  </si>
  <si>
    <t>· B10 - Arbejdsstyrke - Vederlag, kollektive overenskomster og uddannelse</t>
  </si>
  <si>
    <t>Ledelsesmæssige oplysninger</t>
  </si>
  <si>
    <t>· B11 – Domme og bøder for korruption og bestikkelse</t>
  </si>
  <si>
    <t xml:space="preserve">Udvidet Modul </t>
  </si>
  <si>
    <t xml:space="preserve">· C1 – Strategi: Forretningsmodel og bæredygtighedsrelaterede initiativer
</t>
  </si>
  <si>
    <t xml:space="preserve">· C2 - Beskrivelse af praksisser, politikker og fremtidige initiativer for omstillingen til en mere bæredygtig økonomi </t>
  </si>
  <si>
    <t>· C3 - Mål for reduktion af drivhusgasser og klimaomstilling</t>
  </si>
  <si>
    <t xml:space="preserve"> Mål for reduktion af drivhusgasudledning (i ton CO₂e) </t>
  </si>
  <si>
    <t xml:space="preserve">Liste over de vigtigste handlinger, som virksomheden implementerer for at nå CO₂e-reduktionsmålene </t>
  </si>
  <si>
    <t xml:space="preserve">  Omstillingsplan for virksomheder, der opererer i sektorer med høj klimapåvirkning</t>
  </si>
  <si>
    <t>· C4 - Klimarisici</t>
  </si>
  <si>
    <t>· C5 - Supplerende (generelle) oplysninger om arbejdsstyrken</t>
  </si>
  <si>
    <t>· C6 - Yderligere oplysninger om egen arbejdsstyrke - Politikker og processer vedrørende menneskerettigheder</t>
  </si>
  <si>
    <t>· C7 – Alvorlige negative menneskerettighedshændelser</t>
  </si>
  <si>
    <t xml:space="preserve">· C8 - Indtægter fra bestemte aktiviteter og udelukkelse fra EU-referencebenchmarks </t>
  </si>
  <si>
    <t xml:space="preserve">Indtægter fra bestemte aktiviteter </t>
  </si>
  <si>
    <t xml:space="preserve">Udelukkelse fra EUs referencebnechmarks </t>
  </si>
  <si>
    <t>· C9 – Kønsfordeling i ledelsesorganet</t>
  </si>
  <si>
    <t>Yderligere oplysninger</t>
  </si>
  <si>
    <t>· Oplysning om øvrige generelle og/eller virksomhedsspecifikke forhold i rapporteringsperioden</t>
  </si>
  <si>
    <t>· Oplysning om øvrige miljømæssige og/eller virksomhedsspecifikke miljøoplysninger</t>
  </si>
  <si>
    <t>· Oplysning om øvrige sociale og/eller virksomhedsspecifikke sociale oplysninger</t>
  </si>
  <si>
    <t>· Oplysning om øvrige ledelsesmæssige og/eller virksomhedsspecifikke ledelsesoplysninger</t>
  </si>
  <si>
    <t>Reference til paragraf</t>
  </si>
  <si>
    <t xml:space="preserve">Reference til paragrafvejledning </t>
  </si>
  <si>
    <t>fra</t>
  </si>
  <si>
    <t>til</t>
  </si>
  <si>
    <t xml:space="preserve">
Den</t>
  </si>
  <si>
    <t>[Skal altid rapporteres]</t>
  </si>
  <si>
    <t>[Hvis relevant]</t>
  </si>
  <si>
    <t>[Valgfri]</t>
  </si>
  <si>
    <t xml:space="preserve">Valgfri </t>
  </si>
  <si>
    <t>[Skal altid rapporteres + hvis relevant]</t>
  </si>
  <si>
    <t>[Hvis relevant tilkoblet med B2]</t>
  </si>
  <si>
    <t xml:space="preserve">
beløb i
</t>
  </si>
  <si>
    <t>Oplysninger i rapporten, der er nødvendige for XBRL</t>
  </si>
  <si>
    <t>Navn på den rapporterende virksomhed</t>
  </si>
  <si>
    <t>Identifikator for den rapporterende virksomhed (vælg og angiv til højre)</t>
  </si>
  <si>
    <t>Valuta for de monetære værdier i rapporten</t>
  </si>
  <si>
    <t>Startår</t>
  </si>
  <si>
    <t>Startmåned</t>
  </si>
  <si>
    <t>Startdato</t>
  </si>
  <si>
    <t>Rapporteringsperiodens startdato (åååå-mm-dd)</t>
  </si>
  <si>
    <t>Slutår</t>
  </si>
  <si>
    <t xml:space="preserve">Slutmåned
</t>
  </si>
  <si>
    <t>Slutdato</t>
  </si>
  <si>
    <t>Rapporteringsperiodens slutdato (åååå-mm-dd)</t>
  </si>
  <si>
    <t>Oplysninger om forrige rapporteringsperiode</t>
  </si>
  <si>
    <t>Denne rapport indeholder oplysninger fra den forrige rapporteringsperiode, som forbliver uændrede</t>
  </si>
  <si>
    <t>Liste over oplysninger, der ikke er ændret i forhold til forrige rapporteringsperiode</t>
  </si>
  <si>
    <t>Link til forrige rapport, som indeholder oplysninger, der forbliver uændrede</t>
  </si>
  <si>
    <t>B1 - Grundlag for udarbejdelse og øvrige generelle oplysninger om virksomheden</t>
  </si>
  <si>
    <t>Grundlag for udarbejdelse (Basismodul alene eller Basismodul &amp; Udvidet modul)</t>
  </si>
  <si>
    <t>Liste over udeladte oplysninger, der anses for at være klassificerede eller følsomme oplysninger</t>
  </si>
  <si>
    <t>Grundlag for udarbejdelse af bæredygtighedsrapport (individuelt grundlag eller konsolideret grundlag)</t>
  </si>
  <si>
    <t>Virksomhedens juridiske form</t>
  </si>
  <si>
    <t>Specifikation af anden juridisk form for virksomheden</t>
  </si>
  <si>
    <t>NACE sektor klassifikationskode(r)</t>
  </si>
  <si>
    <t xml:space="preserve">Balancens størrelse (samlede aktiver) i </t>
  </si>
  <si>
    <t>Omsætning (i)</t>
  </si>
  <si>
    <t>Antal ansatte</t>
  </si>
  <si>
    <t>Metode til optælling af ansatte (ved udgangen af rapporteringsperioden eller som gennemsnit for rapporteringsperioden)</t>
  </si>
  <si>
    <t>Metode til optælling af ansatte (antal personer eller fuldtidsækvivalenter)</t>
  </si>
  <si>
    <t>Land for primære aktiviteter og placering af væsentlige aktiver</t>
  </si>
  <si>
    <t>B1 - Liste over datterselskaber</t>
  </si>
  <si>
    <t>Navn</t>
  </si>
  <si>
    <t>Registreret adresse</t>
  </si>
  <si>
    <t>B1 - Oplysning om bæredygtighedsrelaterede certificeringer eller mærker</t>
  </si>
  <si>
    <t>Har virksomheden opnået nogen bæredygtighedsrelaterede certificering(er) eller mærke(r)?</t>
  </si>
  <si>
    <t>Beskrivelse af bæredygtighedsrelaterede certificeringer eller mærker (herunder, hvis det er relevant, udstederne af certificeringen eller mærket, dato og vurderingsscore)</t>
  </si>
  <si>
    <t>B1 - Liste over adresser og geolokation på væsentlige aktiver og anlæg, som virksomheden ejer, lejer eller forvalter</t>
  </si>
  <si>
    <t>Postnummer</t>
  </si>
  <si>
    <t>By</t>
  </si>
  <si>
    <t>GPS-koordinater (geolokation)</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</si>
  <si>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</si>
  <si>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B2 – Praksisser, politikker og fremtidige initiativer for omstilling til en mere bæredygtig økonomi</t>
  </si>
  <si>
    <t>Har virksomheden indført specifikke praksisser, politikker og/eller fremtidige initiativer til at støtte omstillingen mod en mere bæredygtig økonomi?</t>
  </si>
  <si>
    <t xml:space="preserve">Bæredygtighedsrelateret udfordring, der håndteres gennem en praksis, politik og/eller fremtidige initiativer, som virksomheden har indført </t>
  </si>
  <si>
    <t>Virksomheden har en indsats, politik og/eller et fremtidigt initiativ, der er offentligt tilgængeligt</t>
  </si>
  <si>
    <t>Virksomheden har fastsat et mål, der relaterer sig til en politik</t>
  </si>
  <si>
    <t>Klimaforandringer</t>
  </si>
  <si>
    <t xml:space="preserve">Forurening </t>
  </si>
  <si>
    <t>Vand- og havressourcer</t>
  </si>
  <si>
    <t>Biodiversitet og økosystemer</t>
  </si>
  <si>
    <t>Cirkulær økonomi</t>
  </si>
  <si>
    <t>Egen arbejdsstyrke</t>
  </si>
  <si>
    <t>Arbejdstagere i værdikæden</t>
  </si>
  <si>
    <t>Berørte samfund</t>
  </si>
  <si>
    <t>Forbrugere og slutbrugere</t>
  </si>
  <si>
    <t xml:space="preserve">Virksomhedsledelse </t>
  </si>
  <si>
    <t>B2 - Samarbejdsspecifikke oplysninger</t>
  </si>
  <si>
    <t>Effektiv deltagelse af arbejdstagere, brugere eller andre interesserede parter eller lokalsamfund i ledelsen</t>
  </si>
  <si>
    <t>Finansielle investeringer i kapital eller aktiver i sociale økonomi-enheder, jf. Rådets anbefaling af 29. september 2023 (eksklusive donationer og bidrag)</t>
  </si>
  <si>
    <t>Eventuelle begrænsninger i udbytteudlodning, der relaterer sig til den mutualistiske karakter eller til aktiviteter bestående i tjenester af almen økonomisk interesse (SGEI)</t>
  </si>
  <si>
    <t>C2 – Beskrivelse af praksisser, politikker og fremtidige initiativer for omstillingen til en mere bæredygtig økonomi</t>
  </si>
  <si>
    <t>Beskrivelse af en praksis, politik eller fremtidigt initiativ for omstillingen mod en mere bæredygtig økonomi
(I tilfælde hvor praksis/politik/fremtidigt initiativ omfatter leverandører eller kunder, skal virksomheden nævne dette)</t>
  </si>
  <si>
    <t xml:space="preserve">Beskrivelse af mål relateret til en politik
</t>
  </si>
  <si>
    <t xml:space="preserve">Det højeste ledelsesniveau blandt sine ansatte, der er ansvarligt for gennemførelsen af 
politikkerne, når dette er fastlagt af virksomheden </t>
  </si>
  <si>
    <t>C1 – Strategi: Forretningsmodel og bæredygtighedsrelaterede initiativer</t>
  </si>
  <si>
    <t>Beskrivelse af væsentlige grupper af produkter og/eller tjenesteydelser, som virksomheden tilbyder</t>
  </si>
  <si>
    <t>Beskrivelse af det eller de væsentlige markeder, som virksomheden operer på (f.eks. B2B, engros, detail, lande)</t>
  </si>
  <si>
    <t>Beskrivelse af de vigtigste forretningsforbindelser (f.eks. nøgleleverandører, kunder, distributionskanaler)</t>
  </si>
  <si>
    <t>Har strategien nøgleelementer, der relaterer til eller påvirker bæredygtighedsspørgsmål?</t>
  </si>
  <si>
    <t xml:space="preserve">Beskrivelse af de centrale elementer fra virksomhedens strategi, der vedrører eller påvirker bæredygtighedsspørgsmål </t>
  </si>
  <si>
    <t>Oplysning om enhver anden generel og/eller enhedsspecific information for rapporteringsperioden</t>
  </si>
  <si>
    <t>B3 – Samlet energiforbrug (i MWh)</t>
  </si>
  <si>
    <t>Samlet energiforbrug</t>
  </si>
  <si>
    <t>B3 – Opdeling af energiforbrug (i MWh)</t>
  </si>
  <si>
    <t>Har virksomheden indhentet de nødvendige oplysninger for at kunne opdele energiforbruget?</t>
  </si>
  <si>
    <t>Vedvarende</t>
  </si>
  <si>
    <t>Ikke-vedvarende</t>
  </si>
  <si>
    <t>Samlet vedvarende og ikke-vedvarende</t>
  </si>
  <si>
    <t>Elektricitet (som det fremgår af forbrugsregninger)</t>
  </si>
  <si>
    <t>Egenproduceret elektricitet</t>
  </si>
  <si>
    <t xml:space="preserve">Brændstoffer (se brændstofs-konverteringen i brændstof-fanen) </t>
  </si>
  <si>
    <t>B3 - Anslåede drivhusgasudledninger under hensyntagen til GHG-protokollen version 2004 (i tCO2e)</t>
  </si>
  <si>
    <t>C3 – Mål for reduktion af drivhusgasudledninger (i tCO2e)</t>
  </si>
  <si>
    <t>Har virksomheden fastsat mål for reduktion af drivhusgasudledninger?</t>
  </si>
  <si>
    <t>Nuværende rapporteringsperiode</t>
  </si>
  <si>
    <t>Basisår</t>
  </si>
  <si>
    <t>Målår</t>
  </si>
  <si>
    <t>Procentvis reduktion i relation til basisår</t>
  </si>
  <si>
    <t>År (dato)</t>
  </si>
  <si>
    <t xml:space="preserve">Brutto Scope 1 drivhusgasudledninger i  tCO2eq </t>
  </si>
  <si>
    <t>Brutto Scope 2 drivhusgasudledninger i tCO2eq (lokationsbaseret)</t>
  </si>
  <si>
    <t xml:space="preserve">Brutto Scope 2 drivhusgasudledninger i tCO2eq (markedsbaseret) </t>
  </si>
  <si>
    <t>Samlede Scope 1 og Scope 2 drivhusgasudledninger i tCO2eq (lokationsbaseret)</t>
  </si>
  <si>
    <t xml:space="preserve">Samlet Scope 1 og Scope 2 drivhusgasudledninger i tCO2eq (markedsbaseret) </t>
  </si>
  <si>
    <t>Oplyser virksomheden om enhedsspecifik information vedrørende Scope 3-udledninger (i tCO₂e)?</t>
  </si>
  <si>
    <t>1. Indkøbte varer og tjenesteydelser</t>
  </si>
  <si>
    <t>2. Kapitalgoder</t>
  </si>
  <si>
    <t>3. Brændstof- og energi-relaterede aktiviteter (ikke inkluderet i scope 1 eller scope 2)</t>
  </si>
  <si>
    <t>4. Opstrøms transport og distribution</t>
  </si>
  <si>
    <t>5. Affald genereret i driften</t>
  </si>
  <si>
    <t>6. Forretningsrejser</t>
  </si>
  <si>
    <t>7. medarbejderpendling</t>
  </si>
  <si>
    <t>8. Opstrøms lejede aktiver</t>
  </si>
  <si>
    <t>9. Nedstrøms transport og distribution</t>
  </si>
  <si>
    <t>10. Forarbejdning af solgte produkter</t>
  </si>
  <si>
    <t>11. Brug af solgte produkter</t>
  </si>
  <si>
    <t>12. Behandling ved slutningen af levetiden for solgte produkter</t>
  </si>
  <si>
    <t>13. Nedstrøms lejede aktiviteter</t>
  </si>
  <si>
    <t>14. Franchiseaftaler</t>
  </si>
  <si>
    <t>15. Investeringer</t>
  </si>
  <si>
    <t>Total Scope 3 drivhusgasudledninger</t>
  </si>
  <si>
    <t>Total Scope 1, Scope 2 og Scope 3 drivhusgasudledninger (lokationsbaseret)</t>
  </si>
  <si>
    <t xml:space="preserve">Total Scope 1, Scope 2 og Scope 3  drivhusgasudledninger (markedsbaseret) </t>
  </si>
  <si>
    <t>C3 - Liste over de vigtigste foranstaltninger, som virksomheden søger at gennemføre for at nå sine mål</t>
  </si>
  <si>
    <t>C3 - Omstillingsplan for virksomheder, der opererer i sektorer med stor klimaindvirkning</t>
  </si>
  <si>
    <t xml:space="preserve">Opererer virksomheden i en sektor med stor klimaindvirkning? </t>
  </si>
  <si>
    <t>Status for implementering af en omstillingsplan i relation til modvirkning af klimaændringer</t>
  </si>
  <si>
    <t>Beskrivelse af en overgangsplan for modvirkning af klimaændringer, herunder en redegørelse for, hvordan den bidrager til at reducere drivhusgasudledninger (GHG)</t>
  </si>
  <si>
    <t>Dato for forventet vedtagelse af omstillingsplan hvis endnu ikke vedtaget</t>
  </si>
  <si>
    <t>År</t>
  </si>
  <si>
    <t>Måned</t>
  </si>
  <si>
    <t>Dag</t>
  </si>
  <si>
    <t>B3 - Drivhusgasintensitet</t>
  </si>
  <si>
    <t>Scope 1 og Scope 2 drivhusgasintensitet (lokationsbaseret)</t>
  </si>
  <si>
    <t>Scope 1 og Scope 2 drivhusgasintensitet (markedsbaseret)</t>
  </si>
  <si>
    <t>Samlet Scope 1, Scope 2 og Scope 3 drivhusgasintensitet (lokationsbaseret)</t>
  </si>
  <si>
    <t xml:space="preserve">Samlet Scope 1, Scope 2 og Scope 3 drivhusgasintensitet (markedsbaseret) </t>
  </si>
  <si>
    <t>B4 – Forurening af luft, vand og jord</t>
  </si>
  <si>
    <t>Er virksomheden allerede forpligtet ved lov eller andre nationale bestemmelser til at rapportere sine udledninger af forurenende stoffer til de kompetente myndigheder, eller rapporterer den allerede frivilligt om dem i henhold til et miljøledelsessystem?</t>
  </si>
  <si>
    <t>Er denne oplysning allerede offentligt tilgængelig?</t>
  </si>
  <si>
    <t>Angiv venligst det relevante URL-link eller hyperlink, hvor disse oplysninger er rapporteret</t>
  </si>
  <si>
    <t>Vælg venligst den enhed, der bruges til rapportering af mængden (dvs. enten kg eller ton)</t>
  </si>
  <si>
    <t>Række-ID</t>
  </si>
  <si>
    <t xml:space="preserve">Forurenende stof
</t>
  </si>
  <si>
    <t>Udledning til luft</t>
  </si>
  <si>
    <t>Udledning til vand</t>
  </si>
  <si>
    <t>Udledning til jord</t>
  </si>
  <si>
    <t xml:space="preserve">B5 - Steder i eller i nærheden af 'biodiversitetsfølsomme områder’, som virksomheden a) ejer, b) lejer eller c) forvalter </t>
  </si>
  <si>
    <t>Har virksomheden lokaliteter, der er beliggende i eller nær biodiversitetsfølsomme områder?</t>
  </si>
  <si>
    <t>Vælg venligst den enhed, der anvendes til arealet (dvs. enten hektar eller m²):</t>
  </si>
  <si>
    <t>Relateret lokalitets-ID (vælg et ID fra en lokalitet rapporteret i B1)</t>
  </si>
  <si>
    <t>Lokalitet i/nær et biodiversitetsområde – automatisk udfyldt fra B1</t>
  </si>
  <si>
    <t>Areal (hektar eller m² baseret på valget ovenfor)</t>
  </si>
  <si>
    <t>Lokalitet beliggende i et biodiversitetsfølsomt område</t>
  </si>
  <si>
    <t>Lokalitet beliggende nær et biodiversitetsfølsomt område</t>
  </si>
  <si>
    <t xml:space="preserve">B5 - Biodiversitet - Arealforbrug </t>
  </si>
  <si>
    <t xml:space="preserve">Type af arealforbrug </t>
  </si>
  <si>
    <t>Areal</t>
  </si>
  <si>
    <t>Samlet befæstet areal</t>
  </si>
  <si>
    <t xml:space="preserve">Samlet naturorienteret areal på stedet </t>
  </si>
  <si>
    <t>Total naturorienteret areal uden for stedet</t>
  </si>
  <si>
    <t>Samlet arealforbrug</t>
  </si>
  <si>
    <t>B6 - Vand</t>
  </si>
  <si>
    <t xml:space="preserve">Samlet mændge vand udtaget fra alle lokationer (kubikmeter m³) </t>
  </si>
  <si>
    <t>Samlet mængde vand udtaget fra steder beliggende i områder med høj vandstress (kubikmeter m³)</t>
  </si>
  <si>
    <t>B6 – Vand</t>
  </si>
  <si>
    <t>Har virksomheden produktionsprocesser, der i væsentlig grad forbruger vand (f.eks. termiske energiprocesser såsom tørring eller elproduktion, produktion af varer, kunstvanding i landbruget osv.)?</t>
  </si>
  <si>
    <t>Vandudledning fra virksomhedens produktionsprocesser (m³)</t>
  </si>
  <si>
    <t>Samlet vandforbrug (m³)</t>
  </si>
  <si>
    <t>B7 - Beskrivelse af principperne for cirkulær økonomi</t>
  </si>
  <si>
    <t>Virksomheden anvender principperne for cirkulær økonomi</t>
  </si>
  <si>
    <t>Beskrivelse af, hvordan virksomhedenanvender disse principper</t>
  </si>
  <si>
    <t>B7 - Ressourceforbrug, cirkulær økonomi og affaldshåndtering</t>
  </si>
  <si>
    <t xml:space="preserve">Type af affald </t>
  </si>
  <si>
    <t>Måleenhed</t>
  </si>
  <si>
    <t>Affald omdirigeret til genanvendelse eller genbrug</t>
  </si>
  <si>
    <t xml:space="preserve">Affald sendt til bortskaffelse </t>
  </si>
  <si>
    <t>Samlet mængde affald  genbrugt, genanvendt og sendt til bortskaffelse</t>
  </si>
  <si>
    <t>Samlet produktion af farligt affald (masse)</t>
  </si>
  <si>
    <t xml:space="preserve">Samlet mængde affald genereret </t>
  </si>
  <si>
    <t>Samlet  produktion af ikke-farligt affald (masse)</t>
  </si>
  <si>
    <t>Samlet produktion af affald (masse)</t>
  </si>
  <si>
    <t>Samlet produktion af farligt affald (volume)</t>
  </si>
  <si>
    <t>kubikmeter (m³)</t>
  </si>
  <si>
    <t>Samlet produktion af ikke-farligt affald (volume)</t>
  </si>
  <si>
    <t>Samlet produktion af affald (volume)</t>
  </si>
  <si>
    <t xml:space="preserve">B7 - Årlig massestrøm af betydelige materialer brugt i virksomheden </t>
  </si>
  <si>
    <t>Opererer virksomheden i en sektor, der anvender betydelige materialestrømme (for eksempel fremstilling, byggeri, emballage eller andre)?</t>
  </si>
  <si>
    <t xml:space="preserve">Navn på det betydelige materiale </t>
  </si>
  <si>
    <t xml:space="preserve">Masse / Volume </t>
  </si>
  <si>
    <t>Samlet årlig massestrøm af betydelige materialer anvendt (masse i kg)</t>
  </si>
  <si>
    <t>kilogram (kg)</t>
  </si>
  <si>
    <t>Samlet årlig massestrøm af betyderlige metarialer anvendt (volumen i m³)</t>
  </si>
  <si>
    <t>C4 – Klimarisici</t>
  </si>
  <si>
    <t>Har virksomheden identificeret klimarelaterede farer og klimarelaterede omstillingshændelser, der skaber bruttoklimarelaterede risici for virksomheden?</t>
  </si>
  <si>
    <t>Beskrivelse af klimarelaterede farer og klimarelaterede omstillingshændelser</t>
  </si>
  <si>
    <t>Oplysning om, hvordan virksomheden har vurderet eksponeringen og følsomheden af sine aktiver, aktiviteter og værdikæde over for disse farer og omstillingshændelser</t>
  </si>
  <si>
    <t>Tidshorisonter for eventuelle identificerede klimarelaterede farer og omstillingshændelser</t>
  </si>
  <si>
    <t>Oplysninger om, hvorvidt virksomheden har gennemført tilpasning til klimaændringer i forhold til klimarelaterede farer og  omstillingshændelser</t>
  </si>
  <si>
    <t>Potentielle negative virkninger af klimarisici, der kan påvirke dens finansielle 
resultater eller forretningsaktiviteter på kort, mellemlang eller lang sigt, og angive, om den vurderer risiciene som  høje, mellemstore eller lave</t>
  </si>
  <si>
    <t xml:space="preserve">Oplysning om andre miljørelaterede og/eller virksomheds-specifikke miljøoplysninger </t>
  </si>
  <si>
    <t>Metode til opgørelse af antal ansatte for nedenstående oplysninger (samlet antal ansatte eller fuldtidsækvivalenter, koblet fra B1)</t>
  </si>
  <si>
    <t>Metode til opgørelse af antal ansatte for nedenstående oplysninger (ved udgangen af rapporteringsperioden eller som gennemsnit over rapporteringsperioden, koblet fra B1)</t>
  </si>
  <si>
    <t xml:space="preserve">B8 – Arbejdsstyrke – Generelle karakteristika - Type af ansættelseskontrakt </t>
  </si>
  <si>
    <t xml:space="preserve">Type af ansættelseskontrakt </t>
  </si>
  <si>
    <t>Tidsubegrænset kontrakt</t>
  </si>
  <si>
    <t xml:space="preserve">Midlertidig kontrakt </t>
  </si>
  <si>
    <t>Samlet antal ansatte (koblet fra B1)</t>
  </si>
  <si>
    <t>B8 – Arbejdsstyrke – Generelle karakteristika - Køn</t>
  </si>
  <si>
    <t>Mand</t>
  </si>
  <si>
    <t>Kvinde</t>
  </si>
  <si>
    <t>Andet</t>
  </si>
  <si>
    <t xml:space="preserve">Ikke registereret </t>
  </si>
  <si>
    <t>B8 – Arbejdsstyrke – Generelle karakteristika - Land for indgåelse af ansættelseskontrakten</t>
  </si>
  <si>
    <t xml:space="preserve">Land, hvor ansættelseskontrakten er indgået </t>
  </si>
  <si>
    <t xml:space="preserve">Opererer virksomheden i mere end ét land? </t>
  </si>
  <si>
    <t>B8 – Arbejdsstyrke – Generelle karakteristika - Medarbejderomsætning</t>
  </si>
  <si>
    <t>Antal ansatte, der fratrådte i løbet af rapporteringsperioden</t>
  </si>
  <si>
    <t>Antal ansatte ved begyndelsen af rapporteringsperioden</t>
  </si>
  <si>
    <t>Antal ansatte ved udgangen af rapporteringsperioden</t>
  </si>
  <si>
    <t>Medarbejderomsætningsrate [%] i rapporteringsperioden</t>
  </si>
  <si>
    <t>B9 – Arbejdsstyrke – Sundhed og sikkerhed</t>
  </si>
  <si>
    <t>Antallet af registrerbare arbejdsrelaterede ulykker i rapporteringsperioden</t>
  </si>
  <si>
    <t>Antal arbejdstimer for én fuldtidsansat i rapporteringsperioden</t>
  </si>
  <si>
    <t>Samlet antal årlige arbejdstimer for alle ansatte i rapporteringsperioden</t>
  </si>
  <si>
    <t>Antallet og andelen af registrerbare arbejdsrelaterede ulykker i rapporteringsperioden</t>
  </si>
  <si>
    <t>Antal dødsfald som følge af arbejdsrelaterede skader og arbejdsrelateret dårligt helbred.</t>
  </si>
  <si>
    <t xml:space="preserve">B10 – Arbejdsstyrke – Vederlag, kollektive overenskomster og uddannelse
</t>
  </si>
  <si>
    <t>Modtager de ansatte en løn, der er lig med eller højere end den gældende mindsteløn for det land, der rapporteres om? (Som fastsat direkte ved national llov om mindsteløn eller gennem en kollektiv overenskomst)</t>
  </si>
  <si>
    <t>Gennemsnitlig bruttotimeløn for mandlige ansatte</t>
  </si>
  <si>
    <t>Gennemsnitlig bruttotimeløn for kvindelige ansatte</t>
  </si>
  <si>
    <t>Procentvis lønforskel mellem virksomhedens kvindelige og mandlige ansatte [%]</t>
  </si>
  <si>
    <t>Antal ansatte omfattet af kollektive overenskomster</t>
  </si>
  <si>
    <t>Procentdel af ansatte omfattet af kollektive overenskomster [%]</t>
  </si>
  <si>
    <t>Gennemsnitligt antal årlige uddannelsestimer pr. ansat</t>
  </si>
  <si>
    <t>C5 – Supplerende (generelle) oplysninger om arbejdsstyrken</t>
  </si>
  <si>
    <t>Antal mandlige ansatte på ledelsesniveau</t>
  </si>
  <si>
    <t>Antal kvindelige ansatte på ledelsesniveau</t>
  </si>
  <si>
    <t>Forholdet mellem kvinder og mænd på ledelsesniveau for rapporteringsperioden</t>
  </si>
  <si>
    <t>Samlet antal selvstændige uden personale, der udelukkende arbejder for virksomheden</t>
  </si>
  <si>
    <t>Antallet af vikarer, der stilles til rådighed af virksomheder, som primært udøver beskæftigelsesaktiviteter</t>
  </si>
  <si>
    <t>C6 – Yderligere oplysninger om arbejdsstyrken – Menneskerettighedspolitikker og -processer</t>
  </si>
  <si>
    <t>Har virksomheden en adfærdskodeks eller menneskerettighedspolitik for sin egen arbejdsstyrke?</t>
  </si>
  <si>
    <t xml:space="preserve">Hvis ja, dækker det: </t>
  </si>
  <si>
    <t>· børnearbejde</t>
  </si>
  <si>
    <t>· tvangsarbejde</t>
  </si>
  <si>
    <t>· Menneskehandel</t>
  </si>
  <si>
    <t>· Forskelsbehandling</t>
  </si>
  <si>
    <t xml:space="preserve">· Sikkerhed og forebyggelse af ulykker </t>
  </si>
  <si>
    <t>· Andre? (hvis ja, angiv nærmere)</t>
  </si>
  <si>
    <t>Angiv andre typer indhold, der omfattes af adfærdskodeksen eller menneskerettighedspolitikken</t>
  </si>
  <si>
    <t>Har virksomheden en klagehåndteringsmekanisme for sine egne medarbejdere?</t>
  </si>
  <si>
    <t>C7 – Alvorlige negative menneskerettighedshændelser</t>
  </si>
  <si>
    <t>Har virksomheden bekræftede negative hændelser i sin egen arbejdsstyrke?</t>
  </si>
  <si>
    <t>Hvis ja, er hændelserne relateret til:</t>
  </si>
  <si>
    <t>Angiv andre bekræftede hændelser relateret til menneskerettigheder</t>
  </si>
  <si>
    <t xml:space="preserve">Beskrivelse af de foranstaltninger, der er truffet for at håndtere de bekræftede hændelser
</t>
  </si>
  <si>
    <t>Er virksomheden bekendt med bekræftede hændelser, der involverer arbejdstagere i værdikæden, berørte samfund, forbrugere og slutbrugere?</t>
  </si>
  <si>
    <t>Specifikation af enhver bekræftet hændelse, der involverer arbejdstagere i værdikæden, berørte lokalsamfund, forbrugere og slutbrugere</t>
  </si>
  <si>
    <t xml:space="preserve">Oplysninger om andre sociale og/eller virksomhedsspecifikke sociale oplysninger </t>
  </si>
  <si>
    <t>B11 – Domme og bøder for korruption og bestikkelse</t>
  </si>
  <si>
    <t>Har virksomheden pådraget sig domme og bøder i rapporteringsperioden?</t>
  </si>
  <si>
    <t>Samlet antal domme for overtrædelse af  love om bekæmpelse af korruption og bestikkelse</t>
  </si>
  <si>
    <t>Samlet bødebeløb for overtrædelse af love om bekæmpelse af korruption og bestikkelse</t>
  </si>
  <si>
    <t>C8 – Indtægter fra bestemte aktiviteter</t>
  </si>
  <si>
    <t>Har virksomheden relaterede indtægter fra én eller flere af nedenstående aktiviteter?</t>
  </si>
  <si>
    <t>Monetært beløb i</t>
  </si>
  <si>
    <t>Indtægter fra kontroversielle våben (personelminer, klyngeammunition, kemiske våben og biologiske våben)</t>
  </si>
  <si>
    <t>Indtægter fra dyrkning og produktion af tobak</t>
  </si>
  <si>
    <t xml:space="preserve">Indtægter fra fossile brændstoffer: Kul </t>
  </si>
  <si>
    <t>Indtægter fra fossile brændstoffer: Olie</t>
  </si>
  <si>
    <t>Indtægter fra fossile brændstoffer: Gas</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</si>
  <si>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</si>
  <si>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Indtægter fra kemikalieproduktion</t>
  </si>
  <si>
    <t>C8 – Udelukkelse fra EU-referencebenchmarks</t>
  </si>
  <si>
    <t>Virksomheder overskrider EU’s Paris-alignerede benchmarks, hvis:</t>
  </si>
  <si>
    <t>1 % eller mere af virksomhedens indtægter kommer fra efterforskning, minedrift, udvinding, distribution eller raffinering af hårdt kul og brunkul</t>
  </si>
  <si>
    <t>10 % eller mere af virksomhedens indtægter kommer fra efterforskning, udvinding, distribution eller raffinering af oliebrændstoffer</t>
  </si>
  <si>
    <t>50 % eller mere af virksomhedens indtægter kommer fra efterforskning, udvinding, fremstilling eller distribution af gasbaserede brændstoffer</t>
  </si>
  <si>
    <t>Elproduktion med høj drivhusgasintensitet (241d):
50 % eller mere af virksomhedens indtægter kommer fra elproduktion med en drivhusgasintensitet på mere end 100 g CO₂e/kWh</t>
  </si>
  <si>
    <t>Ingen af de ovenstående</t>
  </si>
  <si>
    <t xml:space="preserve">Virksomheder er udelukket fra enhver EU-referencebenchmark, der er tilpasset Parisaftalen. </t>
  </si>
  <si>
    <t>C9 – Kønsfordeling i ledelsesorganet</t>
  </si>
  <si>
    <t xml:space="preserve">Har virksomheden et ledelsesorgan? </t>
  </si>
  <si>
    <t>Antal kvinder i det øverste ledelsesorgan ved udgangen af rapporteringsperioden</t>
  </si>
  <si>
    <t>Antal mænd i det øverste ledelsesorgan ved udgangen af rapporteringsperioden</t>
  </si>
  <si>
    <t xml:space="preserve">Forholdet mellem kvinder og mænd i det øverste ledelsesorgan </t>
  </si>
  <si>
    <t>Oplysning af øvrige ledelses- og/eller virksomheds-specifikke ledelsesoplysninger</t>
  </si>
  <si>
    <t>BRÆNDSTOFSKONVERTER</t>
  </si>
  <si>
    <t>ANSVARSFRASKRIVELSE:</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</si>
  <si>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</si>
  <si>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</si>
  <si>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</si>
  <si>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Angiver, at cellen skal udfyldes enten ved at vælge en værdi fra dropdown-menuen (f.eks. Type af brændstof eller Måleenhed) eller ved at indtaste en mængde.</t>
  </si>
  <si>
    <t xml:space="preserve">Type af brædnstof </t>
  </si>
  <si>
    <t>Beløb</t>
  </si>
  <si>
    <t>Tilstand af stof</t>
  </si>
  <si>
    <t>Typisk vedvarende tilstand</t>
  </si>
  <si>
    <t>Beregnet energi i MWh</t>
  </si>
  <si>
    <t>Brug af brændstofskonverter</t>
  </si>
  <si>
    <t>1. I celle A9 skal du vælge det anvendte brændstof, enten ved at søge efter det eller ved at rulle ned i den viste liste og klikke på det.</t>
  </si>
  <si>
    <t>2. I celle B9 skal du vælge den anvendte måleenhed.</t>
  </si>
  <si>
    <t>3. I celle C9 skal du vælge den anvendte mængde brændstof.</t>
  </si>
  <si>
    <t>4. I celle D9 vises tilstanden for det valgte brændstof</t>
  </si>
  <si>
    <t>5. I celle E9 vises den typiske fornybarhedstilstand for det valgte brændstof</t>
  </si>
  <si>
    <t>6. I celle F9 vises energien produceret megawatt-timer, baseret på den specificerede mængde brændstof</t>
  </si>
  <si>
    <t>7. I celle A28 vises den samlede mængde energi i Megawatt-timer</t>
  </si>
  <si>
    <t>8. I celle A31 vises den samlede mængde vedvarende energi i Megawatt-timer</t>
  </si>
  <si>
    <t xml:space="preserve">9. I celle B31 vises den samlede mængde  ikkefornybare energi i Megawatt-timer </t>
  </si>
  <si>
    <t>10. Yderligere bemærkninger kan findes nedenfor</t>
  </si>
  <si>
    <t>Overfør de samlede beregnede resultater til B3's rapporteringsfelt "Energiforbrug af brændstof"</t>
  </si>
  <si>
    <t>Samlet energi (MWh)</t>
  </si>
  <si>
    <t xml:space="preserve">
Samlet vedvarende energi (MWh) 
</t>
  </si>
  <si>
    <t>Samlet ikke-vedvarened energi [MWh]</t>
  </si>
  <si>
    <t>Yderligere bemærkninger: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</si>
  <si>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</si>
  <si>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Energiforbrug per time i MWh for faste brændstoffer:</t>
  </si>
  <si>
    <t>Energi [MWh] = Masse [t] * NCV [MWh/t]</t>
  </si>
  <si>
    <t>Energiforbrug pr. time i MWh for flydende brændstoffer:</t>
  </si>
  <si>
    <t>Masse [t] = Volumen [L] * Densitet [t/L]</t>
  </si>
  <si>
    <t>Energi [MWh] = Masse [t] * [MWh/t]</t>
  </si>
  <si>
    <t>Energiforbrug pr. time i MWh for gasformige brændstoffer:</t>
  </si>
  <si>
    <t>Masse [t] = Volumen [m³] * Densitet [t/m³]</t>
  </si>
  <si>
    <t>MÅLEENHEDSKONVERTERING</t>
  </si>
  <si>
    <t>Fra</t>
  </si>
  <si>
    <t>Måleenhed for Masseomformer</t>
  </si>
  <si>
    <t>Måleenhed for Volumenomformer</t>
  </si>
  <si>
    <t>Måleenhed for energiforbrug pr. time</t>
  </si>
  <si>
    <t xml:space="preserve">Måleenhed for NCV-konverter 
</t>
  </si>
  <si>
    <t>Måleenhed for Densitetsomformer</t>
  </si>
  <si>
    <t>Brug af enhedsomregner</t>
  </si>
  <si>
    <t xml:space="preserve">Trin til at følge massetabellen </t>
  </si>
  <si>
    <t>1. I celle B5 i tabellen for Massekonverteren skal du indsætte den måleenhed, du vil omregne.</t>
  </si>
  <si>
    <t>2. Derefter kan mængden af masse indsættes i celle B6.</t>
  </si>
  <si>
    <t>3. Endelig skal der i cellen D5 være den relevante måleenhed.</t>
  </si>
  <si>
    <t>4. Resultatet af konverteringen vil blive vist i celle D6.</t>
  </si>
  <si>
    <t>Trinene, der skal følges for de øvrige tabeller (Volume, Energy Consumption, Density og NCV), er de samme som for Mass table.</t>
  </si>
  <si>
    <t>Nedenfor er angivet alle enhedsomregninger for hver tabel.</t>
  </si>
  <si>
    <t>▪ Enhed for masseomregner:</t>
  </si>
  <si>
    <t>▪ Måleenhed for volumekonverter:</t>
  </si>
  <si>
    <t>▪ Måleenhed for energikonverter:</t>
  </si>
  <si>
    <t>▪ Måleenhed for densitetskonverter:</t>
  </si>
  <si>
    <t>▪ Måleenhed for NCV-konverter:</t>
  </si>
  <si>
    <t xml:space="preserve">UFÆRDIG </t>
  </si>
  <si>
    <t xml:space="preserve">FÆRDIG </t>
  </si>
  <si>
    <t>MANGLENDE VÆRDI</t>
  </si>
  <si>
    <t>FEJL</t>
  </si>
  <si>
    <t>UOVERENSSTEMMELSE I VÆRDIER</t>
  </si>
  <si>
    <t>FEJL + UOVERENSSTEMMELSE I VÆRDIER</t>
  </si>
  <si>
    <t xml:space="preserve">FEJL + MANGLENDE VÆRDI +  UOVERENSSTEMMELSE I VÆRDIER </t>
  </si>
  <si>
    <t>FEJL + MANGLENDE VÆRDI</t>
  </si>
  <si>
    <t>MANGLENDE VÆRDI + UOVERENSSTEMMELSE I VÆRDIER</t>
  </si>
  <si>
    <t>UGYLDIG URL</t>
  </si>
  <si>
    <t>ℹ️ Flydende brændstof: vælg venligst en måleenhed blandt m³ og L</t>
  </si>
  <si>
    <t>ℹ️ Fast brændsel: vælg venligst en måleenhed blandt Gg, t, Kg og g</t>
  </si>
  <si>
    <t>ℹ️ Gasformigt brændstof: vælg venligst en måleenhed blandt m³ og L</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</si>
  <si>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</si>
  <si>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Hvis beskeden UOVERENSSTEMMELSE I VÆRDIER vises til højre, skal du sikre dig, at rapporteringsperiodens slutdato er større end rapporteringsperiodens startdato.</t>
  </si>
  <si>
    <t>ℹ️ Lister kan udvides ved hjælp af den lille [+] knap til venstre. Hvis antallet af rækker ikke er tilstrækkeligt, kan de tilføjes ved at højreklikke på anden række og vælge "Indsæt række".</t>
  </si>
  <si>
    <t>ℹ️ Når "andet" vælges som virksomhedsretlig form, bedes du udfylde rækken nedenfor.</t>
  </si>
  <si>
    <t xml:space="preserve">ℹ️ Vælg venligst en NACE-kode i stedet for en kategori, ellers vil en FEJL-meddelelse blive vist.
</t>
  </si>
  <si>
    <t>ℹ️ Vær venlig at sørge for at adskille hvert gadenummer og husnummer med skråstregsymbolet \"/\" og ikke kommaet \",\"</t>
  </si>
  <si>
    <t>ℹ️ Bemærk, at formlen i denne celle kan blive overskrevet, hvis virksomheden ønsker at angive værdien direkte.</t>
  </si>
  <si>
    <t xml:space="preserve">ℹ️ Kategorier for Scope 3 i henhold til GHG-protokollen kan hjælpe med at beregne de samlede Scope 3-drivhusgasemissioner. Hvis virksomheden ønsker det, kan den direkte oplyse de samlede Scope 3-drivhusgasemissioner i den respektive celle. 
</t>
  </si>
  <si>
    <t>ℹ️ Hvis der vises en validering relateret til værdikonsistens, bedes du vælge et site-ID, der er forskelligt fra et af dem, der tidligere er valgt.</t>
  </si>
  <si>
    <t xml:space="preserve">ℹ️ Vælg venligst en affaldstype (farligt eller ikke-farligt) i stedet for en kategori, ellers vil meldingen FEJL  fremkomme. </t>
  </si>
  <si>
    <t xml:space="preserve">ℹ️ Sørg venligst for, at det samlede antal ansatte er det samme som det, der er angivet i arket "Generelle oplysninger" celle E55
</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</si>
  <si>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</si>
  <si>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Danish - Reviewed translation by Danish Standard Setter</t>
  </si>
  <si>
    <t>ℹ️ Tjek EFRAGs hjemmeside for en ikke-udtømmende liste over drivhusgasberegnere.</t>
  </si>
  <si>
    <t>Nom de l'entreprise</t>
  </si>
  <si>
    <t>Identifiant de l'entreprise</t>
  </si>
  <si>
    <t>Schéma d'identification de l'entreprise</t>
  </si>
  <si>
    <t>Devise utilisée dans le rapport</t>
  </si>
  <si>
    <t>Séparateur décimal</t>
  </si>
  <si>
    <t>Période de reporting</t>
  </si>
  <si>
    <t>Rapport généré</t>
  </si>
  <si>
    <t>Toutes les informations se rapportent à la période de reporting ci-dessus, sauf indication contraire.</t>
  </si>
  <si>
    <t>Table des matières</t>
  </si>
  <si>
    <t>Période de reporting :</t>
  </si>
  <si>
    <t>Ce rapport contient</t>
  </si>
  <si>
    <t>Version :</t>
  </si>
  <si>
    <t>Date de publication :</t>
  </si>
  <si>
    <t>Point d'entrée de la taxonomie XBRL :</t>
  </si>
  <si>
    <t>Sélectionnez la langue d'affichage :</t>
  </si>
  <si>
    <t>Titre du rapport</t>
  </si>
  <si>
    <t>Rapport de durabilité</t>
  </si>
  <si>
    <t>Sous-titre du rapport</t>
  </si>
  <si>
    <t>Préparé conformément à la norme volontaire d’information en matière de durabilité pour les petites et moyennes entreprises (VSME), publiée par la Commission européenne le 30 juillet 2025</t>
  </si>
  <si>
    <t>Format numérique VSME</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</si>
  <si>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</si>
  <si>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Comment l'utiliser :</t>
  </si>
  <si>
    <t>0. Fournissez les informations obligatoires pour générer le rapport VSME et XBRL.</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</si>
  <si>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</si>
  <si>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</si>
  <si>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</si>
  <si>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4. Validez les données saisies en vérifiant le statut de validation. Le rapport est considéré comme incomplet ou erroné si la validation échoue, ce qui peut entraîner la génération d’un rapport XBRL non valide.</t>
  </si>
  <si>
    <t>5. Convertissez ce format en rapport Inline XBRL (ou XBRL-JSON, XBRL-CSV), en utilisant le convertisseur en ligne. Faites attention à la validation XBRL effectuée par l'outil de validation.</t>
  </si>
  <si>
    <t>6. L'entreprise peut aussi télécharger le rapport dans des registres publics en ligne ou sur une page web</t>
  </si>
  <si>
    <t>Légende couleur des cellules :</t>
  </si>
  <si>
    <t>Principes généraux</t>
  </si>
  <si>
    <t>Indique que la divulgation relève des principes généraux de VSME</t>
  </si>
  <si>
    <t>Indique que la divulgation provient du module de base VSME.</t>
  </si>
  <si>
    <t>Module complet</t>
  </si>
  <si>
    <t>Indique que la divulgation provient du module complet VSME.</t>
  </si>
  <si>
    <t>Indique que la cellule est calculée automatiquement et qu’aucune saisie de données n’est requise.</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</si>
  <si>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</si>
  <si>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 xml:space="preserve">Indique qu'aucune donnée n'est à saisir à moins que certains éléments soient sélectionnés dans l'information elle-même. Dans ce cas, la cellule deviendra blanche. </t>
  </si>
  <si>
    <t>Validation VALEUR MANQUANTE/ERREUR/VALEUR INCOHERENTE/URL NON VALIDE</t>
  </si>
  <si>
    <t>Indique soit que les données sont saisies dans un format incorrect, soit que certaines informations manquent pour pouvoir correctement remplir les exigences de publication.</t>
  </si>
  <si>
    <t>Indique que la saisie des données est OK et que l'entreprise peut passer à la divulgation suivante.</t>
  </si>
  <si>
    <t>Aucune valeur ne peut être saisie dans la cellule.</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</si>
  <si>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</si>
  <si>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</si>
  <si>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Les droits de reproduction et d'utilisation sont strictement limités. Pour plus de détails, veuillez contacter efragsecretariat@efrag.org</t>
  </si>
  <si>
    <t xml:space="preserve">Statut global de validation
</t>
  </si>
  <si>
    <t>Le regroupement des contenus suit le cadre du format</t>
  </si>
  <si>
    <t>Statut de validation du contenu spécifique</t>
  </si>
  <si>
    <t>Informations générales</t>
  </si>
  <si>
    <t>· Informations sur le rapport nécessaires pour XBRL</t>
  </si>
  <si>
    <t>· Informations sur la période de reporting précédente</t>
  </si>
  <si>
    <t>Module de base</t>
  </si>
  <si>
    <t>Base de préparation et autres informations générales de l'entreprise</t>
  </si>
  <si>
    <t>Liste des filiales</t>
  </si>
  <si>
    <t>Publication de la ou des certification(s) ou label(s) liés à la durabilité</t>
  </si>
  <si>
    <t>Liste du (des) site(s)</t>
  </si>
  <si>
    <t>B2 – Pratiques, politiques et initiatives futures en vue de la transition vers une économie plus durable</t>
  </si>
  <si>
    <t>Pratiques, politiques et initiatives futures en vue de la transition vers une économie plus durable</t>
  </si>
  <si>
    <t>Informations spécifiques aux coopératives</t>
  </si>
  <si>
    <t>Informations environnementales</t>
  </si>
  <si>
    <t>Consommation totale d'énergie (en MWh)</t>
  </si>
  <si>
    <t>Ventilation de la consommation d'énergie (en MWh)</t>
  </si>
  <si>
    <t>Estimation des émissions brutes de gaz à effet de serre (GES) en prenant en considération le Protocole des GES (GHG Protocol) (version 2004) (en teqCO2)</t>
  </si>
  <si>
    <t>Intensité des émissions de gaz à effet de serre sur la base du chiffre d’affaires</t>
  </si>
  <si>
    <t>Sites situés dans des zones sensibles sur le plan de la biodiversité</t>
  </si>
  <si>
    <t>Biodiversité - Utilisation des terres</t>
  </si>
  <si>
    <t>Prélèvements d'eau</t>
  </si>
  <si>
    <t>Consommation d’eau</t>
  </si>
  <si>
    <t>Description des principes de l'économie circulaire</t>
  </si>
  <si>
    <t>Déchets produits</t>
  </si>
  <si>
    <t>le flux massique annuel des matières pertinentes utilisées</t>
  </si>
  <si>
    <t>Informations sociales</t>
  </si>
  <si>
    <t>Type de contrat</t>
  </si>
  <si>
    <t>Genre</t>
  </si>
  <si>
    <t>Pays du contrat de travail</t>
  </si>
  <si>
    <t>Taux de rotation</t>
  </si>
  <si>
    <t>B9 – Personnel – Santé et sécurité</t>
  </si>
  <si>
    <t>Informations de gouvernance</t>
  </si>
  <si>
    <t>B11 – Condamnations et amendes pour corruption et pots-de-vin</t>
  </si>
  <si>
    <t>C2 – Description des pratiques, politiques et initiatives futures en vue de la transition vers une économie plus durable</t>
  </si>
  <si>
    <t>Cibles de réduction des émissions de GES (en tCO₂e)</t>
  </si>
  <si>
    <t>Publication de la liste des principales actions que l'entreprise entend mettre en œuvre pour atteindre ses cibles</t>
  </si>
  <si>
    <t>Plan de transition pour les entreprises opérant dans des secteurs à fort impact climatique</t>
  </si>
  <si>
    <t>C4 – Risques climatiques</t>
  </si>
  <si>
    <t>C5 – Caractéristiques supplémentaires (générales) du personnel</t>
  </si>
  <si>
    <t>C7 – Incidents graves en matière de droits de l’homme</t>
  </si>
  <si>
    <t>Chiffre d’affaires de certains secteurs</t>
  </si>
  <si>
    <t>Exclusion des indices de référence de l'UE</t>
  </si>
  <si>
    <t>C9 – Ratio de mixité au sein de l’organe de gouvernance</t>
  </si>
  <si>
    <t>Informations supplémentaires</t>
  </si>
  <si>
    <t>Publication de toute autre information environnementale et/ou spécifique à l'entité</t>
  </si>
  <si>
    <t>Publication de toute autre information sociale et/ou spécifique à l'entité</t>
  </si>
  <si>
    <t>Publication de toute autre information relative à la gouvernance et/ou spécifique à l'entité</t>
  </si>
  <si>
    <t>Référence de paragraphe</t>
  </si>
  <si>
    <t>Référence de paragraphe des orientations</t>
  </si>
  <si>
    <t>du</t>
  </si>
  <si>
    <t>au</t>
  </si>
  <si>
    <t>à</t>
  </si>
  <si>
    <t xml:space="preserve">[Toujours à reporter] 
</t>
  </si>
  <si>
    <t>[Le cas échéant]</t>
  </si>
  <si>
    <t>[peut (facultatif)]</t>
  </si>
  <si>
    <t>peut (facultatif)</t>
  </si>
  <si>
    <t>[Toujours à reporter + le cas échéant]</t>
  </si>
  <si>
    <t>[S'il y a lieu, lié à B2]</t>
  </si>
  <si>
    <t>montant en</t>
  </si>
  <si>
    <t>Informations sur le rapport nécessaires pour XBRL</t>
  </si>
  <si>
    <t xml:space="preserve">Nom de l'entreprise déclarante
</t>
  </si>
  <si>
    <t>Identifiant de l'entreprise déclarante (sélectionnez et spécifiez à droite)</t>
  </si>
  <si>
    <t>Devise utilisée pour les valeurs monétaires dans le rapport</t>
  </si>
  <si>
    <t>Année de début</t>
  </si>
  <si>
    <t>Mois de début</t>
  </si>
  <si>
    <t>Jour de début</t>
  </si>
  <si>
    <t>Date de début de la période de reporting (aaaa-mm-jj)</t>
  </si>
  <si>
    <t xml:space="preserve">Année de fin
</t>
  </si>
  <si>
    <t>Mois de fin</t>
  </si>
  <si>
    <t>Jour de fin</t>
  </si>
  <si>
    <t>Date de fin de la période de reporting (aaaa-mm-jj)</t>
  </si>
  <si>
    <t>Informations sur la période de reporting précédente</t>
  </si>
  <si>
    <t>Ce rapport contient des informations de la période de reporting précédente qui restent inchangées.</t>
  </si>
  <si>
    <t>Liste des informations pour lesquelles aucun changement n’est signalé par rapport à la période de reporting précédente</t>
  </si>
  <si>
    <t>Lien vers le rapport précédent contenant des informations inchangées</t>
  </si>
  <si>
    <t>B1 - Base de préparation et autres informations générales de l'entreprise</t>
  </si>
  <si>
    <t>Base de préparation (Module de base uniquement ou Modules de base &amp; complet)</t>
  </si>
  <si>
    <t>Liste des informations omises jugées comme informations classifiées ou sensibles</t>
  </si>
  <si>
    <t>Base de présentation (consolidée ou individuelle)</t>
  </si>
  <si>
    <t>Forme juridique de l’entreprise</t>
  </si>
  <si>
    <t>Autre spécification sur la forme juridique de entreprise</t>
  </si>
  <si>
    <t>Code(s) de la nomenclature sectorielle NACE</t>
  </si>
  <si>
    <t>Total du bilan (total des actifs) en</t>
  </si>
  <si>
    <t>Chiffre d'affaires en</t>
  </si>
  <si>
    <t>Nombre de salariés</t>
  </si>
  <si>
    <t>Méthodologie de comptage des salariés (à la fin de la période de reporting, ou en moyenne pendant la période de reporting)</t>
  </si>
  <si>
    <t>Méthodologie de comptage des salariés (effectif ou équivalent temps plein)</t>
  </si>
  <si>
    <t>Pays où sont exercées les activités principales et localisation d'un ou de plusieurs actifs présentant un intérêt significatif</t>
  </si>
  <si>
    <t>B1 - Liste des filiales</t>
  </si>
  <si>
    <t>Nom</t>
  </si>
  <si>
    <t>Adresse du siège social</t>
  </si>
  <si>
    <t>B1 - Publication de la ou des certification(s) ou label(s) liés à la durabilité</t>
  </si>
  <si>
    <t>L'entreprise a-t-elle obtenu une ou plusieurs certification(s) ou label(s) liés à la durabilité ?</t>
  </si>
  <si>
    <t>Si l’entreprise a obtenu une certification ou un label lié à la durabilité, elle en fournit une brève description (y compris, le cas échéant, les organismes qui délivrent la certification ou le label, la date et la notation).</t>
  </si>
  <si>
    <t>B1 - Liste des site(s)</t>
  </si>
  <si>
    <t>Code postal</t>
  </si>
  <si>
    <t>Ville</t>
  </si>
  <si>
    <t>Pays</t>
  </si>
  <si>
    <t>Coordonnées (géolocalisation)</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</si>
  <si>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</si>
  <si>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L’entreprise a-t-elle mis en place des pratiques, des politiques ou des initiatives futures spécifiques en vue de la transition vers une économie plus durable ?</t>
  </si>
  <si>
    <t>Enjeux de durabilité traités par des pratiques, politiques, et/ou initiatives futures mises en place par l’entreprise</t>
  </si>
  <si>
    <t>L'entreprise dispose d'une pratique, d'une politique et/ou d'une initiative future qui est accessible au public.</t>
  </si>
  <si>
    <t xml:space="preserve">L’entreprise a fixé une cible qui est liée à une politique. </t>
  </si>
  <si>
    <t>Changement climatique</t>
  </si>
  <si>
    <t>Ressources hydriques et marines</t>
  </si>
  <si>
    <t>Biodiversité et écosystèmes</t>
  </si>
  <si>
    <t>Économie circulaire</t>
  </si>
  <si>
    <t>Personnel de l'entreprise</t>
  </si>
  <si>
    <t>Travailleurs de la chaîne de valeur</t>
  </si>
  <si>
    <t>Communautés affectées</t>
  </si>
  <si>
    <t>Consommateurs et utilisateurs finaux</t>
  </si>
  <si>
    <t>Conduite des affaires</t>
  </si>
  <si>
    <t>B2 - Divulgations propres aux coopératives</t>
  </si>
  <si>
    <t>Participation effective des travailleurs, des utilisateurs ou d'autres parties ou communautés intéressées à la gouvernance</t>
  </si>
  <si>
    <t>Investissements financiers dans le capital ou les actifs des entités de l’économie sociale visées par la recommandation du Conseil du 29 septembre 2023 (à l’exclusion des dons et contributions)</t>
  </si>
  <si>
    <t>Limites à la distribution des bénéfices du fait du caractère mutualiste ou de la nature des activités exercées valant services d’intérêt économique général</t>
  </si>
  <si>
    <t>Description d'une pratique, d'une politique et/ou d'une initiative future en vue d'un avenir plus durable (Si la pratique, la politique ou l'initiative future concerne des fournisseurs ou des clients, l'entreprise doit le mentionner)</t>
  </si>
  <si>
    <t>Description de la cible liée à une politique</t>
  </si>
  <si>
    <t>Niveau hiérarchique le plus élevé parmi les salariés qui est responsable de la mise en œuvre des politiques, lorsque cela a été déterminé par l’entreprise</t>
  </si>
  <si>
    <t>C1 – Stratégie : modèle économique et durabilité – initiatives associées</t>
  </si>
  <si>
    <t>Description des grands groupes de produits et/ou services proposés</t>
  </si>
  <si>
    <t>Description du ou des grands marchés sur lesquels l'entreprise exerce ses activités (par ex. commerce interentreprises, commerce de gros, commerce de détail, pays)</t>
  </si>
  <si>
    <t>Description des principales relations d’affaires (telles que les principaux fournisseurs, clients, canaux de distribution)</t>
  </si>
  <si>
    <t xml:space="preserve">	
La stratégie comporte-t-elle des éléments principaux qui se rattachent à des enjeux de durabilité ou qui les influencent ?</t>
  </si>
  <si>
    <t>Description des principaux éléments de la stratégie qui se rattachent à des enjeux de durabilité ou qui les influencent</t>
  </si>
  <si>
    <t>Publication de toute autre information environnementale et/ou spécifique à l'entité sur la période de reporting</t>
  </si>
  <si>
    <t>B3 - Consommation totale d’énergie (en MWh)</t>
  </si>
  <si>
    <t>Consommation totale d’énergie</t>
  </si>
  <si>
    <t>B3 - Ventilation de la consommation d'énergie (en MWh)</t>
  </si>
  <si>
    <t>L’entreprise a-t-elle obtenu les informations nécessaires pour fournir une ventilation de la consommation d’énergie ?</t>
  </si>
  <si>
    <t>Renouvelable</t>
  </si>
  <si>
    <t>Non renouvelable</t>
  </si>
  <si>
    <t>Total renouvelable et non renouvelable</t>
  </si>
  <si>
    <t>Électricité (telle qu’indiquée sur les factures de consommation courante)</t>
  </si>
  <si>
    <t>Électricité auto-produite</t>
  </si>
  <si>
    <t>Combustibles (voir Convertisseur de combustible dans la feuille Combustible)</t>
  </si>
  <si>
    <t>B3 - Estimations des émissions de gaz à effet de serre en prenant en considération la norme du protocole des GES relative aux entreprises (GHG Protocol) (version 2004) (en tCO₂e)</t>
  </si>
  <si>
    <t>L'entreprise a-t-elle établi des cibles de réduction des émissions de GES ?</t>
  </si>
  <si>
    <t>Période de reporting actuelle</t>
  </si>
  <si>
    <t>Année de référence</t>
  </si>
  <si>
    <t>Année cible</t>
  </si>
  <si>
    <t>Réduction en pourcentage par rapport à l’année de référence</t>
  </si>
  <si>
    <t>Année (date)</t>
  </si>
  <si>
    <t>Émissions brutes de GES du scope 1</t>
  </si>
  <si>
    <t>Émissions brutes de GES du scope 2 basées sur la localisation</t>
  </si>
  <si>
    <t>Émissions brutes de GES du scope 2 basées sur le marché</t>
  </si>
  <si>
    <t>Émissions totales de GES des scopes 1 et 2 (approche basée sur la localisation)</t>
  </si>
  <si>
    <t>Émissions totales de GES des scopes 1 et 2 (approche basée sur le marché)</t>
  </si>
  <si>
    <t>L'entreprise publie-t-elle des informations spécifiques à l’entité sur les émissions du scope 3 (en tCO₂e) ?</t>
  </si>
  <si>
    <t>1. Biens et services achetés</t>
  </si>
  <si>
    <t>2. Biens d'investissement</t>
  </si>
  <si>
    <t>3. Activités relevant des secteurs des combustibles et de l’énergie (non incluses dans les scopes 1 et 2)</t>
  </si>
  <si>
    <t xml:space="preserve">4. Transport et distribution en amont </t>
  </si>
  <si>
    <t>5. Déchets produits lors de l’exploitation</t>
  </si>
  <si>
    <t>6. Voyages d’affaires</t>
  </si>
  <si>
    <t>7. Déplacements domicile-travail des salariés</t>
  </si>
  <si>
    <t>8. Actifs loués en amont</t>
  </si>
  <si>
    <t>9. Acheminement en aval</t>
  </si>
  <si>
    <t>10. Transformation des produits vendus</t>
  </si>
  <si>
    <t>11. Utilisation des produits vendus</t>
  </si>
  <si>
    <t>12. Traitement en fin de vie des produits vendus</t>
  </si>
  <si>
    <t>13. Actifs loués en aval</t>
  </si>
  <si>
    <t>15. Investissements</t>
  </si>
  <si>
    <t>Émissions totales de GES du scope 3</t>
  </si>
  <si>
    <t>Émissions totales de GES des scopes 1, 2 et 3 (approche basée sur la localisation)</t>
  </si>
  <si>
    <t>Émissions totales de GES des scopes 1, 2 et 3 (approche basée sur le marché)</t>
  </si>
  <si>
    <t>C3 - Publication de la liste des principales actions que l'entreprise entend mettre en œuvre pour atteindre ses cibles</t>
  </si>
  <si>
    <t>C3 - Plan de transition pour les entreprises opérant dans des secteurs à fort impact climatique</t>
  </si>
  <si>
    <t>L'entreprise opère-t-elle dans des secteurs à fort impact ?</t>
  </si>
  <si>
    <t>Statut de la mise en œuvre d’un plan de transition en relation avec l’atténuation du changement climatique</t>
  </si>
  <si>
    <t>Description d’un plan de transition pour l’atténuation du changement climatique comprenant une explication de la manière dont il contribue à réduire les émissions de GES</t>
  </si>
  <si>
    <t>Date prévue d’adoption du plan de transition pour l’entreprise n’ayant pas encore adopté de plan de transition</t>
  </si>
  <si>
    <t>Année</t>
  </si>
  <si>
    <t>Mois</t>
  </si>
  <si>
    <t>Jour</t>
  </si>
  <si>
    <t>B3 - Intensité des émissions de gaz à effet de serre sur la base du chiffre d'affaires (en  tCO₂e)</t>
  </si>
  <si>
    <t>Intensité des émissions de GES des scopes 1 et 2 (approche basée sur la localisation)</t>
  </si>
  <si>
    <t>Intensité des émissions de GES des scopes 1 et 2 (approche basée sur le marché)</t>
  </si>
  <si>
    <t>Intensité des émissions totales de GES des scopes 1, 2 et 3 (approche basée sur la localisation)</t>
  </si>
  <si>
    <t>Intensité des émissions totales de GES des scopes 1, 2 et 3 (approche basée sur le marché)</t>
  </si>
  <si>
    <t>Pollution de l'air, de l'eau et des sols</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</si>
  <si>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</si>
  <si>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Cette information est-elle déjà accessible au public ?</t>
  </si>
  <si>
    <t>Veuillez fournir le lien URL pertinent ou l’hyperlien indiquant où ces informations sont publiées.</t>
  </si>
  <si>
    <t>Veuillez sélectionner l'unité utilisée pour reporter la quantité (c.-à-d. soit en kg ou en tonne)</t>
  </si>
  <si>
    <t>ID de ligne</t>
  </si>
  <si>
    <t>Polluant</t>
  </si>
  <si>
    <t>Rejets dans l'air</t>
  </si>
  <si>
    <t>Rejets dans l'eau</t>
  </si>
  <si>
    <t>Rejets dans les sols</t>
  </si>
  <si>
    <t>B5 – Sites situés dans des zones sensibles sur le plan de la biodiversité</t>
  </si>
  <si>
    <t>L'entreprise dispose-t-elle de sites situés dans ou à proximité de zones sensibles sur le plan de la biodiversité ?</t>
  </si>
  <si>
    <t>Veuillez sélectionner l’unité utilisée pour la superficie (c.-à-d. soit en hectares, soit en m²) :</t>
  </si>
  <si>
    <t>ID du site associé (sélectionnez un ID parmi les sites déclarés dans B1)</t>
  </si>
  <si>
    <t>Localisation du site à proximité d'une zone de biodiversité - rempli automatiquement à partir de B1</t>
  </si>
  <si>
    <t>Superficie (en hectares ou en m² selon la sélection ci-dessus)</t>
  </si>
  <si>
    <t>Site situé dans une zone sensible sur le plan de la biodiversité</t>
  </si>
  <si>
    <t>Site situé à proximité d'une zone sensible sur le plan de la biodiversité</t>
  </si>
  <si>
    <t>B5 - Biodiversité - Utilisation des terres</t>
  </si>
  <si>
    <t>Type d’affectation des terres</t>
  </si>
  <si>
    <t>Zone</t>
  </si>
  <si>
    <t>Surface totale imperméabilisée</t>
  </si>
  <si>
    <t>Surface totale respectueuse de la nature sur le site</t>
  </si>
  <si>
    <t>Surface totale respectueuse de la nature hors site</t>
  </si>
  <si>
    <t>Utilisation totale des terres</t>
  </si>
  <si>
    <t>B6 – Prélèvements d'eau</t>
  </si>
  <si>
    <t>Quantité totale d'eau prélevée sur tous les sites (mètres cubes m³)</t>
  </si>
  <si>
    <t>Quantité d’eau prélevée sur les sites qui se situent dans des zones exposées à un stress hydrique élevé (mètres cubes m³)</t>
  </si>
  <si>
    <t>B6 - Consommation d'eau</t>
  </si>
  <si>
    <t>L'entreprise a-t-elle mis en place des processus de production qui consomment beaucoup d’eau (par ex. des procédés d’énergie thermique tels que le séchage ou la production d’électricité, la production de biens, l’irrigation agricole, etc.) ?</t>
  </si>
  <si>
    <t>Rejet d’eau provenant des processus de production de l’entreprise (m³)</t>
  </si>
  <si>
    <t>Consommation totale d’eau (m³)</t>
  </si>
  <si>
    <t>B7 – Description des principes de l’économie circulaire</t>
  </si>
  <si>
    <t>L’entreprise applique les principes de l’économie circulaire</t>
  </si>
  <si>
    <t>Description de la manière dont elle applique ces principes</t>
  </si>
  <si>
    <t>B7 - Déchets produits</t>
  </si>
  <si>
    <t>Type de déchets</t>
  </si>
  <si>
    <t>Unité de mesure</t>
  </si>
  <si>
    <t>Déchets destinés à être recyclés ou réutilisés</t>
  </si>
  <si>
    <t>Déchets destinés à être éliminés</t>
  </si>
  <si>
    <t>Quantité de déchets recyclés, réutilisés et destinés à être éliminés</t>
  </si>
  <si>
    <t>Total des déchets dangereux produits (en masse)</t>
  </si>
  <si>
    <t>Quantité totale de déchets produits</t>
  </si>
  <si>
    <t>Total des déchets non dangereux produits (en masse)</t>
  </si>
  <si>
    <t>Total des déchets produits (en masse)</t>
  </si>
  <si>
    <t>Total des déchets dangereux produits (en volume)</t>
  </si>
  <si>
    <t>mètres cubes (m³)</t>
  </si>
  <si>
    <t>Total des déchets non dangereux produits (en volume)</t>
  </si>
  <si>
    <t>Total des déchets produits (en volume)</t>
  </si>
  <si>
    <t>B7 – Flux massique annuel des matières pertinentes utilisées</t>
  </si>
  <si>
    <t>L’entreprise opère-t-elle dans un secteur qui utilise des flux de matières importants (par ex. fabrication, construction, emballage ou autres) ?</t>
  </si>
  <si>
    <t xml:space="preserve">  Nom de la matières clé </t>
  </si>
  <si>
    <t>Volume en masse</t>
  </si>
  <si>
    <t>Total du flux massique annuel des matières pertinentes utilisées (masse en kg)</t>
  </si>
  <si>
    <t>kilogrammes (kg)</t>
  </si>
  <si>
    <t>Total du flux massique annuel des matières pertinentes utilisées (volume en m³)</t>
  </si>
  <si>
    <t>L’entreprise a-t-elle recensé des aléas liés au changement climatique et des événements liés à la transition climatique créant des risques bruts liés au changement climatique pour l’entreprise ?</t>
  </si>
  <si>
    <t>Description des aléas liés au changement climatique et des événements liés à la transition climatique</t>
  </si>
  <si>
    <t>Information sur comment elle a évalué l’exposition et la sensibilité de ses actifs, de ses activités et de sa chaîne de valeur à ces aléas et à ces événements liés à la transition</t>
  </si>
  <si>
    <t>Horizons temporels des aléas liés au changement climatique et des événements liés à la transition climatique recensés</t>
  </si>
  <si>
    <t>Indication si elle a entrepris des actions d’adaptation au changement climatique pour les aléas liés au changement climatique et les événements liés à la transition climatique</t>
  </si>
  <si>
    <t>Effets potentiels négatifs des risques climatiques susceptibles d’affecter ses performances financières ou ses activités à court, moyen ou long terme, en indiquant si elle estime que les risques sont élevés, moyens ou faibles</t>
  </si>
  <si>
    <t>Méthodologie de comptage des effectifs pour les informations ci-dessous (effectif ou équivalent temps plein lié à B1)</t>
  </si>
  <si>
    <t>Méthodologie de comptage des effectifs pour les informations ci-dessous (à la fin de la période de reporting ou en moyenne sur la période de reporting liée à B1)</t>
  </si>
  <si>
    <t>B8 –   Personnel – Caractéristiques générales  - Type de contrat</t>
  </si>
  <si>
    <t>Contrat de travail à durée indéterminée</t>
  </si>
  <si>
    <t>Contrat de travail à durée déterminée</t>
  </si>
  <si>
    <t>Nombre total de salariés (lié à B1)</t>
  </si>
  <si>
    <t>B8 –   Personnel – Caractéristiques générales  - Genre</t>
  </si>
  <si>
    <t>Homme</t>
  </si>
  <si>
    <t>Femme</t>
  </si>
  <si>
    <t>Autre</t>
  </si>
  <si>
    <t>Non communiqué</t>
  </si>
  <si>
    <t>B8 –   Personnel – Caractéristiques générales  - Pays d'emploi</t>
  </si>
  <si>
    <t>L'entreprise exerce-t-elle ses activités dans plus d'un pays ?</t>
  </si>
  <si>
    <t>B8 –   Personnel – Caractéristiques générales  - Taux de rotation des salariés</t>
  </si>
  <si>
    <t>Nombre de salariés ayant quitté l'entreprise pendant la période de reporting</t>
  </si>
  <si>
    <t>Nombre de salariés au début de la période de reporting</t>
  </si>
  <si>
    <t>Nombre de salariés à la fin de la période de reporting</t>
  </si>
  <si>
    <t xml:space="preserve">Taux de rotation des salariés [%] pendant la période de reporting
</t>
  </si>
  <si>
    <t>Nombre d'accidents du travail comptabilisables pendant la période de reporting</t>
  </si>
  <si>
    <t>Nombre d’heures travaillées par un salarié à temps plein au cours de l'année de référence</t>
  </si>
  <si>
    <t>Nombre total d’heures travaillées en un an par l’ensemble des salariés pendant la période de reporting</t>
  </si>
  <si>
    <t>Taux d’accidents du travail comptabilisables pendant la période de reporting</t>
  </si>
  <si>
    <t>Nombre de décès dus à des accidents du travail et à des problèmes de santé liés au travail</t>
  </si>
  <si>
    <t>B10 – Personnel – Rémunération, négociation collective et formation</t>
  </si>
  <si>
    <t>Les salariés perçoivent une rémunération égale ou supérieure au salaire minimal applicable, déterminé directement par la législation nationale sur le salaire minimum ou par une convention collective.</t>
  </si>
  <si>
    <t>Rémunération horaire brute moyenne des salariés hommes</t>
  </si>
  <si>
    <t>Rémunération horaire brute moyenne des salariés femmes</t>
  </si>
  <si>
    <t>Écart de rémunération en pourcentage entre les salariés femmes et hommes de l'entreprise [%]</t>
  </si>
  <si>
    <t>Nombre de salariés couverts par des conventions collectives</t>
  </si>
  <si>
    <t>Pourcentage des salariés couverts par des conventions collectives  [%]</t>
  </si>
  <si>
    <t>Nombre moyen d’heures de formation annuelles par salarié</t>
  </si>
  <si>
    <t>Nombre de salariés hommes au niveau de la direction</t>
  </si>
  <si>
    <t>Nombre de salariés femmes au niveau de la direction</t>
  </si>
  <si>
    <t>Ratio femmes/hommes au niveau de la direction pour la période de reporting</t>
  </si>
  <si>
    <t>Total des travailleurs indépendants sans personnel qui travaillent exclusivement pour l’entreprise</t>
  </si>
  <si>
    <t>Total des travailleurs temporaires mis à disposition par des entreprises exerçant principalement des activités liées à l’emploi</t>
  </si>
  <si>
    <t>C6 – Informations supplémentaires sur le personnel de l’entreprise – Politiques et procédures en matière de droits de l’homme</t>
  </si>
  <si>
    <t>L’entreprise dispose-t-elle d’un code de conduite ou d’une politique en matière de droits de l’homme pour son personnel ?</t>
  </si>
  <si>
    <t>Si oui, cela couvre-t-il :</t>
  </si>
  <si>
    <t>· travail des enfants</t>
  </si>
  <si>
    <t>· travail forcé</t>
  </si>
  <si>
    <t>· la traite des êtres humains</t>
  </si>
  <si>
    <t>· autre ? (si oui, veuillez préciser)</t>
  </si>
  <si>
    <t>Spécifiez d'autres types de contenus couverts par le code de conduite ou la politique en matière de droits de l'homme</t>
  </si>
  <si>
    <t>L’entreprise dispose-t-elle d’un mécanisme de traitement des plaintes pour son personnel ? </t>
  </si>
  <si>
    <t>L'entreprise a-t-elle des incidents confirmés au sein de son personnel ?</t>
  </si>
  <si>
    <t>Si oui, les incidents sont-ils liés à :</t>
  </si>
  <si>
    <t>Spécifiez d'autres droits de l’homme liés aux incidents confirmés</t>
  </si>
  <si>
    <t>Description des actions mises en œuvre pour gérer les incidents confirmés</t>
  </si>
  <si>
    <t>L’entreprise a-t-elle connaissance d’incidents confirmés impliquant des travailleurs de la chaîne de valeur, des communautés affectées, des consommateurs et des utilisateurs finaux ?</t>
  </si>
  <si>
    <t>Spécification de tout incident confirmé impliquant des travailleurs de la chaîne de valeur, des communautés affectées, des consommateurs et des utilisateurs finaux</t>
  </si>
  <si>
    <t>L'entreprise a-t-elle fait l'objet de condamnations et d'amendes au cours de la période de reporting ?</t>
  </si>
  <si>
    <t>Nombre total de condamnations pour infraction à la législation sur la lutte contre la corruption et les actes de corruption</t>
  </si>
  <si>
    <t>Montant total des amendes pour infraction à la législation sur la lutte contre la corruption et les actes de corruption</t>
  </si>
  <si>
    <t>C8 – Chiffre d’affaires de certains secteurs</t>
  </si>
  <si>
    <t>L’entreprise réalise-t-elle des revenus à partir de l’une des activités listées ci-dessous ?</t>
  </si>
  <si>
    <t>Montant monétaire en</t>
  </si>
  <si>
    <t>Chiffre d'affaires réalisé à partir des armes controversées (mines antipersonnel, armes à sous-munitions, armes chimiques et armes biologiques)</t>
  </si>
  <si>
    <t>Chiffre d'affaires réalisé à partir de la culture et la production de tabac</t>
  </si>
  <si>
    <t>Chiffre d'affaires réalisé à partir du charbon</t>
  </si>
  <si>
    <t>Chiffre d'affaires réalisé à partir du pétrole</t>
  </si>
  <si>
    <t>Chiffre d'affaires réalisé à partir du gaz</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</si>
  <si>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</si>
  <si>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Chiffre d'affaires réalisé à partir de la production de produits chimiques</t>
  </si>
  <si>
    <t>C8 - Exclusion des indices de référence de l’Union européenne</t>
  </si>
  <si>
    <t>Les entreprises sont exclues des indices de référence « accord de Paris » de l'Union européenne si elles tirent :</t>
  </si>
  <si>
    <t>au moins 1 % de leur chiffre d’affaires de la prospection, de l'extraction, de la distribution ou du raffinage de houille et de lignite</t>
  </si>
  <si>
    <t>au moins 10 % de leur chiffre d’affaires de la prospection, de l'extraction, de la distribution ou du raffinage de combustibles liquides</t>
  </si>
  <si>
    <t>au moins 50 % de leur chiffre d’affaires de la prospection, de l'extraction, de la fabrication ou de la distribution de combustibles gazeux</t>
  </si>
  <si>
    <t>au moins 50 % de leur chiffre d’affaires d’activités de production d'électricité présentant une intensité d’émission de GES supérieure à 100 g CO₂e/kWh</t>
  </si>
  <si>
    <t>Aucun des éléments ci-dessus</t>
  </si>
  <si>
    <t>Les entreprises sont exclues des indices de référence « accord de Paris » de l’Union européenne</t>
  </si>
  <si>
    <t>L'entreprise dispose-t-elle d'un organe de gouvernance ?</t>
  </si>
  <si>
    <t>Nombre de femmes membres du conseil d'administration à la fin de la période de reporting</t>
  </si>
  <si>
    <t>Nombre d'hommes membres du conseil d'administration à la fin de la période de reporting</t>
  </si>
  <si>
    <t>Ratio de mixité au sein de l’organe de gouvernance</t>
  </si>
  <si>
    <t>CONVERTISSEUR DE CARBURANT</t>
  </si>
  <si>
    <t>AVERTISSEMENT :</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</si>
  <si>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</si>
  <si>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</si>
  <si>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</si>
  <si>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Indique que la cellule doit être remplie soit en sélectionnant une valeur dans la liste déroulante (par exemple, le type de carburant ou l’unité de mesure), soit en saisissant un montant.</t>
  </si>
  <si>
    <t>Type de carburant</t>
  </si>
  <si>
    <t>Montant</t>
  </si>
  <si>
    <t>État de la matière</t>
  </si>
  <si>
    <t>État renouvelable type</t>
  </si>
  <si>
    <t>Énergie calculée en MWh</t>
  </si>
  <si>
    <t>Utilisation du convertisseur de carburant :</t>
  </si>
  <si>
    <t>1. Dans la cellule A9, sélectionnez le carburant utilisé, en le recherchant ou en faisant défiler la liste affichée et en cliquant sur la cellule.</t>
  </si>
  <si>
    <t>2. Dans la cellule B9, sélectionnez l’unité de mesure utilisée</t>
  </si>
  <si>
    <t>3. Dans la cellule C9, sélectionnez la quantité de carburant utilisée.</t>
  </si>
  <si>
    <t>4. La cellule D9 affiche l'état de la matière pour le carburant sélectionné.</t>
  </si>
  <si>
    <t>5. La cellule E9 affiche le caractère renouvelable typique du carburant sélectionné.</t>
  </si>
  <si>
    <t>6. La cellule F9 affiche l'énergie produite, en méga wattheures (MWh), par la quantité de carburant spécifiée.</t>
  </si>
  <si>
    <t>7. La cellule A28 affiche l’énergie totale en mégawattheures (MWh).</t>
  </si>
  <si>
    <t>8. La cellule A31 affiche l’énergie renouvelable totale en mégawattheures (MWh).</t>
  </si>
  <si>
    <t>9. La cellule B31 affiche l’énergie non renouvelable totale en mégawattheures (MWh).</t>
  </si>
  <si>
    <t>10. Des notes complémentaires sont disponibles ci-dessous.</t>
  </si>
  <si>
    <t>Transférez les résultats totaux calculés dans la cellule B3 « Consommation d’énergie des carburants » du rapport.</t>
  </si>
  <si>
    <t>Consommation d’énergie totale [MWh]</t>
  </si>
  <si>
    <t>Énergie renouvelable totale [MWh]</t>
  </si>
  <si>
    <t>Consommation d’énergie non renouvelable [MWh]</t>
  </si>
  <si>
    <t>Notes complémentaires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</si>
  <si>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</si>
  <si>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Consommation d'énergie par heure en MWh pour les combustibles solides :</t>
  </si>
  <si>
    <t>Énergie [MWh] = Masse [t] * PCN [MWh/t]</t>
  </si>
  <si>
    <t>Consommation d'énergie par heure en MWh pour les combustibles liquides :</t>
  </si>
  <si>
    <t>Masse [t] = Volume [L] * Densité [t/L]</t>
  </si>
  <si>
    <t>Énergie [MWh] = Masse [t] * [MWh/t]</t>
  </si>
  <si>
    <t>Consommation d'énergie par heure en MWh pour les combustibles gazeux :</t>
  </si>
  <si>
    <t>Masse [t] = Volume [m³] * Densité [t/m³]</t>
  </si>
  <si>
    <t>Énergie [MWh] = Masse [t] × PCN [MWh/t]</t>
  </si>
  <si>
    <t>Convertisseur d'unité de mesure</t>
  </si>
  <si>
    <t>Unité de mesure du convertisseur de masse</t>
  </si>
  <si>
    <t>Unité de mesure du convertisseur de volume</t>
  </si>
  <si>
    <t>Unité de mesure de la consommation d’énergie par heure</t>
  </si>
  <si>
    <t>Unité de mesure du convertisseur PCN</t>
  </si>
  <si>
    <t>Unité de mesure du convertisseur de densité</t>
  </si>
  <si>
    <t>Utilisation du convertisseur d'unités de mesure</t>
  </si>
  <si>
    <t>Étapes à suivre pour le tableau des masses :</t>
  </si>
  <si>
    <t xml:space="preserve">Dans la cellule B5 du tableau relatif au convertisseur d’unité de mesure de la masse, l'unité de mesure à convertir doit être insérée. 
</t>
  </si>
  <si>
    <t>Puis, dans la cellule B6, la quantité de masse peut être insérée.</t>
  </si>
  <si>
    <t>Enfin, dans la cellule D5, l’unité de mesure souhaitée doit être indiquée.</t>
  </si>
  <si>
    <t>Le résultat de la conversion sera affiché dans la cellule D6.</t>
  </si>
  <si>
    <t>Les étapes à suivre pour les autres tableaux (volume, consommation d’énergie, densité et PCN) sont les mêmes que pour le tableau des masses.</t>
  </si>
  <si>
    <t>Ci‑dessous sont indiquées toutes les conversions d’unités de mesure pour chaque tableau.</t>
  </si>
  <si>
    <t>▪ Unité de mesure du convertisseur de masse :</t>
  </si>
  <si>
    <t>▪ Unité de mesure du convertisseur de volume :</t>
  </si>
  <si>
    <t>▪ Unité de mesure du convertisseur d'énergie :</t>
  </si>
  <si>
    <t>▪ Unité de mesure du convertisseur de densité :</t>
  </si>
  <si>
    <t>▪ Unité de mesure du convertisseur PCN :</t>
  </si>
  <si>
    <t>INCOMPLET</t>
  </si>
  <si>
    <t>COMPLET</t>
  </si>
  <si>
    <t>VALEUR MANQUANTE</t>
  </si>
  <si>
    <t>ERREUR</t>
  </si>
  <si>
    <t>VALEUR INCOHÉRENTE</t>
  </si>
  <si>
    <t>ERREUR + VALEUR INCOHÉRENTE</t>
  </si>
  <si>
    <t>ERREUR + VALEUR MANQUANTE + VALEUR INCOHÉRENTE</t>
  </si>
  <si>
    <t>ERREUR + VALEUR MANQUANTE</t>
  </si>
  <si>
    <t>VALEUR MANQUANTE + VALEUR INCOHÉRENTE</t>
  </si>
  <si>
    <t>URL INVALIDE</t>
  </si>
  <si>
    <t>ℹ️ Combustible liquide : veuillez sélectionner une unité de mesure parmi m³ et L</t>
  </si>
  <si>
    <t>ℹ️ Combustible solide : veuillez choisir une unité de mesure parmi Gg, t, Kg et g</t>
  </si>
  <si>
    <t>ℹ️ Combustible gazeux : veuillez sélectionner une unité de mesure parmi m³ et L</t>
  </si>
  <si>
    <t>ℹ️ L'identifiant de l'entreprise est un ID unique qui permet d'identifier l'entreprise ayant fourni les informations. La norme VSME ne requiert aucun identifiant spécifique. Un identifiant d'entreprise est nécessaire pour le reporting numérique.</t>
  </si>
  <si>
    <t>ℹ️ Si un message VALEUR INCOHERENTE apparaît à droite, veuillez vous assurer que la date de fin de la période de reporting est postérieure à la date de début de la période de reporting.</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</si>
  <si>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</si>
  <si>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Lorsque "autre" est choisi comme forme juridique de l'entreprise, veuillez remplir la ligne ci-dessous</t>
  </si>
  <si>
    <t>ℹ️ Veuillez sélectionner un code NACE plutôt qu'une catégorie, sinon un message d'ERREUR apparaîtra.</t>
  </si>
  <si>
    <t>ℹ️ Veuillez faire attention à séparer chaque numéro de rue et numéro de maison en utilisant le symbole slash "/" et non la virgule ","</t>
  </si>
  <si>
    <t>ℹ️ Veuillez noter que la formule présente dans cette cellule peut être écrasée si l'entité souhaite fournir directement la valeur.</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</si>
  <si>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</si>
  <si>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ℹ️ Si une validation liée à une incohérence de valeur s'affiche, veuillez sélectionner un identifiant de site différent de ceux précédemment sélectionnés.</t>
  </si>
  <si>
    <t xml:space="preserve">ℹ️ Veuillez sélectionner un Type de déchet (dangereux ou non dangereux) plutôt qu'une catégorie, sinon un message d'ERREUR apparaîtra."
</t>
  </si>
  <si>
    <t>ℹ️ Veuillez vous assurer que le nombre total de salariés est identique à celui indiqué dans la cellule E55 de la feuille « Informations générales »</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</si>
  <si>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</si>
  <si>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ℹ️ Consultez le site web de l’EFRAG pour une liste non exhaustive de calculateurs de GES.</t>
  </si>
  <si>
    <t>French - Reviewed translation by French Standard Setter</t>
  </si>
  <si>
    <t>fr</t>
  </si>
  <si>
    <t>Italian - Reviewed translation by Italian Standard Setter</t>
  </si>
  <si>
    <t>it</t>
  </si>
  <si>
    <t>da</t>
  </si>
  <si>
    <t>· B1 – Base de préparation</t>
  </si>
  <si>
    <t>· B2 – Pratiques, politiques et initiatives futures en vue de la transition vers une économie plus durable</t>
  </si>
  <si>
    <t>· B3 – Énergie et émissions de gaz à effet de serre</t>
  </si>
  <si>
    <t>· B4 - Pollution de l’air, de l’eau et des sols</t>
  </si>
  <si>
    <t xml:space="preserve">· B5 – Biodiversité
</t>
  </si>
  <si>
    <t>· B6 – Eau</t>
  </si>
  <si>
    <t>· B7 - Utilisation des ressources, économie circulaire et gestion des déchets</t>
  </si>
  <si>
    <t>· B8 – Personnel – Caractéristiques générales</t>
  </si>
  <si>
    <t>· B9 – Personnel – Santé et sécurité</t>
  </si>
  <si>
    <t>· B10 –   Personnel – Rémunération, négociation collective et formation</t>
  </si>
  <si>
    <t>· B11 – Condamnations et amendes pour corruption et pots-de-vin</t>
  </si>
  <si>
    <t xml:space="preserve">· C1 – Stratégie : modèle économique et durabilité – initiatives associées
</t>
  </si>
  <si>
    <t>· C2 – Description des pratiques, politiques et initiatives futures en vue de la transition vers une économie plus durable</t>
  </si>
  <si>
    <t>· C3 –   Cibles de réduction des émissions de GES et transition climatique</t>
  </si>
  <si>
    <t>· C4 – Risques climatiques</t>
  </si>
  <si>
    <t>· C5 – Caractéristiques supplémentaires (générales) du personnel</t>
  </si>
  <si>
    <t>· C6 – Informations supplémentaires sur le personnel – Politiques et procédures en matière de droits de l’homme</t>
  </si>
  <si>
    <t>· C7 – Incidents graves en matière de droits de l’homme</t>
  </si>
  <si>
    <t>· C8 – Chiffre d’affaires de certains secteurs et exclusion des indices de référence de l’Union européenne</t>
  </si>
  <si>
    <t>· C9 – Ratio de mixité au sein de l’organe de gouvernance</t>
  </si>
  <si>
    <t xml:space="preserve">· Publication de toute autre information générale et/ou spécifique à l'entité sur la période de reporting
</t>
  </si>
  <si>
    <t>· Publication de toute autre information environnementale et/ou spécifique à l'entité</t>
  </si>
  <si>
    <t>· Publication de toute autre information sociale et/ou spécifique à l'entité</t>
  </si>
  <si>
    <t>· Publication de toute autre information relative à la gouvernance et/ou spécifique à l'entité</t>
  </si>
  <si>
    <t>· prévention des accidents</t>
  </si>
  <si>
    <t>▪ Maßeinheit des Massenumrechners:</t>
  </si>
  <si>
    <t>▪ Maßeinheit des Volumenumrechners:</t>
  </si>
  <si>
    <t>▪ Maßeinheit des Energieumrechners:</t>
  </si>
  <si>
    <t>▪ Maßeinheit des Dichteumrechners:</t>
  </si>
  <si>
    <t>▪ Maßeinheit des NCV-Umrechners:</t>
  </si>
  <si>
    <t>· B1 - Ataskaitos rengimo pagrindas</t>
  </si>
  <si>
    <t>· B2 - Praktikos, politikos ir būsimos iniciatyvos pereinant prie tvaresnės ekonomikos</t>
  </si>
  <si>
    <t>· B4 - Oro, vandens ir dirvožemio tarša</t>
  </si>
  <si>
    <t xml:space="preserve">· B5 - Biologinė įvairovė
</t>
  </si>
  <si>
    <t>· B6 – Vanduo</t>
  </si>
  <si>
    <t>· B8 - Darbuotojai - Bendrieji rodikliai</t>
  </si>
  <si>
    <t>· B9 - Darbuotojai - Sveikata ir sauga</t>
  </si>
  <si>
    <t>· B10 - Darbuotojai – Atlyginimas, kolektyvinės derybos ir mokymai</t>
  </si>
  <si>
    <t>· B11 - Nuosprendžiai ir baudos už korupciją ir kyšininkavimą</t>
  </si>
  <si>
    <t>· C1 - Strategija: verslo modelis ir su tvarumu susijusios iniciatyvos</t>
  </si>
  <si>
    <t>· C2 - Perėjimo prie tvaresnės ekonomikos praktikų, politikos ir būsimų iniciatyvų aprašymas</t>
  </si>
  <si>
    <t>· C3 – ŠESD emisijų mažinimo tikslai ir klimato perėjimo planas</t>
  </si>
  <si>
    <t>· C4 – Klimato rizikos</t>
  </si>
  <si>
    <t>· C6 - Papildoma darbuotojų informacija - Žmogaus teisių politika ir procesai</t>
  </si>
  <si>
    <t>· C7 - Dideli neigiami incidentai žmogaus teisių srityje</t>
  </si>
  <si>
    <t>· C8 – Pajamos iš tam tikrų veiklų ir neįtraukimai į ES lyginamuosius etalonus</t>
  </si>
  <si>
    <t>· C9 - Lyčių įvairovės rodiklis valdymo organe</t>
  </si>
  <si>
    <t>· kita? (TAIP/NE; jei taip, nurodykite)</t>
  </si>
  <si>
    <t>▪ Masės konverterio matavimo vienetas</t>
  </si>
  <si>
    <t>▪ Tūrio konverterio matavimo vienetas</t>
  </si>
  <si>
    <t>▪ Energijos konverterio matavimo vienetas</t>
  </si>
  <si>
    <t>▪ Tankio konverterio matavimo vienetas</t>
  </si>
  <si>
    <t>▪ NVC konverterio matavimo vienetas</t>
  </si>
  <si>
    <t>· Informacje o sprawozdaniu niezbędne dla XBRL</t>
  </si>
  <si>
    <t>· Informacje o poprzednim okresie sprawozdawczym</t>
  </si>
  <si>
    <t>· B1 – Podstawa sporządzenia</t>
  </si>
  <si>
    <t>· B2 – Praktyki, polityki i przyszłe inicjatywy na rzecz przejścia na bardziej zrównoważoną gospodarkę</t>
  </si>
  <si>
    <t>· B3 – Energia i emisje gazów cieplarnianych</t>
  </si>
  <si>
    <t>· B4 – Zanieczyszczenie powietrza, wody i gleby</t>
  </si>
  <si>
    <t>· B5 – Bioróżnorodność</t>
  </si>
  <si>
    <t>· B6 – Woda</t>
  </si>
  <si>
    <t>· B7 – Wykorzystanie zasobów, gospodarka o obiegu zamkniętym i gospodarowanie odpadami</t>
  </si>
  <si>
    <t>· B8 – Zasoby pracownicze – Charakterystyka ogólna</t>
  </si>
  <si>
    <t>· B9 - Zasoby pracownicze – Bezpieczeństwo i higiena pracy</t>
  </si>
  <si>
    <t>· B10 – Zasoby pracownicze – wynagrodzenie, rokowania zbiorowe i szkolenia</t>
  </si>
  <si>
    <t>· B11 – Wyroki skazujące i grzywny za naruszenie przepisów antykorupcyjnych i przepisów w sprawie zwalczania przekupstwa</t>
  </si>
  <si>
    <t>· C1 – Strategia: model biznesowy i zrównoważony rozwój – powiązane inicjatywy</t>
  </si>
  <si>
    <t>· C2 – Opis praktyk, polityk i przyszłych inicjatyw na rzecz przejścia na bardziej zrównoważoną gospodarkę</t>
  </si>
  <si>
    <t>· C3 – Cele redukcji emisji gazów cieplarnianych i transformacja klimatyczna</t>
  </si>
  <si>
    <t>· C4 – Ryzyka związane z klimatem</t>
  </si>
  <si>
    <t>· C5 – Dodatkowa (ogólna) charakterystyka pracowników</t>
  </si>
  <si>
    <t>· C6 – Dodatkowe informacje dotyczące własnych zasobów pracowniczych – polityki i procesy dotyczące praw człowieka</t>
  </si>
  <si>
    <t>· C7 – Poważne incydenty dotyczące praw człowieka</t>
  </si>
  <si>
    <t>· C8 – Przychody z niektórych rodzajów działalności i wykluczenie z unijnych wskaźników referencyjnych</t>
  </si>
  <si>
    <t>· C9 - Wskaźnik zróżnicowania organu zarządzającego pod względem płci</t>
  </si>
  <si>
    <t>· Ujawnienie innych informacji ogólnych i/lub specyficznych dla jednostki dotyczących okresu sprawozdawczego</t>
  </si>
  <si>
    <t>· Ujawnienie innych informacji środowiskowych i/lub informacji środowiskowych specyficznych dla jednostki</t>
  </si>
  <si>
    <t>· Ujawnienie innych informacji społecznych i/lub informacji społecznych specyficznych dla jednostki</t>
  </si>
  <si>
    <t>· Ujawnienie innych informacji odnoszących się do ładu korporacyjnego i/lub informacji odnoszących się do ładu korporacyjnego specyficznych dla jednostki</t>
  </si>
  <si>
    <t>· praca dzieci</t>
  </si>
  <si>
    <t>· Vaikų darbas</t>
  </si>
  <si>
    <t>· praca przymusowa</t>
  </si>
  <si>
    <t>· handel ludźmi</t>
  </si>
  <si>
    <t>· dyskryminacja</t>
  </si>
  <si>
    <t>· zapobieganie wypadkom</t>
  </si>
  <si>
    <t>· inne kwestie? (TAK/NIE – jeśli tak, jakie?)</t>
  </si>
  <si>
    <t>· prevenção de acidentes</t>
  </si>
  <si>
    <t>· outros? (SIM/NÃO — em caso afirmativo, especificar)</t>
  </si>
  <si>
    <t>· Divulgação de quaisquer outras informações gerais e/ou específicas da entidade sobre o período de relato</t>
  </si>
  <si>
    <t>· Divulgação de quaisquer outras informações ambientais e/ou de informações ambientais específicas da entidade</t>
  </si>
  <si>
    <t>· Divulgação de quaisquer outras informações sociais e/ou de informações sociais específicas da entidade</t>
  </si>
  <si>
    <t>· Divulgação de quaisquer outras informações de governação e/ou de informações de governação específicas da entidade</t>
  </si>
  <si>
    <t>· Información sobre el periodo de reporte anterior</t>
  </si>
  <si>
    <t>· B1 – Base para la elaboración</t>
  </si>
  <si>
    <t>· B2 – Prácticas, políticas e iniciativas futuras para la transición hacia una economía más sostenible</t>
  </si>
  <si>
    <t>· B3 - Energía y emisiones de gases de efecto invernadero</t>
  </si>
  <si>
    <t>· B4 – Contaminación de la atmósfera, del agua y del suelo</t>
  </si>
  <si>
    <t>· B5 – Biodiversidad</t>
  </si>
  <si>
    <t>· B6 – Agua</t>
  </si>
  <si>
    <t>· B8 – Trabajadores – Características generales</t>
  </si>
  <si>
    <t>· B9 – Trabajadores – Salud y seguridad</t>
  </si>
  <si>
    <t>· B10 – Trabajadores – Retribución, negociación colectiva y formación</t>
  </si>
  <si>
    <t>· B11 – Condenas y multas por corrupción y soborno</t>
  </si>
  <si>
    <t>· C5 – Características (generales) adicionales de los trabajadores</t>
  </si>
  <si>
    <t>· C6 – Información adicional sobre el personal propio – Políticas y procesos en materia de derechos humanos</t>
  </si>
  <si>
    <t>· C8 – Ingresos de determinadas actividades y exclusión de los índices de referencia de la UE</t>
  </si>
  <si>
    <t>· C9 – Índice de diversidad de género en el órgano de gobierno</t>
  </si>
  <si>
    <t>· Divulgación de cualquier otra información general y/o específica de la entidad sobre el período de informe</t>
  </si>
  <si>
    <t>· Divulgación de cualquier otra información ambiental y/o información ambiental específica de la entidad</t>
  </si>
  <si>
    <t>· Divulgación de cualquier otra información social y/o información social específica de la entidad</t>
  </si>
  <si>
    <t>1.1.1</t>
  </si>
  <si>
    <t>Nome del soggetto che redige la relazione</t>
  </si>
  <si>
    <t>Identificatore del soggetto</t>
  </si>
  <si>
    <t>Codice di identificazione del soggetto</t>
  </si>
  <si>
    <t>Valuta della relazione</t>
  </si>
  <si>
    <t>Separatore decimale</t>
  </si>
  <si>
    <t>Periodo di riferimento</t>
  </si>
  <si>
    <t>Relazione generata</t>
  </si>
  <si>
    <t>Tutte le informative sono relative al periodo di riferimento sopra indicato, a meno che non sia specificato diversamente.</t>
  </si>
  <si>
    <t>Sommario</t>
  </si>
  <si>
    <t>Questa relazione contiene</t>
  </si>
  <si>
    <t>Versione:</t>
  </si>
  <si>
    <t>Data di pubblicazione:</t>
  </si>
  <si>
    <t>Punto di accesso della tassonomia:</t>
  </si>
  <si>
    <t>Seleziona la lingua di visualizzazione del modello:</t>
  </si>
  <si>
    <t>Titolo principale della relazione</t>
  </si>
  <si>
    <t xml:space="preserve">Relazione sulla sostenibilità
</t>
  </si>
  <si>
    <t xml:space="preserve">Sottotitolo della relazione
</t>
  </si>
  <si>
    <t>Redatto in conformità al principio volontario di rendicontazione di sostenibilità per le piccole e medie imprese (PMI) non quotate (VSME), pubblicato dalla Commissione Europea il 30 luglio 2025.</t>
  </si>
  <si>
    <t>Modello Digitale VSME</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</si>
  <si>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</si>
  <si>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Come usarlo:</t>
  </si>
  <si>
    <t>0. Fornire le informazioni obbligatorie per poter generare la rendicontazione VSME e XBRL.</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</si>
  <si>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</si>
  <si>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</si>
  <si>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</si>
  <si>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4. Convalidare i dati inseriti controllando lo stato di convalida. La relazione è considerata incompleta o errata se la convalida fallisce, il che potrebbe comportare una relazione XBRL non valida.</t>
  </si>
  <si>
    <t>5. Converti questo modello in una relazione Inline XBRL (o XBRL-JSON, XBRL-CSV), utilizzando questo convertitore online. Presta attenzione alla validazione XBRL eseguita dal validatore.</t>
  </si>
  <si>
    <t>6. L'impresa può inoltre caricare la relazione su archivi pubblici o su una pagina web.</t>
  </si>
  <si>
    <t>Indice colore dello sfondo della cella:</t>
  </si>
  <si>
    <t>Principi Generali</t>
  </si>
  <si>
    <t>Indica che l'informativa proviene dai principi generali del VSME.</t>
  </si>
  <si>
    <t>Modulo base</t>
  </si>
  <si>
    <t>Indica che l'informativa proviene dal Modulo base del VSME.</t>
  </si>
  <si>
    <t>Modulo Onnicomprensivo</t>
  </si>
  <si>
    <t>Indica che l'informativa proviene dal Modulo Onnicomprensivo del VSME.</t>
  </si>
  <si>
    <t>Indica che la cella è calcolata automaticamente e che non è richiesta alcuna immissione di dati.</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</si>
  <si>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</si>
  <si>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Indica che non è richiesto alcun inserimento di dati a meno che nella stessa informativa non vengano selezionate determinate logiche. Quando una di queste logiche viene selezionata, allora questa cella diventerà bianca.</t>
  </si>
  <si>
    <t>Validazione VALORE MANCANTE/ERRORE/INCOERENZA DI VALORE/URL NON VALIDO</t>
  </si>
  <si>
    <t>Indica che l'inserimento dei dati è errato in termini di formato oppure che mancano alcune informazioni necessarie per una corretta rendicontazione dell'informativa.</t>
  </si>
  <si>
    <t>Validazione OK</t>
  </si>
  <si>
    <t>Indica che l'immissione dei dati è corretta e l'impresa può procedere con la successiva informativa.</t>
  </si>
  <si>
    <t>Non è possibile inserire alcun valore nella cella.</t>
  </si>
  <si>
    <t>Le liste possono essere espanse utilizzando il pulsante più [+] a sinistra. Se il numero di righe non è sufficiente, è possibile aggiungere ulteriori righe facendo clic con il tasto destro sulla seconda riga e selezionando "Inserisci riga".</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</si>
  <si>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</si>
  <si>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Riproduzione e diritti d'uso sono severamente limitati. Per ulteriori dettagli, contattare efragsecretariat@efrag.org</t>
  </si>
  <si>
    <t>Stato complessivo di convalida</t>
  </si>
  <si>
    <t>Il raggruppamento dei contenuti segue il quadro del modello</t>
  </si>
  <si>
    <t>Stato di convalida specifico del contenuto</t>
  </si>
  <si>
    <t xml:space="preserve">Informazioni generali
</t>
  </si>
  <si>
    <t>· Informazioni sulla relazione necessarie per XBRL</t>
  </si>
  <si>
    <t>· Informazioni sul periodo di riferimento precedente</t>
  </si>
  <si>
    <t>· B1 – Criteri per la redazione</t>
  </si>
  <si>
    <t>Criteri per la redazione e informazioni generali sull'impresa</t>
  </si>
  <si>
    <t>Elenco delle imprese figlie</t>
  </si>
  <si>
    <t xml:space="preserve">Informativa sulla/e certificazione/i o marchio/i di sostenibilità
</t>
  </si>
  <si>
    <t>Elenco di sito(i)</t>
  </si>
  <si>
    <t>· B2 - Pratiche, politiche e iniziative future per la transizione verso un'economia più sostenibile</t>
  </si>
  <si>
    <t>Pratiche, politiche e iniziative future per la transizione verso un'economia più sostenibile</t>
  </si>
  <si>
    <t>Informative specifiche per cooperative</t>
  </si>
  <si>
    <t>Informative ambientali</t>
  </si>
  <si>
    <t>· B3 - Energia ed emissioni di gas a effetto serra</t>
  </si>
  <si>
    <t>Totale consumo di energia (in MWh)</t>
  </si>
  <si>
    <t>Ripartizione del consumo di energia (in MWh)</t>
  </si>
  <si>
    <t>Emissioni stimate di gas a effetto serra considerando il Greenhouse Gas Protocol versione 2004 (in tCO2e)</t>
  </si>
  <si>
    <t>Intensità delle emissioni di gas a effetto serra per ricavi delle vendite e delle prestazioni</t>
  </si>
  <si>
    <t>· B4 – Inquinamento di aria, acqua e suolo</t>
  </si>
  <si>
    <t>· B5 – Biodiversità</t>
  </si>
  <si>
    <t>Siti all'interno di un'area sensibile sotto il profilo della biodiversità</t>
  </si>
  <si>
    <t>Biodiversità - Uso del suolo</t>
  </si>
  <si>
    <t>· B6 –   Acque</t>
  </si>
  <si>
    <t xml:space="preserve">Prelievo idrico
</t>
  </si>
  <si>
    <t>Consumo idrico</t>
  </si>
  <si>
    <t>· B7 – Uso delle risorse, economia circolare e gestione dei rifiuti</t>
  </si>
  <si>
    <t>Descrizione dei principi dell'economia circolare</t>
  </si>
  <si>
    <t>Rifiuti generati</t>
  </si>
  <si>
    <t>Flusso di massa annuo dei materiali pertinenti utilizzati</t>
  </si>
  <si>
    <t>Informative sociali</t>
  </si>
  <si>
    <t>· B8 - Forza lavoro - Caratteristiche generali</t>
  </si>
  <si>
    <t>Tipo di contratto</t>
  </si>
  <si>
    <t>Genere</t>
  </si>
  <si>
    <t>Paese del contratto di lavoro</t>
  </si>
  <si>
    <t>Tasso di avvicendamento</t>
  </si>
  <si>
    <t>· B9 – Forza lavoro – Salute e sicurezza</t>
  </si>
  <si>
    <t xml:space="preserve">· B10 – Forza lavoro – Retribuzione, contrattazione collettiva e formazione
</t>
  </si>
  <si>
    <t>Informative sulla governance</t>
  </si>
  <si>
    <t>· B11 - Condanne e ammende per corruzione attiva e passiva</t>
  </si>
  <si>
    <t>Modulo onnicomprensivo</t>
  </si>
  <si>
    <t>· C1 - Strategia: modello aziendale e iniziative connesse alla sostenibilità</t>
  </si>
  <si>
    <t>· C2 – Descrizione delle pratiche, delle politiche e delle iniziative future per la transizione verso un'economia più sostenibile</t>
  </si>
  <si>
    <t>· C3 – Obiettivi di riduzione delle emissioni di gas a effetto serra e transizione climatica</t>
  </si>
  <si>
    <t>Obiettivi di riduzione delle emissioni di gas a effetto serra (in tCO2e)</t>
  </si>
  <si>
    <t>Informativa dell'elenco delle principali azioni che l'impresa intende attuare per conseguire i propri obiettivi</t>
  </si>
  <si>
    <t>Piano di transizione per le imprese che operano in settori ad alto impatto climatico</t>
  </si>
  <si>
    <t>· C4 - Rischi climatici</t>
  </si>
  <si>
    <t>· C5 – Altre caratteristiche (generali) della forza lavoro</t>
  </si>
  <si>
    <t>· C6 - Altre informazioni sulla forza lavoro propria – Politiche e procedure in materia di diritti umani</t>
  </si>
  <si>
    <t xml:space="preserve">· C7 - Incidenti gravi in materia di diritti umani
</t>
  </si>
  <si>
    <t>· C8 – Ricavi da determinate attività ed esclusione dagli indici di riferimento dell'UE</t>
  </si>
  <si>
    <t>Ricavi da determinate attività</t>
  </si>
  <si>
    <t>Esclusione dagli indici di riferimento dell'UE</t>
  </si>
  <si>
    <t>· C9 - Diversità di genere nell'organo di governance</t>
  </si>
  <si>
    <t>Ulteriori informative</t>
  </si>
  <si>
    <t>· Comunicazione di qualsiasi altra informazione generale e/o specifica per soggetto nel periodo di riferimento</t>
  </si>
  <si>
    <t>· Comunicazione di qualsiasi altra informazione ambientale e/o specifica per soggetto</t>
  </si>
  <si>
    <t>· Comunicazione di qualsiasi altra informazione sociale e/o specifica per soggetto</t>
  </si>
  <si>
    <t>· Comunicazione di qualsiasi altra informativa sulla governance e/o specifica per soggetto</t>
  </si>
  <si>
    <t>Riferimento al paragrafo</t>
  </si>
  <si>
    <t xml:space="preserve">Riferimento al paragrafo degli orientamenti
</t>
  </si>
  <si>
    <t>[Sempre da riportare]</t>
  </si>
  <si>
    <t>[Se applicabile]</t>
  </si>
  <si>
    <t>[Facoltà (facoltativo)]</t>
  </si>
  <si>
    <t>Facoltà (facoltativo)</t>
  </si>
  <si>
    <t>[Sempre da riportare + se applicabile]</t>
  </si>
  <si>
    <t>[Se applicabile collegato a B2]</t>
  </si>
  <si>
    <t>importo in</t>
  </si>
  <si>
    <t>Informazioni sulla relazione necessarie per XBRL</t>
  </si>
  <si>
    <t>Nome dell'impresa che redige la relazione</t>
  </si>
  <si>
    <t>Identificatore dell'impresa che redige la relazione (selezionare e specificare a destra)</t>
  </si>
  <si>
    <t>Valuta dei valori monetari nella relazione</t>
  </si>
  <si>
    <t>Anno di inizio</t>
  </si>
  <si>
    <t>Mese di inizio</t>
  </si>
  <si>
    <t>Giorno di inizio</t>
  </si>
  <si>
    <t>Data di inizio del periodo di riferimento (gg-mm-aaaa)</t>
  </si>
  <si>
    <t>Anno di chiusura</t>
  </si>
  <si>
    <t>Mese di chiusura</t>
  </si>
  <si>
    <t>Giorno di chiusura</t>
  </si>
  <si>
    <t>Data di chiusura del periodo di riferimento (gg-mm-aaaa)</t>
  </si>
  <si>
    <t>Informazioni sul periodo di riferimento precedente</t>
  </si>
  <si>
    <t>Questa relazione contiene informative del periodo di riferimento precedente che rimangono invariate.</t>
  </si>
  <si>
    <t>Elenco delle informative per le quali non sono riportate variazioni rispetto al periodo di riferimento precedente</t>
  </si>
  <si>
    <t>Collegamento alla relazione precedente contenente le informative che rimangono invariate</t>
  </si>
  <si>
    <t>B1 - Criteri per la redazione e informazioni generali dell'impresa</t>
  </si>
  <si>
    <t>Criteri per la redazione (Solo Modulo Base o Modulo Base &amp; Modulo Onnicomprensivo)</t>
  </si>
  <si>
    <t>Elenco delle informative omesse considerate come informazioni classificate o sensibili</t>
  </si>
  <si>
    <t>Base per la rendicontazione (su base consolidata o individuale)</t>
  </si>
  <si>
    <t>Forma giuridica dell'impresa</t>
  </si>
  <si>
    <t>Dettagli sulla forma giuridica dell'impresa "altro"</t>
  </si>
  <si>
    <t>Codice(i) di classificazione settoriale NACE</t>
  </si>
  <si>
    <t>Entità dello stato patrimoniale (totale degli attivi)</t>
  </si>
  <si>
    <t>Ricavi delle vendite e delle prestazioni</t>
  </si>
  <si>
    <t>Numero di dipendenti</t>
  </si>
  <si>
    <t>Metodologia di conteggio dei dipendenti (Alla fine del periodo di riferimento o come media durante il periodo di riferimento)</t>
  </si>
  <si>
    <t>Metodologia di conteggio dei dipendenti (Effettivi o equivalenti a tempo pieno)</t>
  </si>
  <si>
    <t>Paese delle operazioni primarie e ubicazione degli attivi significativi</t>
  </si>
  <si>
    <t>B1 - Elenco delle imprese figlie</t>
  </si>
  <si>
    <t>Sede legale</t>
  </si>
  <si>
    <t>B1 - Informativa delle certificazioni o marchi di sostenibilità</t>
  </si>
  <si>
    <t>L'impresa ha ottenuto una o più certificazioni o marchi di sostenibilità?</t>
  </si>
  <si>
    <t>Descrizione della/e certificazione/i o marchio/i di sostenibilità, includendo, se del caso, i soggetti che hanno rilasciato la certificazione o il marchio, la datadi rilascio e il punteggio di valutazione</t>
  </si>
  <si>
    <t>Elenco del/i sito(i) B1</t>
  </si>
  <si>
    <t>Indirizzo</t>
  </si>
  <si>
    <t>Codice postale</t>
  </si>
  <si>
    <t>Città</t>
  </si>
  <si>
    <t>Paese</t>
  </si>
  <si>
    <t>Coordinate GPS (geolocalizzazione)</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</si>
  <si>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</si>
  <si>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B2 –   Pratiche, politiche e iniziative future per la transizione verso un'economia più sostenibile</t>
  </si>
  <si>
    <t>L'impresa ha predisposto pratiche, politiche e/o iniziative future specifiche per la transizione verso un'economia più sostenibile?</t>
  </si>
  <si>
    <t xml:space="preserve">Questioni attinenti alla sostenibilità affrontate da una pratica, politica e/o iniziative future che l'impresa ha predisposto
</t>
  </si>
  <si>
    <t xml:space="preserve">L'impresa ha una pratica, politica e/o un'iniziativa futura che è disponibile al pubblico
</t>
  </si>
  <si>
    <t>L'impresa ha stabilito un obiettivo che è collegato a una politica</t>
  </si>
  <si>
    <t>Cambiamenti climatici</t>
  </si>
  <si>
    <t>Inquinamento</t>
  </si>
  <si>
    <t>Acque e risorse marine</t>
  </si>
  <si>
    <t>Biodiversità ed ecosistemi</t>
  </si>
  <si>
    <t>Economia circolare</t>
  </si>
  <si>
    <t>Forza lavoro propria</t>
  </si>
  <si>
    <t xml:space="preserve">Lavoratori nella catena del valore
</t>
  </si>
  <si>
    <t xml:space="preserve">Comunità interessate
</t>
  </si>
  <si>
    <t>Consumatori e utilizzatori finali</t>
  </si>
  <si>
    <t>Condotta delle imprese</t>
  </si>
  <si>
    <t>B2 - Informative specifiche per cooperative</t>
  </si>
  <si>
    <t>Se l'impresa è una cooperativa, può comunicare: la partecipazione effettiva alla governance dei lavoratori, utilizzatori e altre parti o comunità interessate.</t>
  </si>
  <si>
    <t>L'investimento finanziario nel capitale o negli attivi dei soggetti dell'economia sociale di cui alla Raccomandazione del Consiglio del 29 settembre 2023 (escluse le donazioni e i contributi)</t>
  </si>
  <si>
    <t>Eventuali limiti alla distribuzione degli utili connessi alla natura mutualistica o alla natura delle attività che consistono in servizi di interesse economico generale (SIEG)</t>
  </si>
  <si>
    <t>C2 – Descrizione delle pratiche, delle politiche e delle iniziative future per la transizione verso un'economia più sostenibile</t>
  </si>
  <si>
    <t>Descrizione di una pratica, politica e/o iniziativa futura verso un futuro più sostenibile (nel caso in cui la pratica, politica o iniziativa futura riguardi fornitori o clienti, l'impresa dovrà menzionarlo)</t>
  </si>
  <si>
    <t>Descrizione dell'obiettivo relativo a una politica</t>
  </si>
  <si>
    <t>Il livello gerarchico più elevato tra i suoi dipendenticui spetta la responsabilità dell'attuazione delle politiche, laddove l'impresa lo abbia stabilito</t>
  </si>
  <si>
    <t>C1 – Strategia: modello aziendale e iniziative connesse alla sostenibilità</t>
  </si>
  <si>
    <t>Descrizione dei gruppi significativi di prodotti e/o servizi offerti</t>
  </si>
  <si>
    <t>Descrizione del/i mercato/i significativo/i in cui opera l'impresa (ad esempio da impresa a impresa (B2B), all'ingrosso, al dettaglio, paesi)</t>
  </si>
  <si>
    <t>Descrizione dei principali rapporti commerciali (ad esempio fornitori, clienti, canali di distribuzione chiave)</t>
  </si>
  <si>
    <t>La strategia presenta elementi chiave che riguardano o hanno ripercussioni su questioni attinenti alla sostenibilità?</t>
  </si>
  <si>
    <t>Se la strategia presenta elementi chiave che riguardano o hanno ripercussioni su questioni attinenti alla sostenibilità, una breve descrizione di tali elementi chiave.</t>
  </si>
  <si>
    <t>Comunicazione di qualsiasi altra informazione generale e/o specifica per soggetto riguardante il periodo di riferimento</t>
  </si>
  <si>
    <t>B3 - Consumo totale di energia (in MWh)</t>
  </si>
  <si>
    <t>Consumo totale di energia</t>
  </si>
  <si>
    <t>B3 - Ripartizione del consumo di energia (in MWh)</t>
  </si>
  <si>
    <t>L'impresa ha ottenuto le informazioni necessarie per fornire una ripartizione del consumo di energia?</t>
  </si>
  <si>
    <t>Rinnovabile</t>
  </si>
  <si>
    <t>Non rinnovabile</t>
  </si>
  <si>
    <t>Totale rinnovabile e non rinnovabile</t>
  </si>
  <si>
    <t>Energia elettrica (secondo quanto risulta dalle bollette)</t>
  </si>
  <si>
    <t>Energia elettrica autoprodotta</t>
  </si>
  <si>
    <t>Combustibili (vedere Convertitore di carburante nel foglio Combustibili)</t>
  </si>
  <si>
    <t>B3 - Emissioni stimate di gas a effetto serra considerando il Greenhouse Gas Protocol versione 2004 (in tCO2e)</t>
  </si>
  <si>
    <t>C3 - Obiettivi di riduzione delle emissioni di gas a effetto serra (in tCO2e)</t>
  </si>
  <si>
    <t>L'impresa ha stabilito obiettivi di riduzione delle emissioni di gas a effetto serra?</t>
  </si>
  <si>
    <t>Periodo di riferimento corrente</t>
  </si>
  <si>
    <t>Anno base</t>
  </si>
  <si>
    <t>Anno-obiettivo</t>
  </si>
  <si>
    <t>Percentuale di riduzione rispetto all'anno base</t>
  </si>
  <si>
    <t>Anno (data)</t>
  </si>
  <si>
    <t>Emissioni lorde di gas a effetto serra di ambito 1</t>
  </si>
  <si>
    <t>Emissioni lorde di gas a effetto serra di ambito 2 basate sulla posizione</t>
  </si>
  <si>
    <t>Emissioni lorde di gas a effetto serra di ambito 2 basate sul mercato</t>
  </si>
  <si>
    <t>Emissioni totali di gas a effetto serra di ambito 1 e ambito 2 (basate sulla posizione)</t>
  </si>
  <si>
    <t>Emissioni totali di gas a effetto serra di ambito 1 e ambito 2 (basate sul mercato)</t>
  </si>
  <si>
    <t>L'impresa comunica informazioni specifiche per soggetto sulle emissioni di ambito 3 (in tCO2e)?</t>
  </si>
  <si>
    <t>1. Beni e servizi acquistati</t>
  </si>
  <si>
    <t>2. Beni strumentali</t>
  </si>
  <si>
    <t>3. Attività legate ai combustibili e all'energia (non incluse nell'ambito 1 o ambito 2)</t>
  </si>
  <si>
    <t>4. Trasporto e distribuzione a monte</t>
  </si>
  <si>
    <t>5. Rifiuti generati nel corso delle operazioni</t>
  </si>
  <si>
    <t>6. Viaggi d'affari</t>
  </si>
  <si>
    <t>7. Pendolarismo dei dipendenti</t>
  </si>
  <si>
    <t>8. Attivi in leasing a monte</t>
  </si>
  <si>
    <t>9. Trasporto a valle</t>
  </si>
  <si>
    <t>10. Trasformazione dei prodotti venduti</t>
  </si>
  <si>
    <t>11. Uso dei prodotti venduti</t>
  </si>
  <si>
    <t>12. Trattamento di fine vita dei prodotti venduti</t>
  </si>
  <si>
    <t>13. Attivi in leasing a valle</t>
  </si>
  <si>
    <t>14. Franchising</t>
  </si>
  <si>
    <t>15. Investimenti</t>
  </si>
  <si>
    <t>Emissioni totali di gas a effetto serra di ambito 3</t>
  </si>
  <si>
    <t>Emissioni totali di gas a effetto serra di ambito 1, ambito 2 e ambito 3 (basate sulla posizione)</t>
  </si>
  <si>
    <t>Emissioni totali di gas a effetto serra di ambito 1, ambito 2 e ambito 3 (basate sul mercato)</t>
  </si>
  <si>
    <t>C3 - Comunicazione dell'elenco delle principali azioni che l'impresa intende attuare per raggiungere i propri obiettivi</t>
  </si>
  <si>
    <t>C3 - Piano di transizione per le imprese che operano in settori ad alto impatto climatico</t>
  </si>
  <si>
    <t>L'impresa opera in settori ad alto impatto?</t>
  </si>
  <si>
    <t>Stato di attuazione di un piano di transizione per la mitigazione dei cambiamenti climatici</t>
  </si>
  <si>
    <t>Descrizione di un piano di transizione per la mitigazione dei cambiamenti climatici, comprensa una spiegazione del modo in cui il piano sta contribuendo a ridurre le emissioni di gas a effetto serra.</t>
  </si>
  <si>
    <t>Data prevista per l'adozione del piano di transizione per l'impresa che non ha ancora adottato un piano di transizione</t>
  </si>
  <si>
    <t>Anno</t>
  </si>
  <si>
    <t>Mese</t>
  </si>
  <si>
    <t>Giorno</t>
  </si>
  <si>
    <t>B3 - Intensità delle emissioni di gas a effetto serra per ricavi delle vendite e delle prestazioni (in tCO2e)</t>
  </si>
  <si>
    <t>Intensità delle emissioni di gas a effetto serra di ambito 1 e ambito 2 (basate sulla posizione)</t>
  </si>
  <si>
    <t>Intensità delle emissioni di gas a effetto serra di ambito 1 e ambito 2 (basate sul mercato)</t>
  </si>
  <si>
    <t>Intensità totale delle emissioni di gas a effetto serra di ambito 1, ambito 2 e ambito 3 (basate sulla posizione)</t>
  </si>
  <si>
    <t>Intensità totale delle emissioni di gas a effetto serra di ambito 1, ambito 2 e ambito 3 (basate sul mercato)</t>
  </si>
  <si>
    <t>B4 – Inquinamento di aria, acqua e suolo</t>
  </si>
  <si>
    <t>L'impresa è già tenuta, in forza di leggi o altre normative nazionali, a comunicare alle autorità competenti le proprie emissioni di inquinanti o riferisce volontariamente al riguardo nel quadro di un sistema di gestione ambientale?</t>
  </si>
  <si>
    <t>Questa informativa è già disponibile al pubblico?</t>
  </si>
  <si>
    <t>Si prega di fornire l'URL pertinente o inserire il collegamento ipertestuale dove queste informazioni figurano.</t>
  </si>
  <si>
    <t>Selezionare l'unità utilizzata per la comunicazione della quantità (ad esempio kg o tonnellata)</t>
  </si>
  <si>
    <t>ID Riga</t>
  </si>
  <si>
    <t xml:space="preserve">Inquinante
</t>
  </si>
  <si>
    <t>Emissione nell'aria</t>
  </si>
  <si>
    <t>Emissione nell'acqua</t>
  </si>
  <si>
    <t>Emissione nel suolo</t>
  </si>
  <si>
    <t>B5 – Siti all'interno di aree sensibili sotto il profilo della biodiversità</t>
  </si>
  <si>
    <t>L'impresa ha siti ubicati all'interno o in prossimità di un'area sensibile sotto il profilo della biodiversità?</t>
  </si>
  <si>
    <t>Si prega di selezionare l'unità di misura utilizzata per la superficie (ossia, ettari o m²):</t>
  </si>
  <si>
    <t>ID del sito correlato (selezionare un ID da un'ubicazione del sito riportata in B1)</t>
  </si>
  <si>
    <t>Ubicazione del sito all'interno o in prossimità di un'area sensibile sotto il profilo della biodiversità - compilato automaticamente da B1</t>
  </si>
  <si>
    <t>Superficie (ettari o m² in base alla selezione sopra)</t>
  </si>
  <si>
    <t>Sito ubicato all'interno di un'area sensibile sotto il profilo della biodiversità</t>
  </si>
  <si>
    <t>Sito ubicato in prossimità di un'area sensibile sotto il profilo della biodiversità</t>
  </si>
  <si>
    <t>B5 – Biodiversità – Uso del suolo</t>
  </si>
  <si>
    <t>Tipo di uso del suolo</t>
  </si>
  <si>
    <t>Superficie</t>
  </si>
  <si>
    <t>Superficie totale impermeabilizzata</t>
  </si>
  <si>
    <t>Superficie totale orientata alla natura nel sito</t>
  </si>
  <si>
    <t>Superficie totale orientata alla natura fuori dal sito</t>
  </si>
  <si>
    <t>Uso totale del suolo</t>
  </si>
  <si>
    <t>B6 - Prelievo Idrico</t>
  </si>
  <si>
    <t>Quantità totale di acqua prelevata da tutti i siti (metri cubi m³)</t>
  </si>
  <si>
    <t>Quantità di acqua prelevata presso siti ubicati in aree ad elevato stress idrico (metri cubi m³)</t>
  </si>
  <si>
    <t>B6 – Acque</t>
  </si>
  <si>
    <t>L'impresa svolge processi di produzione che consumano quantità significative di acqua (ad esempio processi che richiedono energia termica quali l'essiccazione o la produzione di energia elettrica, produzione di merci, irrigazione agricola, ecc.)?</t>
  </si>
  <si>
    <t>Scarico di acque risultante dai processi di produzione dell'impresa (m³)</t>
  </si>
  <si>
    <t>Consumo idrico totale (m³)</t>
  </si>
  <si>
    <t>B7 – Descrizione dei principi dell'economia circolare</t>
  </si>
  <si>
    <t>L'impresa applica i principi dell'economia circolare</t>
  </si>
  <si>
    <t>Descrizione delle modalità con cui applica questi principi</t>
  </si>
  <si>
    <t>B7 – Uso delle risorse, economia circolare e gestione dei rifiuti</t>
  </si>
  <si>
    <t>Tipo di rifiuto</t>
  </si>
  <si>
    <t>Unità di misura</t>
  </si>
  <si>
    <t>Rifiuti reindirizzati al riciclaggio o al riutilizzo</t>
  </si>
  <si>
    <t>Rifiuti destinati allo smaltimento</t>
  </si>
  <si>
    <t>Quantità di rifiuti riciclati, riutilizzati e destinati allo smaltimento</t>
  </si>
  <si>
    <t>Totale rifiuti pericolosi generati (massa)</t>
  </si>
  <si>
    <t>Importo totale di rifiuti generati</t>
  </si>
  <si>
    <t>Totale rifiuti non pericolosi generati (massa)</t>
  </si>
  <si>
    <t>Totale rifiuti generati (massa)</t>
  </si>
  <si>
    <t>Totale rifiuti pericolosi generati (volume)</t>
  </si>
  <si>
    <t>metri cubi (m³)</t>
  </si>
  <si>
    <t>Totale rifiuti non pericolosi generati (volume)</t>
  </si>
  <si>
    <t>Totale rifiuti generati (volume)</t>
  </si>
  <si>
    <t>B7 – Flusso di massa annuo dei materiali pertinenti utilizzati</t>
  </si>
  <si>
    <t>L'impresa opera in un settore che utilizza flussi significativi di materiali (ad esempio industria manifatturiera, costruzione, imballaggio o altro)?</t>
  </si>
  <si>
    <t>Nome del materiale chiave</t>
  </si>
  <si>
    <t>Volume in massa</t>
  </si>
  <si>
    <t>Flusso di massa annuo totale dei materiali pertinenti utilizzati (massa in kg)</t>
  </si>
  <si>
    <t>chilogrammi (kg)</t>
  </si>
  <si>
    <t>Flusso di massa annuo totale dei materiali pertinenti utilizzati (volume in m³)</t>
  </si>
  <si>
    <t>C4 – Rischi climatici</t>
  </si>
  <si>
    <t xml:space="preserve">L'impresa ha individuato pericoli legati al clima ed eventi di transizione legati al clima che creano nei confronti dell'impresa rischi lordi legati al clima?
</t>
  </si>
  <si>
    <t>Descrizione dei pericoli ed eventi di transizione legati al clima</t>
  </si>
  <si>
    <t>Comunicazione del modo in cui ha valutato l'esposizione e la sensibilità dei suoi attivi, delle sue attività e della sua catena del valore a tali pericoli ed eventi di transizione</t>
  </si>
  <si>
    <t>Orizzonti temporali di eventuali pericoli ed eventi di transizione legati al clima individuati</t>
  </si>
  <si>
    <t>Comunicazione se ha intrapreso azioni di adattamento ai cambiamenti climatici per eventuali pericoli ed eventi di transizione legati al clima</t>
  </si>
  <si>
    <t>L'impresa può segnalare i potenziali effetti negativi dei rischi climatici che potrebbero incidere sui suoi risultati finanziari o sulle sue operazioni aziendali a breve, medio o lungo termine, precisando se reputa che i rischi siano elevati, medi o bassi.</t>
  </si>
  <si>
    <t>Comunicazione di qualsiasi altra informativa ambientale e/o specifica per soggetto</t>
  </si>
  <si>
    <t>Metodologia di conteggio dei dipendenti per le informative seguenti (effettivi o equivalenti a tempo pieno collegati da B1)</t>
  </si>
  <si>
    <t>Metodologia di conteggio dei dipendenti per le informative seguenti (Alla fine del periodo di riferimento o come media nel periodo di riferimento collegata da B1)</t>
  </si>
  <si>
    <t>B8 – Forza lavoro – Caratteristiche generali - Tipo di contratto</t>
  </si>
  <si>
    <t xml:space="preserve">Contratto permanente
</t>
  </si>
  <si>
    <t>Contratto temporaneo</t>
  </si>
  <si>
    <t>Totale dipendenti (collegato a B1)</t>
  </si>
  <si>
    <t xml:space="preserve">B8 – Forza lavoro – Caratteristiche generali - Genere
</t>
  </si>
  <si>
    <t>Uomini</t>
  </si>
  <si>
    <t>Donne</t>
  </si>
  <si>
    <t>Altro</t>
  </si>
  <si>
    <t>Non comunicato</t>
  </si>
  <si>
    <t>B8 – Forza lavoro – Caratteristiche generali - Paese del contratto di lavoro</t>
  </si>
  <si>
    <t>La società opera in più di un paese?</t>
  </si>
  <si>
    <t>B8 – Forza lavoro – Caratteristiche generali - Tasso di avvicendamento</t>
  </si>
  <si>
    <t xml:space="preserve">Numero di dipendenti che hanno lasciato l'impresa durante l'anno di riferimento
</t>
  </si>
  <si>
    <t>Numero di dipendenti all'inizio dell'anno di riferimento</t>
  </si>
  <si>
    <t>Numero di dipendenti alla fine dell'anno di riferimento</t>
  </si>
  <si>
    <t xml:space="preserve">Tasso di avvicendamento dei dipendenti [%] nell'anno di riferimento
</t>
  </si>
  <si>
    <t>B9 – Forza lavoro – Salute e sicurezza</t>
  </si>
  <si>
    <t>Numero di infortuni registrabili connessi al lavoro nel periodo di riferimento</t>
  </si>
  <si>
    <t>Ore lavorate da un dipendente a tempo pieno nel periodo di riferimento</t>
  </si>
  <si>
    <t>Numero totale di ore lavorate in un anno da tutti i dipendenti nel periodo di riferimento</t>
  </si>
  <si>
    <t>Tasso di infortuni registrabili connessi al lavoro nel periodo di riferimento</t>
  </si>
  <si>
    <t>Numero di decessi dovuti a lesioni e malattie connesse al lavoro</t>
  </si>
  <si>
    <t>B10 – Forza lavoro – Retribuzione, contrattazione collettiva e formazione</t>
  </si>
  <si>
    <t>I dipendenti percepiscono una retribuzione pari o superiore al salario minimo applicabile, determinato direttamente dal diritto nazionale in matria di salario minimo o mediante contrattazione collettiva.</t>
  </si>
  <si>
    <t>Livello di retribuzione oraria lorda media dei dipendenti di sesso maschile</t>
  </si>
  <si>
    <t>Livello di retribuzione oraria lorda media dei dipendenti di sesso femminile</t>
  </si>
  <si>
    <t>Percentuale del divario retributivo tra dipendenti di sesso femminile e dipendenti di sesso maschile [%]</t>
  </si>
  <si>
    <t>Numero di dipendenti coperti da contratti collettivi</t>
  </si>
  <si>
    <t>Percentuale di dipendenti coperti da contratti collettivi [%]</t>
  </si>
  <si>
    <t>Numero medio annuo di ore di formazione per dipendente</t>
  </si>
  <si>
    <t>C5 – Altre caratteristiche (generali) della forza lavoro</t>
  </si>
  <si>
    <t>Numero di dipendenti di sesso maschile a livello dirigenziale</t>
  </si>
  <si>
    <t>Numero di dipendenti di sesso femminile a livello dirigenziale</t>
  </si>
  <si>
    <t>Rapporto tra donne e uomini a livello dirigenziale per il periodo di riferimento</t>
  </si>
  <si>
    <t>Numero totale di lavoratori autonomi senza personale che lavorano esclusivamente per l'impresa</t>
  </si>
  <si>
    <t>Numero totale di lavoratori temporanei messi a disposizione da imprese che esercitano principalmente attività di ricerca, selezione e fornitura di personale</t>
  </si>
  <si>
    <t>C6 – Altre informazioni sulla forza lavoro propria – Politiche e procedure in materia di diritti umani</t>
  </si>
  <si>
    <t>L'impresa dispone di un codice di condotta o di una politica in materia di diritti umani per la forza lavoro propria?</t>
  </si>
  <si>
    <t>In caso affermativo, questo riguarda:</t>
  </si>
  <si>
    <t>Lavoro minorile</t>
  </si>
  <si>
    <t>Lavoro forzato</t>
  </si>
  <si>
    <t>· tratta di esseri umani</t>
  </si>
  <si>
    <t>· discriminazione</t>
  </si>
  <si>
    <t>· Prevenzione degli infortuni</t>
  </si>
  <si>
    <t>· altro? (se sì, precisare)</t>
  </si>
  <si>
    <t>Specifica altri tipi di contenuti coperti dal codice di condotta o dalla politica in materia di diritti umani</t>
  </si>
  <si>
    <t>L'impresa dispone di un meccanismo di trattamento delle denunce per la forza lavoro propria?</t>
  </si>
  <si>
    <t>C7 – Incidenti gravi in materia di diritti umani</t>
  </si>
  <si>
    <t>L'impresa ha confermato incidenti in seno alla forza lavoro propria?</t>
  </si>
  <si>
    <t>In caso affermativo, gli incidenti sono correlati a:</t>
  </si>
  <si>
    <t>Specifica altri diritti umani relativi agli incidenti confermati</t>
  </si>
  <si>
    <t>Descrizione delle azioni intraprese in risposta agli incidenti confermati</t>
  </si>
  <si>
    <t>L'impresa è a conoscenza di incidenti confermati che coinvolgono lavoratori nella catena del valore, comunità interessate, consumatori e utilizzatori finali?</t>
  </si>
  <si>
    <t>Specificazione di eventuali incidenti confermati che coinvolgono lavoratori nella catena del valore, comunità interessate, consumatori e utilizzatori finali</t>
  </si>
  <si>
    <t>Comunicazione di qualsiasi altra informativa sociale e/o specifica per soggetto</t>
  </si>
  <si>
    <t>B11 – Condanne e ammende per corruzione attiva e passiva</t>
  </si>
  <si>
    <t>L'impresa ha subito condanne e ammende nel periodo di riferimento?</t>
  </si>
  <si>
    <t>Numero totale delle condanne per violazione delle leggi in materia di lotta alla corruzione passiva e attiva</t>
  </si>
  <si>
    <t>Importo complessivo delle ammende in cui è incorsa per violazione delle leggi in materia di lotta alla corruzione passiva e attiva</t>
  </si>
  <si>
    <t>C8 – Ricavi da determinate attività</t>
  </si>
  <si>
    <t>L'impresa genera ricavi da una delle attività elencate di seguito?</t>
  </si>
  <si>
    <t>Importo monetario in</t>
  </si>
  <si>
    <t>Ricavi derivanti da armi controverse (mine antiuomo, munizioni a grappolo, armi chimiche e armi biologiche)</t>
  </si>
  <si>
    <t>Ricavi derivanti dalla coltivazione e produzione di tabacco</t>
  </si>
  <si>
    <t>Ricavi derivanti dal carbone</t>
  </si>
  <si>
    <t>Ricavi derivanti dal petrolio</t>
  </si>
  <si>
    <t>Ricavi derivanti dal gas</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</si>
  <si>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</si>
  <si>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Ricavi derivanti dalla produzione di sostanze chimiche</t>
  </si>
  <si>
    <t>C8 – Esclusione dagli indici di riferimento dell'UE</t>
  </si>
  <si>
    <t>Le imprese escluse dagli indici di riferimento UE allineati con l'accordo di Parigi sono le seguenti:</t>
  </si>
  <si>
    <t>società che ottengono l'1 % o più dei ricavi dalla prospezione, estrazione, distribuzione o raffinazione di carbon fossile e lignite;</t>
  </si>
  <si>
    <t>società che ottengono il 10% o più dei ricavi dalla prospezione, estrazione, distribuzione o raffinazione di oli combustibili</t>
  </si>
  <si>
    <t>società che ottengono il 50 % o più dei ricavi dalla prospezione, estrazione, produzione o distribuzione di gas combustibili</t>
  </si>
  <si>
    <t>società che ottengono il 50 % o più dei ricavi dalla produzione di energia elettrica con un'intensità dei gas a effetto serra superiore a 100 g CO2 eq/kWh</t>
  </si>
  <si>
    <t xml:space="preserve">Nessuno dei precedenti 
</t>
  </si>
  <si>
    <t xml:space="preserve">Le imprese sono escluse da qualsiasi indice di riferimento UE allineato con l'accordo di Parigi. 
</t>
  </si>
  <si>
    <t>Diversità di genere nell'organo di governance</t>
  </si>
  <si>
    <t>L'impresa dispone di un organo di governance?</t>
  </si>
  <si>
    <t xml:space="preserve">Numero di membri femminili nel consiglio alla fine del periodo di riferimento
</t>
  </si>
  <si>
    <t>Numero di membri maschili nel consiglio alla fine del periodo di riferimento</t>
  </si>
  <si>
    <t>Comunicazione di qualsiasi altra informativa sulla governance e/o informativa specifica per soggetto</t>
  </si>
  <si>
    <t>CONVERTITORE DI COMBUSTIBILE</t>
  </si>
  <si>
    <t>AVVERTENZA:</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</si>
  <si>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</si>
  <si>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</si>
  <si>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</si>
  <si>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Indica che la cella deve essere compilata selezionando un valore dal menu a tendina (ad esempio Tipo di carburante o Unità di misura) oppure inserendo un importo.</t>
  </si>
  <si>
    <t>Tipo di combustibile</t>
  </si>
  <si>
    <t>Importo</t>
  </si>
  <si>
    <t>Stato della materia</t>
  </si>
  <si>
    <t>Stato tipico delle energie rinnovabili</t>
  </si>
  <si>
    <t>Energia calcolata in MWh</t>
  </si>
  <si>
    <t>Utilizzo del convertitore di combustibile:</t>
  </si>
  <si>
    <t xml:space="preserve">1. Nella cella A9 selezionare il Combustibile utilizzato, cercandolo o scorrendo l'elenco visualizzato e cliccando sulla cella
</t>
  </si>
  <si>
    <t>2. Nella cella B9 selezionare l'unità di misura utilizzata</t>
  </si>
  <si>
    <t>3. Nella cella C9 selezionare la Quantità di combustibile utilizzata</t>
  </si>
  <si>
    <t xml:space="preserve">4. Nella cella D9 è visualizzato lo Stato della materia per il Combustibile selezionato
</t>
  </si>
  <si>
    <t xml:space="preserve">5. Nella cella E9 è indicato lo stato tipico di rinnovabilità per il Combustibile selezionato
</t>
  </si>
  <si>
    <t xml:space="preserve">6. Nella cella F9 è visualizzata l'energia prodotta in Megawatt-ora per la quantità di combustibile specificata
</t>
  </si>
  <si>
    <t>7. Nella cella A28 è visualizzato il Consumo totale di energia in Megawatt-ora</t>
  </si>
  <si>
    <t>8. Nella cella A31 è visualizzato il Totale Energia Rinnovabile in Megawatt-ora</t>
  </si>
  <si>
    <t>9. Nella cella B31 è visualizzato il Totale Energia Non Rinnovabile in Megawatt-ora</t>
  </si>
  <si>
    <t>10. Ulteriori note sono riportate di seguito</t>
  </si>
  <si>
    <t>Trasferire i risultati totali calcolati alla cella di B3 "Consumo di energia da combustibili"</t>
  </si>
  <si>
    <t>Totale consumo di energia [MWh]</t>
  </si>
  <si>
    <t>Totale consumo di energia rinnovabile [MWh]</t>
  </si>
  <si>
    <t>Totale consumo di energia non rinnovabile [MWh]</t>
  </si>
  <si>
    <t>Ulteriori note:</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</si>
  <si>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</si>
  <si>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Consumo di energia orario in MWh per combustibili solidi:</t>
  </si>
  <si>
    <t>Energia [MWh] = Massa [t] * PCN [MWh/t]</t>
  </si>
  <si>
    <t>Consumo di energia orario in MWh per combustibili liquidi:</t>
  </si>
  <si>
    <t>Massa [t] = Volume [L] * Densità [t/L]</t>
  </si>
  <si>
    <t>Consumo di energia orario in MWh per gas combustibili:</t>
  </si>
  <si>
    <t>Massa [t] = Volume [m³] * Densità [t/m³]</t>
  </si>
  <si>
    <t>CONVERTITORE DI UNITÀ DI MISURA</t>
  </si>
  <si>
    <t>Da</t>
  </si>
  <si>
    <t>Unità di misura del convertitore di massa</t>
  </si>
  <si>
    <t>Unità di misura del convertitore di volume</t>
  </si>
  <si>
    <t>Unità di misura del consumo di energia orario</t>
  </si>
  <si>
    <t>Unità di misura del convertitore PCN</t>
  </si>
  <si>
    <t>Unità di misura del convertitore di densità</t>
  </si>
  <si>
    <t>Uso del convertitore di unità di misura</t>
  </si>
  <si>
    <t>Passi da seguire per la tabella della massa:</t>
  </si>
  <si>
    <t>1. Nella cella B5 della tabella relativa all'Unità di misura del Convertitore di Massa deve essere inserita l'Unità di misura da convertire.</t>
  </si>
  <si>
    <t>2. Poi nella cella B6 può essere inserita la quantità di massa.</t>
  </si>
  <si>
    <t>Infine, nella cella D5 dovrebbe esserci l'unità di misura di interesse.</t>
  </si>
  <si>
    <t>L’esito della conversione sarà visualizzato nella cella D6.</t>
  </si>
  <si>
    <t>I passaggi da seguire per le altre tabelle (Volume, Consumo di energia, Densità e PCN) sono gli stessi della tabella della Massa.</t>
  </si>
  <si>
    <t>Di seguito sono specificate tutte le conversioni delle unità di misura di ciascuna tabella.</t>
  </si>
  <si>
    <t>▪ Unità di misura del convertitore di massa:</t>
  </si>
  <si>
    <t>▪ Unità di misura del convertitore di volume:</t>
  </si>
  <si>
    <t>▪ Unità di misura del Convertitore di Energia:</t>
  </si>
  <si>
    <t>▪ Unità di misura del convertitore di densità:</t>
  </si>
  <si>
    <t>▪ Unità di misura del convertitore PCN:</t>
  </si>
  <si>
    <t xml:space="preserve">VALORE MANCANTE
</t>
  </si>
  <si>
    <t>ERRORE</t>
  </si>
  <si>
    <t xml:space="preserve">INCOERENZA DI VALORE 
</t>
  </si>
  <si>
    <t>ERRORE + INCOERENZA DI VALORE</t>
  </si>
  <si>
    <t>ERRORE + VALORE MANCANTE + INCOERENZA DI VALORE</t>
  </si>
  <si>
    <t>ERRORE + VALORE MANCANTE</t>
  </si>
  <si>
    <t>VALORE MANCANTE + INCOERENZA DI VALORE</t>
  </si>
  <si>
    <t>URL NON VALIDO</t>
  </si>
  <si>
    <t>ℹ️ Combustibile liquido: selezionare un'unità di misura tra m³ e L</t>
  </si>
  <si>
    <t>ℹ️ Combustibile solido: selezionare un'unità di misura tra Gg, t, Kg e g</t>
  </si>
  <si>
    <t>ℹ️ Gas combustibili: selezionare un'unità di misura tra m³ e L</t>
  </si>
  <si>
    <t>ℹ️ L'identificatore dell'impresa è un ID unico che consente di identificare l'impresa che ha fornito le informazioni. Il principio VSME non richiede alcun identificatore specifico. Un identificatore dell'impresa è necessario per la rendicontazione digitale.</t>
  </si>
  <si>
    <t>ℹ️ Se sul lato destro appare il messaggio INCOERENZA DI VALORE, assicurarsi che la data di fine del periodo di riferimento sia successiva alla data di inizio del periodo di riferimento.</t>
  </si>
  <si>
    <t>ℹ️ Le liste possono essere espanse utilizzando il pulsante piccolo [+] a sinistra. Se il numero di righe non è sufficiente, è possibile aggiungerle facendo clic con il tasto destro sulla seconda riga e selezionando "Inserisci riga".</t>
  </si>
  <si>
    <t xml:space="preserve">ℹ️ Quando si sceglie "altro" come forma giuridica dell'impresa, si prega di compilare la riga sottostante
</t>
  </si>
  <si>
    <t>ℹ️ Si prega di selezionare un codice NACE anziché una categoria, altrimenti verrà visualizzato un messaggio di ERRORE.</t>
  </si>
  <si>
    <t>ℹ️ Si prega di fare attenzione a separare ogni numero della via e numero civico utilizzando il simbolo barra "/" e non la virgola ","</t>
  </si>
  <si>
    <t>ℹ️ Si prega di notare che la formula presente in questa cella potrebbe essere sovrascritta nel caso in cui l'impresa voglia fornire direttamente il valore.</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</si>
  <si>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</si>
  <si>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ℹ️ Se viene visualizzata una convalida relativa all'incoerenza di valore, selezionare un ID sito diverso da quelli precedentemente selezionati.</t>
  </si>
  <si>
    <t>ℹ️ Si prega di selezionare un Tipo di rifiuto (Pericoloso o Non Pericoloso) piuttosto che una categoria altrimenti apparirà un messaggio di ERRORE.</t>
  </si>
  <si>
    <t>ℹ️ Si prega di assicurarsi che il numero totale di dipendenti sia lo stesso indicato nella cella E55 del foglio "Informazioni Generali"</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</si>
  <si>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</si>
  <si>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Controlla il sito EFRAG per un elenco non esaustivo di calcolatori di gas serra.</t>
  </si>
  <si>
    <t>B10 – Gennemsnitligt antal årlige uddannelsestimer pr. ansat i rapporteringsperioden</t>
  </si>
  <si>
    <t>B10 – Nombre moyen d'heures annuelles de formation par salarié au cours de la période de reporting</t>
  </si>
  <si>
    <t>B10 – Anzahl der jährlichen Schulungsstunden je Beschäftigtem im Berichtszeitraum</t>
  </si>
  <si>
    <t>B10 – Numero annuo di ore di formazione per dipendente durante il periodo di riferimento</t>
  </si>
  <si>
    <t>Tikrinimas gerai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</si>
</sst>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0"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14">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0" fillId="16" borderId="74" xfId="0" applyFill="1" applyBorder="1" applyAlignment="1" applyProtection="1">
      <alignment horizontal="center"/>
      <protection locked="0"/>
    </xf>
    <xf numFmtId="0" fontId="0" fillId="16" borderId="23"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0" fontId="0" fillId="7" borderId="46" xfId="0" applyFill="1" applyBorder="1"/>
    <xf numFmtId="0" fontId="0" fillId="7" borderId="5" xfId="0" applyFill="1" applyBorder="1"/>
    <xf numFmtId="0" fontId="0" fillId="7" borderId="53" xfId="0" applyFill="1" applyBorder="1"/>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0" fontId="0" fillId="16" borderId="71" xfId="0" applyFill="1" applyBorder="1" applyAlignment="1">
      <alignment horizontal="center" vertical="center"/>
    </xf>
    <xf numFmtId="0" fontId="0" fillId="7" borderId="54" xfId="0" applyFill="1" applyBorder="1"/>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2" fontId="0" fillId="16" borderId="62" xfId="0" applyNumberFormat="1" applyFill="1" applyBorder="1" applyAlignment="1">
      <alignment horizontal="center"/>
    </xf>
    <xf numFmtId="0" fontId="0" fillId="7" borderId="0" xfId="0" applyFill="1" applyAlignment="1">
      <alignment wrapText="1"/>
    </xf>
    <xf numFmtId="164" fontId="0" fillId="7" borderId="29" xfId="2" applyNumberFormat="1" applyFont="1" applyFill="1" applyBorder="1" applyAlignment="1">
      <alignment horizontal="center" vertical="center"/>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0" fillId="13" borderId="74"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43" xfId="0" applyNumberFormat="1" applyFill="1" applyBorder="1"/>
    <xf numFmtId="0" fontId="0" fillId="7" borderId="40" xfId="0" applyFill="1" applyBorder="1"/>
    <xf numFmtId="164" fontId="0" fillId="7" borderId="0" xfId="0" applyNumberFormat="1" applyFill="1"/>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0" fontId="10" fillId="0" borderId="46" xfId="0" applyFont="1" applyBorder="1" applyAlignment="1">
      <alignment horizontal="center" vertical="center" wrapTex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0" borderId="0" xfId="0" applyAlignment="1">
      <alignment horizontal="left" vertical="center" wrapText="1"/>
    </xf>
    <xf numFmtId="0" fontId="9" fillId="0" borderId="0" xfId="0" applyFont="1" applyAlignment="1">
      <alignment horizontal="left" vertical="top" wrapText="1"/>
    </xf>
    <xf numFmtId="0" fontId="9" fillId="0" borderId="22" xfId="0" applyFont="1" applyBorder="1" applyAlignment="1">
      <alignment horizontal="left" vertical="top" wrapText="1"/>
    </xf>
    <xf numFmtId="0" fontId="9" fillId="0" borderId="34" xfId="0" applyFont="1" applyBorder="1" applyAlignment="1">
      <alignment horizontal="left" vertical="top" wrapText="1"/>
    </xf>
    <xf numFmtId="0" fontId="2" fillId="0" borderId="1" xfId="0" applyFont="1" applyBorder="1" applyAlignment="1">
      <alignment wrapText="1"/>
    </xf>
    <xf numFmtId="0" fontId="0" fillId="0" borderId="1" xfId="0" applyBorder="1" applyAlignment="1">
      <alignment horizontal="center" wrapText="1"/>
    </xf>
    <xf numFmtId="0" fontId="0" fillId="0" borderId="22" xfId="0" applyBorder="1" applyAlignment="1">
      <alignment horizontal="left" wrapText="1"/>
    </xf>
    <xf numFmtId="0" fontId="0" fillId="0" borderId="34" xfId="0" applyBorder="1" applyAlignment="1">
      <alignment horizontal="left" wrapText="1"/>
    </xf>
    <xf numFmtId="0" fontId="0" fillId="0" borderId="22" xfId="0" applyBorder="1" applyAlignment="1">
      <alignment horizontal="left" vertical="center" wrapText="1"/>
    </xf>
    <xf numFmtId="0" fontId="39" fillId="0" borderId="0" xfId="0" applyFont="1" applyAlignment="1">
      <alignment wrapText="1"/>
    </xf>
    <xf numFmtId="0" fontId="0" fillId="0" borderId="18" xfId="0" applyBorder="1" applyAlignment="1">
      <alignment vertical="center" wrapText="1"/>
    </xf>
    <xf numFmtId="0" fontId="39" fillId="0" borderId="0" xfId="0" applyFont="1" applyAlignment="1">
      <alignment vertical="center" wrapText="1"/>
    </xf>
    <xf numFmtId="0" fontId="39" fillId="0" borderId="22" xfId="0" applyFont="1" applyBorder="1" applyAlignment="1">
      <alignment wrapText="1"/>
    </xf>
    <xf numFmtId="0" fontId="0" fillId="0" borderId="34" xfId="0" applyBorder="1" applyAlignment="1">
      <alignment horizontal="left" vertical="center"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0" fillId="0" borderId="18" xfId="0" applyBorder="1" applyAlignment="1">
      <alignment horizontal="left" vertical="center" wrapText="1"/>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vertical="center"/>
    </xf>
    <xf numFmtId="0" fontId="0" fillId="0" borderId="1" xfId="0" applyBorder="1" applyAlignment="1">
      <alignment vertical="center"/>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0" fillId="0" borderId="0" xfId="0" applyAlignment="1">
      <alignment horizontal="left" vertical="center"/>
    </xf>
    <xf numFmtId="0" fontId="6" fillId="0" borderId="48" xfId="3" applyFill="1" applyBorder="1" applyAlignment="1" applyProtection="1">
      <alignment horizontal="center" vertical="center" wrapText="1"/>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0" borderId="52" xfId="0" applyBorder="1" applyAlignment="1">
      <alignment horizontal="left" vertical="center" wrapText="1"/>
    </xf>
    <xf numFmtId="0" fontId="0" fillId="0" borderId="53" xfId="0" applyBorder="1" applyAlignment="1">
      <alignment horizontal="left" vertical="center" wrapText="1"/>
    </xf>
    <xf numFmtId="0" fontId="0" fillId="0" borderId="25" xfId="0" applyBorder="1" applyAlignment="1">
      <alignment horizontal="left" vertical="center" wrapText="1"/>
    </xf>
    <xf numFmtId="0" fontId="0" fillId="0" borderId="54" xfId="0" applyBorder="1" applyAlignment="1">
      <alignment horizontal="left" vertical="center" wrapText="1"/>
    </xf>
    <xf numFmtId="0" fontId="10" fillId="0" borderId="51" xfId="0" applyFont="1" applyBorder="1" applyAlignment="1">
      <alignment horizontal="center" vertical="center" wrapText="1"/>
    </xf>
    <xf numFmtId="0" fontId="10" fillId="0" borderId="85" xfId="0" applyFont="1" applyBorder="1" applyAlignment="1">
      <alignment horizontal="center" vertical="center" wrapText="1"/>
    </xf>
    <xf numFmtId="0" fontId="6" fillId="0" borderId="53" xfId="3" applyFill="1" applyBorder="1" applyAlignment="1" applyProtection="1">
      <alignment horizontal="center" vertical="center" wrapText="1"/>
    </xf>
    <xf numFmtId="0" fontId="6" fillId="0" borderId="54" xfId="3" applyFill="1" applyBorder="1" applyAlignment="1" applyProtection="1">
      <alignment horizontal="center" vertical="center" wrapText="1"/>
    </xf>
    <xf numFmtId="0" fontId="6" fillId="0" borderId="50" xfId="3" applyFill="1" applyBorder="1" applyAlignment="1" applyProtection="1">
      <alignment horizontal="center" vertical="center" wrapText="1"/>
    </xf>
    <xf numFmtId="49" fontId="6" fillId="0" borderId="46" xfId="3" applyNumberFormat="1" applyFill="1" applyBorder="1" applyAlignment="1" applyProtection="1">
      <alignment horizontal="center" vertical="center" wrapText="1"/>
    </xf>
    <xf numFmtId="49" fontId="6" fillId="0" borderId="55" xfId="3" applyNumberFormat="1" applyFill="1" applyBorder="1" applyAlignment="1" applyProtection="1">
      <alignment horizontal="center" vertical="center" wrapText="1"/>
    </xf>
    <xf numFmtId="0" fontId="0" fillId="0" borderId="19" xfId="0" applyBorder="1" applyAlignment="1">
      <alignment vertical="center"/>
    </xf>
    <xf numFmtId="0" fontId="0" fillId="0" borderId="20" xfId="0" applyBorder="1" applyAlignment="1">
      <alignment vertical="center"/>
    </xf>
    <xf numFmtId="0" fontId="0" fillId="0" borderId="52" xfId="0" applyBorder="1" applyAlignment="1">
      <alignment horizontal="left" vertical="center"/>
    </xf>
    <xf numFmtId="0" fontId="0" fillId="0" borderId="53" xfId="0" applyBorder="1" applyAlignment="1">
      <alignment horizontal="left" vertical="center"/>
    </xf>
    <xf numFmtId="0" fontId="0" fillId="0" borderId="25" xfId="0" applyBorder="1" applyAlignment="1">
      <alignment horizontal="left" vertical="center"/>
    </xf>
    <xf numFmtId="0" fontId="0" fillId="0" borderId="54" xfId="0" applyBorder="1" applyAlignment="1">
      <alignment horizontal="left" vertical="center"/>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0" borderId="50" xfId="0" applyBorder="1" applyAlignment="1">
      <alignment horizontal="center" vertical="center"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0" fillId="6" borderId="1" xfId="0" applyFill="1" applyBorder="1" applyAlignment="1" applyProtection="1">
      <alignment horizontal="center"/>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2" fontId="0" fillId="6" borderId="1" xfId="0" applyNumberFormat="1" applyFill="1" applyBorder="1" applyAlignment="1" applyProtection="1">
      <alignment horizontal="right"/>
      <protection locked="0"/>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2" fillId="0" borderId="1" xfId="0" applyFont="1" applyBorder="1" applyAlignment="1">
      <alignment horizontal="center" vertical="center" wrapText="1"/>
    </xf>
    <xf numFmtId="0" fontId="0" fillId="6" borderId="1" xfId="0" applyFill="1" applyBorder="1" applyAlignment="1" applyProtection="1">
      <alignment horizontal="center" vertical="center" wrapText="1"/>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0" borderId="20" xfId="0" applyBorder="1" applyAlignment="1" applyProtection="1">
      <alignment horizontal="center" vertical="center"/>
      <protection locked="0"/>
    </xf>
    <xf numFmtId="0" fontId="2" fillId="0" borderId="25" xfId="0" applyFont="1" applyBorder="1" applyAlignment="1">
      <alignment horizontal="center"/>
    </xf>
    <xf numFmtId="0" fontId="2" fillId="0" borderId="0" xfId="0" applyFont="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0" fontId="0" fillId="0" borderId="1" xfId="0" applyBorder="1" applyAlignment="1" applyProtection="1">
      <alignment vertical="center" wrapText="1"/>
      <protection locked="0"/>
    </xf>
    <xf numFmtId="2" fontId="2" fillId="0" borderId="0" xfId="0" applyNumberFormat="1" applyFont="1" applyAlignment="1">
      <alignment horizontal="center" vertical="center"/>
    </xf>
    <xf numFmtId="0" fontId="0" fillId="0" borderId="1" xfId="0" applyBorder="1" applyAlignment="1" applyProtection="1">
      <alignment horizontal="center" vertical="center"/>
      <protection locked="0"/>
    </xf>
    <xf numFmtId="0" fontId="2" fillId="0" borderId="0" xfId="0" applyFont="1" applyAlignment="1">
      <alignment horizontal="center" vertical="center"/>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6" fillId="0" borderId="64" xfId="3" applyFill="1" applyBorder="1" applyAlignment="1" applyProtection="1">
      <alignment horizontal="center" vertical="center"/>
    </xf>
    <xf numFmtId="0" fontId="6" fillId="0" borderId="64" xfId="3" applyFill="1" applyBorder="1" applyAlignment="1" applyProtection="1">
      <alignment horizontal="center" vertical="center" wrapText="1"/>
    </xf>
    <xf numFmtId="0" fontId="2" fillId="3" borderId="59" xfId="0" applyFont="1" applyFill="1" applyBorder="1" applyAlignment="1">
      <alignment horizontal="center" vertical="center"/>
    </xf>
    <xf numFmtId="0" fontId="2" fillId="0" borderId="25" xfId="0" applyFont="1" applyBorder="1" applyAlignment="1">
      <alignment horizontal="center" vertical="center" wrapText="1"/>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2" fillId="0" borderId="11" xfId="0" applyFont="1" applyBorder="1" applyAlignment="1">
      <alignment horizontal="center" vertical="center" wrapText="1"/>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25" xfId="0" applyNumberFormat="1" applyFont="1" applyBorder="1" applyAlignment="1">
      <alignment horizontal="center" vertical="center"/>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2" fontId="0" fillId="13" borderId="6"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13" xfId="2" applyFont="1" applyFill="1" applyBorder="1" applyAlignment="1">
      <alignment horizontal="right" vertical="center"/>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38" xfId="0" applyFont="1" applyFill="1" applyBorder="1" applyAlignment="1">
      <alignment horizont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2" fontId="0" fillId="13" borderId="30"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0" fontId="0" fillId="0" borderId="39" xfId="0" applyBorder="1" applyAlignment="1">
      <alignment horizontal="left" vertical="center" wrapText="1"/>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4" fillId="19" borderId="3" xfId="0" applyFont="1" applyFill="1" applyBorder="1" applyAlignment="1">
      <alignment horizontal="left" vertical="center" wrapText="1"/>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21" xfId="0" applyNumberFormat="1" applyFill="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37" xfId="0" applyNumberFormat="1" applyFill="1" applyBorder="1" applyAlignment="1">
      <alignment horizontal="right"/>
    </xf>
    <xf numFmtId="0" fontId="6" fillId="0" borderId="7" xfId="3" applyFill="1" applyBorder="1" applyAlignment="1" applyProtection="1">
      <alignment horizontal="center" vertical="center"/>
    </xf>
    <xf numFmtId="0" fontId="6" fillId="0" borderId="8" xfId="3" applyFill="1" applyBorder="1" applyAlignment="1" applyProtection="1">
      <alignment horizontal="center" vertical="center"/>
    </xf>
    <xf numFmtId="2" fontId="0" fillId="6" borderId="18" xfId="0" applyNumberFormat="1" applyFill="1" applyBorder="1" applyAlignment="1" applyProtection="1">
      <alignment horizontal="right"/>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4" xfId="0" applyNumberFormat="1" applyFill="1" applyBorder="1" applyAlignment="1" applyProtection="1">
      <alignment horizontal="right" vertical="center"/>
      <protection locked="0"/>
    </xf>
    <xf numFmtId="2" fontId="0" fillId="6" borderId="1" xfId="0" applyNumberFormat="1" applyFill="1" applyBorder="1" applyAlignment="1" applyProtection="1">
      <alignment horizontal="right" vertical="center"/>
      <protection locked="0"/>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8" xfId="0" applyFont="1" applyBorder="1" applyAlignment="1">
      <alignment horizontal="center" vertical="center" wrapText="1"/>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8" xfId="0" applyFill="1" applyBorder="1" applyAlignment="1" applyProtection="1">
      <alignment horizontal="center"/>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2" fontId="0" fillId="6" borderId="27"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 xfId="0" applyNumberFormat="1" applyFill="1" applyBorder="1" applyAlignment="1" applyProtection="1">
      <alignment horizontal="right"/>
      <protection locked="0"/>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2" fillId="0" borderId="18" xfId="0" applyFont="1" applyBorder="1" applyAlignment="1">
      <alignment horizontal="center" vertical="center" wrapText="1"/>
    </xf>
    <xf numFmtId="0" fontId="0" fillId="0" borderId="18" xfId="0" applyBorder="1" applyAlignment="1" applyProtection="1">
      <alignment horizontal="center"/>
      <protection locked="0"/>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67" xfId="0" applyFont="1" applyFill="1" applyBorder="1" applyAlignment="1">
      <alignment horizontal="center"/>
    </xf>
    <xf numFmtId="0" fontId="6" fillId="0" borderId="51" xfId="3" applyFill="1" applyBorder="1" applyAlignment="1" applyProtection="1">
      <alignment horizontal="center" vertical="center" wrapText="1"/>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0" fontId="2" fillId="0" borderId="25" xfId="0" applyFont="1" applyBorder="1" applyAlignment="1">
      <alignment horizontal="center" vertical="center"/>
    </xf>
    <xf numFmtId="0" fontId="25" fillId="19" borderId="3"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13" borderId="19" xfId="0" applyNumberFormat="1" applyFill="1" applyBorder="1" applyAlignment="1">
      <alignment horizontal="right"/>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6" fillId="0" borderId="40"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2" fontId="0" fillId="13" borderId="37" xfId="0" applyNumberFormat="1" applyFill="1" applyBorder="1" applyAlignment="1">
      <alignment horizontal="right" wrapText="1"/>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5"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0" fillId="7" borderId="0" xfId="0" applyFill="1"/>
    <xf numFmtId="0" fontId="36" fillId="7" borderId="0" xfId="0" applyFont="1" applyFill="1"/>
    <xf numFmtId="0" fontId="32" fillId="7" borderId="0" xfId="0" applyFont="1" applyFill="1" applyAlignment="1">
      <alignment horizontal="left" wrapText="1"/>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xf numFmtId="0" fontId="0" fillId="0" borderId="0" xfId="0" applyBorder="1" applyAlignment="1">
      <alignment horizontal="left" vertical="center" wrapText="1"/>
    </xf>
    <xf numFmtId="0" fontId="0" fillId="0" borderId="0" xfId="0" applyBorder="1" applyAlignment="1">
      <alignment wrapText="1"/>
    </xf>
  </cellXfs>
  <cellStyles count="4">
    <cellStyle name="Auto-Calculated-Cells" xfId="2" xr:uid="{4E8529B9-507C-4B39-B503-553D51545A9E}"/>
    <cellStyle name="Hyperlink" xfId="3" builtinId="8"/>
    <cellStyle name="Normal" xfId="0" builtinId="0"/>
    <cellStyle name="Percent" xfId="1" builtinId="5"/>
  </cellStyles>
  <dxfs count="336">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fill>
        <patternFill>
          <bgColor theme="0"/>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446</xdr:row>
      <xdr:rowOff>1025237</xdr:rowOff>
    </xdr:from>
    <xdr:to>
      <xdr:col>7</xdr:col>
      <xdr:colOff>2628900</xdr:colOff>
      <xdr:row>446</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446</xdr:row>
      <xdr:rowOff>989215</xdr:rowOff>
    </xdr:from>
    <xdr:to>
      <xdr:col>7</xdr:col>
      <xdr:colOff>2724150</xdr:colOff>
      <xdr:row>447</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582</xdr:row>
      <xdr:rowOff>12699</xdr:rowOff>
    </xdr:from>
    <xdr:to>
      <xdr:col>7</xdr:col>
      <xdr:colOff>6200323</xdr:colOff>
      <xdr:row>589</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591</xdr:row>
      <xdr:rowOff>35831</xdr:rowOff>
    </xdr:from>
    <xdr:to>
      <xdr:col>7</xdr:col>
      <xdr:colOff>6192158</xdr:colOff>
      <xdr:row>598</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599</xdr:row>
      <xdr:rowOff>178707</xdr:rowOff>
    </xdr:from>
    <xdr:to>
      <xdr:col>7</xdr:col>
      <xdr:colOff>6213930</xdr:colOff>
      <xdr:row>607</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583</xdr:row>
      <xdr:rowOff>154214</xdr:rowOff>
    </xdr:from>
    <xdr:to>
      <xdr:col>4</xdr:col>
      <xdr:colOff>1841500</xdr:colOff>
      <xdr:row>587</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592</xdr:row>
      <xdr:rowOff>121557</xdr:rowOff>
    </xdr:from>
    <xdr:to>
      <xdr:col>4</xdr:col>
      <xdr:colOff>1863271</xdr:colOff>
      <xdr:row>596</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447</xdr:row>
      <xdr:rowOff>1025237</xdr:rowOff>
    </xdr:from>
    <xdr:to>
      <xdr:col>7</xdr:col>
      <xdr:colOff>2628900</xdr:colOff>
      <xdr:row>447</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447</xdr:row>
      <xdr:rowOff>400049</xdr:rowOff>
    </xdr:from>
    <xdr:to>
      <xdr:col>7</xdr:col>
      <xdr:colOff>895350</xdr:colOff>
      <xdr:row>447</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36" TargetMode="External"/><Relationship Id="rId47" Type="http://schemas.openxmlformats.org/officeDocument/2006/relationships/hyperlink" Target="https://xbrl.efrag.org/eng/interactive/vsme/vsme-standard-annex-i/2025-07-30-ec-rec/54/e" TargetMode="External"/><Relationship Id="rId63" Type="http://schemas.openxmlformats.org/officeDocument/2006/relationships/hyperlink" Target="https://xbrl.efrag.org/eng/interactive/vsme/vsme-guidance-annex-ii/2025-07-30-ec-rec/152-158" TargetMode="External"/><Relationship Id="rId68" Type="http://schemas.openxmlformats.org/officeDocument/2006/relationships/hyperlink" Target="https://xbrl.efrag.org/eng/interactive/vsme/vsme-guidance-annex-ii/2025-07-30-ec-rec/70-73" TargetMode="External"/><Relationship Id="rId84" Type="http://schemas.openxmlformats.org/officeDocument/2006/relationships/hyperlink" Target="https://xbrl.efrag.org/eng/interactive/vsme/vsme-guidance-annex-ii/2025-07-30-ec-rec/164-16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ng/interactive/vsme/vsme-standard-annex-i/2025-07-30-ec-rec/54/d" TargetMode="External"/><Relationship Id="rId53" Type="http://schemas.openxmlformats.org/officeDocument/2006/relationships/hyperlink" Target="https://xbrl.efrag.org/eng/interactive/vsme/vsme-standard-annex-i/2025-07-30-ec-rec/35"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guidance-annex-ii/2025-07-30-ec-rec/108-109" TargetMode="External"/><Relationship Id="rId79" Type="http://schemas.openxmlformats.org/officeDocument/2006/relationships/hyperlink" Target="https://xbrl.efrag.org/eng/interactive/vsme/vsme-guidance-annex-ii/2025-07-30-ec-rec/164-166"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29" TargetMode="External"/><Relationship Id="rId48" Type="http://schemas.openxmlformats.org/officeDocument/2006/relationships/hyperlink" Target="https://xbrl.efrag.org/eng/interactive/vsme/vsme-standard-annex-i/2025-07-30-ec-rec/56" TargetMode="External"/><Relationship Id="rId56" Type="http://schemas.openxmlformats.org/officeDocument/2006/relationships/hyperlink" Target="https://xbrl.efrag.org/eng/interactive/vsme/vsme-standard-annex-i/2025-07-30-ec-rec/38/c" TargetMode="External"/><Relationship Id="rId64" Type="http://schemas.openxmlformats.org/officeDocument/2006/relationships/hyperlink" Target="https://xbrl.efrag.org/eng/interactive/vsme/vsme-guidance-annex-ii/2025-07-30-ec-rec/150-151" TargetMode="External"/><Relationship Id="rId69" Type="http://schemas.openxmlformats.org/officeDocument/2006/relationships/hyperlink" Target="https://xbrl.efrag.org/eng/interactive/vsme/vsme-guidance-annex-ii/2025-07-30-ec-rec/74-76" TargetMode="External"/><Relationship Id="rId77"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3" TargetMode="External"/><Relationship Id="rId72" Type="http://schemas.openxmlformats.org/officeDocument/2006/relationships/hyperlink" Target="https://xbrl.efrag.org/eng/interactive/vsme/vsme-guidance-annex-ii/2025-07-30-ec-rec/94" TargetMode="External"/><Relationship Id="rId80" Type="http://schemas.openxmlformats.org/officeDocument/2006/relationships/hyperlink" Target="https://xbrl.efrag.org/eng/interactive/vsme/vsme-guidance-annex-ii/2025-07-30-ec-rec/160-163" TargetMode="External"/><Relationship Id="rId85" Type="http://schemas.openxmlformats.org/officeDocument/2006/relationships/printerSettings" Target="../printerSettings/printerSettings3.bin"/><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0-53" TargetMode="External"/><Relationship Id="rId59" Type="http://schemas.openxmlformats.org/officeDocument/2006/relationships/hyperlink" Target="https://xbrl.efrag.org/eng/interactive/vsme/vsme-guidance-annex-ii/2025-07-30-ec-rec/18-25" TargetMode="External"/><Relationship Id="rId67" Type="http://schemas.openxmlformats.org/officeDocument/2006/relationships/hyperlink" Target="https://xbrl.efrag.org/eng/interactive/vsme/vsme-guidance-annex-ii/2025-07-30-ec-rec/46-69"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guidance-annex-ii/2025-07-30-ec-rec/160-163" TargetMode="External"/><Relationship Id="rId54" Type="http://schemas.openxmlformats.org/officeDocument/2006/relationships/hyperlink" Target="https://xbrl.efrag.org/eng/interactive/vsme/vsme-standard-annex-i/2025-07-30-ec-rec/37"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1-93" TargetMode="External"/><Relationship Id="rId75" Type="http://schemas.openxmlformats.org/officeDocument/2006/relationships/hyperlink" Target="https://xbrl.efrag.org/eng/interactive/vsme/vsme-standard-annex-i/2025-07-30-ec-rec/55" TargetMode="External"/><Relationship Id="rId83" Type="http://schemas.openxmlformats.org/officeDocument/2006/relationships/hyperlink" Target="https://xbrl.efrag.org/eng/interactive/vsme/vsme-guidance-annex-ii/2025-07-30-ec-rec/164-16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ng/interactive/vsme/vsme-standard-annex-i/2025-07-30-ec-rec/31" TargetMode="External"/><Relationship Id="rId57" Type="http://schemas.openxmlformats.org/officeDocument/2006/relationships/hyperlink" Target="https://xbrl.efrag.org/eng/interactive/vsme/vsme-standard-annex-i/2025-07-30-ec-rec/10"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30" TargetMode="External"/><Relationship Id="rId52" Type="http://schemas.openxmlformats.org/officeDocument/2006/relationships/hyperlink" Target="https://xbrl.efrag.org/eng/interactive/vsme/vsme-standard-annex-i/2025-07-30-ec-rec/34" TargetMode="External"/><Relationship Id="rId60" Type="http://schemas.openxmlformats.org/officeDocument/2006/relationships/hyperlink" Target="https://xbrl.efrag.org/eng/interactive/vsme/vsme-guidance-annex-ii/2025-07-30-ec-rec/26-45" TargetMode="External"/><Relationship Id="rId65" Type="http://schemas.openxmlformats.org/officeDocument/2006/relationships/hyperlink" Target="https://xbrl.efrag.org/eng/interactive/vsme/vsme-guidance-annex-ii/2025-07-30-ec-rec/159" TargetMode="External"/><Relationship Id="rId73" Type="http://schemas.openxmlformats.org/officeDocument/2006/relationships/hyperlink" Target="https://xbrl.efrag.org/eng/interactive/vsme/vsme-guidance-annex-ii/2025-07-30-ec-rec/95-107" TargetMode="External"/><Relationship Id="rId78" Type="http://schemas.openxmlformats.org/officeDocument/2006/relationships/hyperlink" Target="https://xbrl.efrag.org/eng/interactive/vsme/vsme-standard-annex-i/2025-07-30-ec-rec/29" TargetMode="External"/><Relationship Id="rId81" Type="http://schemas.openxmlformats.org/officeDocument/2006/relationships/hyperlink" Target="https://xbrl.efrag.org/eng/interactive/vsme/vsme-guidance-annex-ii/2025-07-30-ec-rec/160-163" TargetMode="External"/><Relationship Id="rId86" Type="http://schemas.openxmlformats.org/officeDocument/2006/relationships/drawing" Target="../drawings/drawing3.xm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2" TargetMode="External"/><Relationship Id="rId55" Type="http://schemas.openxmlformats.org/officeDocument/2006/relationships/hyperlink" Target="https://xbrl.efrag.org/eng/interactive/vsme/vsme-standard-annex-i/2025-07-30-ec-rec/38/a-b" TargetMode="External"/><Relationship Id="rId76" Type="http://schemas.openxmlformats.org/officeDocument/2006/relationships/hyperlink" Target="https://xbrl.efrag.org/eng/interactive/vsme/vsme-standard-annex-i/2025-07-30-ec-rec/55"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77-90"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standard-annex-i/2025-07-30-ec-rec/55" TargetMode="External"/><Relationship Id="rId45" Type="http://schemas.openxmlformats.org/officeDocument/2006/relationships/hyperlink" Target="https://xbrl.efrag.org/eng/interactive/vsme/vsme-standard-annex-i/2025-07-30-ec-rec/54/b" TargetMode="External"/><Relationship Id="rId66" Type="http://schemas.openxmlformats.org/officeDocument/2006/relationships/hyperlink" Target="https://knowledgehub.efrag.org/eng/interactive/vsme/vsme-guidance-annex-ii/2025-07-30-ec-rec/160-163"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tabSelected="1" zoomScaleNormal="100" workbookViewId="0"/>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28" t="str">
        <f>template_label_version</f>
        <v>Version:</v>
      </c>
      <c r="C1" s="328" t="s">
        <v>9065</v>
      </c>
      <c r="D1" s="328"/>
    </row>
    <row r="2" spans="2:18" x14ac:dyDescent="0.3">
      <c r="B2" s="328" t="str">
        <f>template_label_publication_date</f>
        <v>Publication date:</v>
      </c>
      <c r="C2" s="329">
        <v>45986</v>
      </c>
      <c r="D2" s="328"/>
    </row>
    <row r="3" spans="2:18" ht="35.549999999999997" customHeight="1" x14ac:dyDescent="0.3">
      <c r="B3" s="527" t="str" cm="1">
        <f t="array" aca="1" ref="B3" ca="1">IF(ISERROR(CELL("filename",A1)),"Warning: The Digital Template was developed and tested using Microsoft Excel 365. Functionality may be limited or incorrect when using other spreadsheet applications or older versions of Excel.","")</f>
        <v/>
      </c>
      <c r="C3" s="527"/>
      <c r="D3" s="328"/>
    </row>
    <row r="5" spans="2:18" x14ac:dyDescent="0.3">
      <c r="B5" s="330"/>
    </row>
    <row r="6" spans="2:18" x14ac:dyDescent="0.3">
      <c r="B6" s="330"/>
    </row>
    <row r="7" spans="2:18" x14ac:dyDescent="0.3">
      <c r="B7" s="330"/>
    </row>
    <row r="8" spans="2:18" x14ac:dyDescent="0.3">
      <c r="B8" s="330"/>
    </row>
    <row r="9" spans="2:18" x14ac:dyDescent="0.3">
      <c r="B9" s="330"/>
    </row>
    <row r="10" spans="2:18" x14ac:dyDescent="0.3">
      <c r="B10" s="89" t="str">
        <f>template_label_taxonomy_entry_point</f>
        <v>Taxonomy entry point:</v>
      </c>
      <c r="C10" s="331" t="s">
        <v>5686</v>
      </c>
    </row>
    <row r="11" spans="2:18" x14ac:dyDescent="0.3">
      <c r="B11" s="89" t="str">
        <f>template_label_select_template_display_language</f>
        <v>Select Template Display Language:</v>
      </c>
      <c r="C11" s="484" t="s">
        <v>5689</v>
      </c>
    </row>
    <row r="12" spans="2:18" x14ac:dyDescent="0.3">
      <c r="B12" s="89" t="str">
        <f>template_label_title_of_report</f>
        <v>Main title of the report</v>
      </c>
      <c r="C12" t="str">
        <f>template_label_main_title_of_report_text</f>
        <v xml:space="preserve">Sustainability Report </v>
      </c>
    </row>
    <row r="13" spans="2:18" x14ac:dyDescent="0.3">
      <c r="B13" s="89"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3" customFormat="1" ht="63" x14ac:dyDescent="1.2">
      <c r="B14" s="332" t="str">
        <f>template_label_vsme_digital_template</f>
        <v>VSME Digital Template</v>
      </c>
    </row>
    <row r="15" spans="2:18" ht="354.6" customHeight="1" x14ac:dyDescent="0.3">
      <c r="B15" s="528"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529"/>
      <c r="D15" s="529"/>
      <c r="E15" s="530"/>
      <c r="F15" s="334"/>
      <c r="G15" s="334"/>
      <c r="H15" s="334"/>
      <c r="I15" s="334"/>
      <c r="J15" s="334"/>
      <c r="K15" s="334"/>
      <c r="L15" s="334"/>
      <c r="M15" s="334"/>
      <c r="N15" s="334"/>
      <c r="O15" s="334"/>
      <c r="P15" s="334"/>
      <c r="Q15" s="334"/>
      <c r="R15" s="334"/>
    </row>
    <row r="16" spans="2:18" ht="19.95" customHeight="1" x14ac:dyDescent="0.3">
      <c r="B16" s="335"/>
      <c r="C16" s="335"/>
      <c r="D16" s="335"/>
      <c r="E16" s="335"/>
      <c r="F16" s="334"/>
      <c r="G16" s="334"/>
      <c r="H16" s="334"/>
      <c r="I16" s="334"/>
      <c r="J16" s="334"/>
      <c r="K16" s="334"/>
      <c r="L16" s="334"/>
      <c r="M16" s="334"/>
      <c r="N16" s="334"/>
      <c r="O16" s="334"/>
      <c r="P16" s="334"/>
      <c r="Q16" s="334"/>
      <c r="R16" s="334"/>
    </row>
    <row r="17" spans="1:18" x14ac:dyDescent="0.3">
      <c r="B17" s="330"/>
    </row>
    <row r="18" spans="1:18" ht="26.7" customHeight="1" x14ac:dyDescent="0.4">
      <c r="B18" s="336" t="str">
        <f>template_label_how_to_use_it</f>
        <v>How to use it:</v>
      </c>
      <c r="C18" s="337"/>
      <c r="D18" s="337"/>
      <c r="E18" s="338"/>
      <c r="F18" s="339"/>
      <c r="G18" s="339"/>
      <c r="H18" s="339"/>
      <c r="I18" s="339"/>
      <c r="J18" s="339"/>
      <c r="K18" s="339"/>
      <c r="L18" s="339"/>
      <c r="M18" s="339"/>
      <c r="N18" s="339"/>
      <c r="O18" s="339"/>
      <c r="P18" s="339"/>
      <c r="Q18" s="339"/>
      <c r="R18" s="339"/>
    </row>
    <row r="19" spans="1:18" ht="18" x14ac:dyDescent="0.3">
      <c r="B19" s="515" t="str">
        <f>template_label_0_provide_information_that_is_mandatory_in_order_to_generate_the_vsme_and_xbrl_report</f>
        <v>0. Provide information that is mandatory in order to generate the VSME and XBRL Report.</v>
      </c>
      <c r="C19" s="516"/>
      <c r="D19" s="516"/>
      <c r="E19" s="517"/>
      <c r="F19" s="340"/>
      <c r="G19" s="340"/>
      <c r="H19" s="340"/>
      <c r="I19" s="340"/>
      <c r="J19" s="340"/>
      <c r="K19" s="340"/>
      <c r="L19" s="340"/>
      <c r="M19" s="340"/>
      <c r="N19" s="340"/>
      <c r="O19" s="340"/>
      <c r="P19" s="340"/>
      <c r="Q19" s="340"/>
      <c r="R19" s="340"/>
    </row>
    <row r="20" spans="1:18" ht="59.4" customHeight="1" x14ac:dyDescent="0.3">
      <c r="B20" s="515"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516"/>
      <c r="D20" s="516"/>
      <c r="E20" s="517"/>
      <c r="F20" s="340"/>
      <c r="G20" s="340"/>
      <c r="H20" s="340"/>
      <c r="I20" s="340"/>
      <c r="J20" s="340"/>
      <c r="K20" s="340"/>
      <c r="L20" s="340"/>
      <c r="M20" s="340"/>
      <c r="N20" s="340"/>
      <c r="O20" s="340"/>
      <c r="P20" s="340"/>
      <c r="Q20" s="340"/>
      <c r="R20" s="340"/>
    </row>
    <row r="21" spans="1:18" ht="39.6" customHeight="1" x14ac:dyDescent="0.3">
      <c r="B21" s="518"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19"/>
      <c r="D21" s="519"/>
      <c r="E21" s="520"/>
      <c r="F21" s="341"/>
      <c r="G21" s="341"/>
      <c r="H21" s="341"/>
      <c r="I21" s="341"/>
      <c r="J21" s="341"/>
      <c r="K21" s="341"/>
      <c r="L21" s="341"/>
      <c r="M21" s="341"/>
      <c r="N21" s="341"/>
      <c r="O21" s="341"/>
      <c r="P21" s="341"/>
      <c r="Q21" s="341"/>
      <c r="R21" s="341"/>
    </row>
    <row r="22" spans="1:18" ht="36" customHeight="1" x14ac:dyDescent="0.3">
      <c r="B22" s="515"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516"/>
      <c r="D22" s="516"/>
      <c r="E22" s="517"/>
      <c r="F22" s="341"/>
      <c r="G22" s="341"/>
      <c r="H22" s="341"/>
      <c r="I22" s="341"/>
      <c r="J22" s="341"/>
      <c r="K22" s="341"/>
      <c r="L22" s="341"/>
      <c r="M22" s="341"/>
      <c r="N22" s="341"/>
      <c r="O22" s="341"/>
      <c r="P22" s="341"/>
      <c r="Q22" s="341"/>
      <c r="R22" s="341"/>
    </row>
    <row r="23" spans="1:18" s="342" customFormat="1" ht="18" x14ac:dyDescent="0.3">
      <c r="B23" s="518" t="str">
        <f>template_label_4_validate_the_data_entered_by_checking_the_validation_status</f>
        <v>4. Validate the data entered by checking the validation status. The report is considered incomplete or erroneous if the validation fails, which might result in an invalid XBRL report.</v>
      </c>
      <c r="C23" s="519"/>
      <c r="D23" s="519"/>
      <c r="E23" s="520"/>
      <c r="F23" s="341"/>
      <c r="G23" s="341"/>
      <c r="H23" s="341"/>
      <c r="I23" s="341"/>
      <c r="J23" s="341"/>
      <c r="K23" s="341"/>
      <c r="L23" s="341"/>
      <c r="M23" s="341"/>
      <c r="N23" s="341"/>
      <c r="O23" s="341"/>
      <c r="P23" s="341"/>
      <c r="Q23" s="341"/>
      <c r="R23" s="341"/>
    </row>
    <row r="24" spans="1:18" ht="18" x14ac:dyDescent="0.3">
      <c r="B24" s="518" t="str">
        <f>template_label_5_convert_this_template_to_an_inline_xbrl_report</f>
        <v>5. Convert this template to an Inline XBRL report (or XBRL-JSON, XBRL-CSV), using the online converter. Pay attention to the XBRL validation performed by the validator.</v>
      </c>
      <c r="C24" s="519"/>
      <c r="D24" s="519"/>
      <c r="E24" s="520"/>
      <c r="F24" s="341"/>
      <c r="G24" s="341"/>
      <c r="H24" s="341"/>
      <c r="I24" s="341"/>
      <c r="J24" s="341"/>
      <c r="K24" s="341"/>
      <c r="L24" s="341"/>
      <c r="M24" s="341"/>
      <c r="N24" s="341"/>
      <c r="O24" s="341"/>
      <c r="P24" s="341"/>
      <c r="Q24" s="341"/>
      <c r="R24" s="341"/>
    </row>
    <row r="25" spans="1:18" ht="24.6" customHeight="1" x14ac:dyDescent="0.3">
      <c r="B25" s="531" t="str">
        <f>template_label_6_the_undertaking_may_also_upload_the_report_to_public_repositories_or_a_webpage</f>
        <v>6. The undertaking may also upload the report to public repositories or a webpage.</v>
      </c>
      <c r="C25" s="532"/>
      <c r="D25" s="532"/>
      <c r="E25" s="533"/>
      <c r="F25" s="341"/>
      <c r="G25" s="341"/>
      <c r="H25" s="341"/>
      <c r="I25" s="341"/>
      <c r="J25" s="341"/>
      <c r="K25" s="341"/>
      <c r="L25" s="341"/>
      <c r="M25" s="341"/>
      <c r="N25" s="341"/>
      <c r="O25" s="341"/>
      <c r="P25" s="341"/>
      <c r="Q25" s="341"/>
      <c r="R25" s="341"/>
    </row>
    <row r="26" spans="1:18" ht="18" x14ac:dyDescent="0.35">
      <c r="B26" s="339"/>
      <c r="C26" s="339"/>
      <c r="D26" s="339"/>
      <c r="E26" s="339"/>
      <c r="F26" s="339"/>
      <c r="G26" s="339"/>
      <c r="H26" s="339"/>
      <c r="I26" s="339"/>
      <c r="J26" s="339"/>
      <c r="K26" s="339"/>
      <c r="L26" s="339"/>
      <c r="M26" s="339"/>
      <c r="N26" s="339"/>
      <c r="O26" s="339"/>
      <c r="P26" s="339"/>
      <c r="Q26" s="339"/>
      <c r="R26" s="339"/>
    </row>
    <row r="27" spans="1:18" ht="36" customHeight="1" x14ac:dyDescent="0.35">
      <c r="B27" s="343" t="str">
        <f>template_label_cell_background_color_index</f>
        <v>Cell background color index:</v>
      </c>
      <c r="C27" s="339"/>
      <c r="D27" s="339"/>
      <c r="E27" s="339"/>
      <c r="F27" s="339"/>
      <c r="G27" s="339"/>
      <c r="H27" s="339"/>
      <c r="I27" s="339"/>
      <c r="J27" s="339"/>
      <c r="K27" s="339"/>
      <c r="L27" s="339"/>
      <c r="M27" s="339"/>
      <c r="N27" s="339"/>
      <c r="O27" s="339"/>
      <c r="P27" s="339"/>
      <c r="Q27" s="339"/>
      <c r="R27" s="339"/>
    </row>
    <row r="28" spans="1:18" ht="32.1" customHeight="1" x14ac:dyDescent="0.35">
      <c r="B28" s="344" t="str">
        <f>template_label_general_principles</f>
        <v>General Principles</v>
      </c>
      <c r="C28" s="524" t="str">
        <f>template_label_indicates_that_the_disclosure_is_from_the_general_principles_of_the_vsme</f>
        <v>Indicates that the disclosure is from the general principles of the VSME.</v>
      </c>
      <c r="D28" s="525"/>
      <c r="E28" s="526"/>
      <c r="F28" s="339"/>
      <c r="G28" s="339"/>
      <c r="H28" s="339"/>
      <c r="I28" s="339"/>
      <c r="J28" s="339"/>
      <c r="K28" s="339"/>
      <c r="L28" s="339"/>
      <c r="M28" s="339"/>
      <c r="N28" s="339"/>
      <c r="O28" s="339"/>
      <c r="P28" s="339"/>
      <c r="Q28" s="339"/>
      <c r="R28" s="339"/>
    </row>
    <row r="29" spans="1:18" ht="34.5" customHeight="1" x14ac:dyDescent="0.35">
      <c r="A29" s="345"/>
      <c r="B29" s="346" t="str">
        <f>template_label_basic_module</f>
        <v>Basic Module</v>
      </c>
      <c r="C29" s="524" t="str">
        <f>template_label_indicates_that_the_disclosure_is_from_the_vsme_basic_module</f>
        <v>Indicates that the disclosure is from the VSME Basic Module.</v>
      </c>
      <c r="D29" s="525"/>
      <c r="E29" s="526"/>
      <c r="F29" s="339"/>
      <c r="G29" s="347"/>
      <c r="H29" s="347"/>
      <c r="I29" s="347"/>
      <c r="J29" s="347"/>
      <c r="K29" s="347"/>
      <c r="L29" s="347"/>
      <c r="M29" s="347"/>
      <c r="N29" s="347"/>
      <c r="O29" s="347"/>
      <c r="P29" s="347"/>
      <c r="Q29" s="347"/>
      <c r="R29" s="347"/>
    </row>
    <row r="30" spans="1:18" ht="35.700000000000003" customHeight="1" x14ac:dyDescent="0.35">
      <c r="A30" s="345"/>
      <c r="B30" s="348" t="str">
        <f>template_label_comprehensive_module</f>
        <v>Comprehensive Module</v>
      </c>
      <c r="C30" s="524" t="str">
        <f>template_label_indicates_that_the_disclosure_is_from_the_vsme_comprehensive_module</f>
        <v>Indicates that the disclosure is from the VSME Comprehensive Module.</v>
      </c>
      <c r="D30" s="525"/>
      <c r="E30" s="526"/>
      <c r="F30" s="339"/>
      <c r="G30" s="347"/>
      <c r="H30" s="347"/>
      <c r="I30" s="347"/>
      <c r="J30" s="347"/>
      <c r="K30" s="347"/>
      <c r="L30" s="347"/>
      <c r="M30" s="347"/>
      <c r="N30" s="347"/>
      <c r="O30" s="347"/>
      <c r="P30" s="347"/>
      <c r="Q30" s="347"/>
      <c r="R30" s="347"/>
    </row>
    <row r="31" spans="1:18" ht="35.85" customHeight="1" x14ac:dyDescent="0.35">
      <c r="A31" s="345"/>
      <c r="B31" s="349"/>
      <c r="C31" s="521" t="str">
        <f>template_label_indicates_that_the_cell_is_automatically_calculated_and_that_no_data_entry_is_required</f>
        <v>Indicates that the cell is automatically calculated and that no data entry is required.</v>
      </c>
      <c r="D31" s="522"/>
      <c r="E31" s="523"/>
      <c r="F31" s="339"/>
      <c r="G31" s="350"/>
      <c r="H31" s="350"/>
      <c r="I31" s="350"/>
      <c r="J31" s="350"/>
      <c r="K31" s="350"/>
      <c r="L31" s="350"/>
      <c r="M31" s="350"/>
      <c r="N31" s="350"/>
      <c r="O31" s="350"/>
      <c r="P31" s="350"/>
      <c r="Q31" s="350"/>
      <c r="R31" s="350"/>
    </row>
    <row r="32" spans="1:18" ht="63" customHeight="1" x14ac:dyDescent="0.35">
      <c r="A32" s="345"/>
      <c r="B32" s="351"/>
      <c r="C32" s="521"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522"/>
      <c r="E32" s="523"/>
      <c r="F32" s="339"/>
      <c r="G32" s="350"/>
      <c r="H32" s="350"/>
      <c r="I32" s="350"/>
      <c r="J32" s="350"/>
      <c r="K32" s="350"/>
      <c r="L32" s="350"/>
      <c r="M32" s="350"/>
      <c r="N32" s="350"/>
      <c r="O32" s="350"/>
      <c r="P32" s="350"/>
      <c r="Q32" s="350"/>
      <c r="R32" s="350"/>
    </row>
    <row r="33" spans="1:18" ht="35.85" customHeight="1" x14ac:dyDescent="0.35">
      <c r="A33" s="345"/>
      <c r="B33" s="352"/>
      <c r="C33" s="521"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522"/>
      <c r="E33" s="523"/>
      <c r="F33" s="339"/>
      <c r="G33" s="350"/>
      <c r="H33" s="350"/>
      <c r="I33" s="350"/>
      <c r="J33" s="350"/>
      <c r="K33" s="350"/>
      <c r="L33" s="350"/>
      <c r="M33" s="350"/>
      <c r="N33" s="350"/>
      <c r="O33" s="350"/>
      <c r="P33" s="350"/>
      <c r="Q33" s="350"/>
      <c r="R33" s="350"/>
    </row>
    <row r="34" spans="1:18" ht="42" x14ac:dyDescent="0.35">
      <c r="B34" s="353" t="str">
        <f>template_label_validation_missing_value_error_velue_inconsistency_invalid_url</f>
        <v>Validation MISSING VALUE/ERROR/VALUE INCONSISTENCY/INVALID URL</v>
      </c>
      <c r="C34" s="524" t="str">
        <f>template_label_indicates_that_either_data_entry_is_incorrect_in_terms_of_format_or_that_certain_information</f>
        <v>Indicates that either data entry is incorrect in terms of format or that certain information is missing in order to correctly report on the disclosure.</v>
      </c>
      <c r="D34" s="525"/>
      <c r="E34" s="526"/>
      <c r="F34" s="339"/>
      <c r="G34" s="347"/>
      <c r="H34" s="347"/>
      <c r="I34" s="347"/>
      <c r="J34" s="347"/>
      <c r="K34" s="347"/>
      <c r="L34" s="347"/>
      <c r="M34" s="347"/>
      <c r="N34" s="347"/>
      <c r="O34" s="347"/>
      <c r="P34" s="347"/>
      <c r="Q34" s="347"/>
      <c r="R34" s="347"/>
    </row>
    <row r="35" spans="1:18" ht="22.35" customHeight="1" x14ac:dyDescent="0.35">
      <c r="B35" s="354" t="s">
        <v>2886</v>
      </c>
      <c r="C35" s="524" t="str">
        <f>template_label_indicates_that_data_entry_is_ok_and_the_undertaking_can_proceed_to_the_next_disclosure</f>
        <v>Indicates that data entry is OK and the undertaking can proceed to the next disclosure.</v>
      </c>
      <c r="D35" s="525"/>
      <c r="E35" s="526"/>
      <c r="F35" s="339"/>
      <c r="G35" s="347"/>
      <c r="H35" s="347"/>
      <c r="I35" s="347"/>
      <c r="J35" s="347"/>
      <c r="K35" s="347"/>
      <c r="L35" s="347"/>
      <c r="M35" s="347"/>
      <c r="N35" s="347"/>
      <c r="O35" s="347"/>
      <c r="P35" s="347"/>
      <c r="Q35" s="347"/>
      <c r="R35" s="347"/>
    </row>
    <row r="36" spans="1:18" ht="22.35" customHeight="1" x14ac:dyDescent="0.35">
      <c r="B36" s="355"/>
      <c r="C36" s="524" t="str">
        <f>template_label_no_value_can_be_entered_in_the_cell</f>
        <v>No value can be entered in the cell.</v>
      </c>
      <c r="D36" s="525"/>
      <c r="E36" s="526"/>
      <c r="F36" s="339"/>
      <c r="G36" s="347"/>
      <c r="H36" s="347"/>
      <c r="I36" s="347"/>
      <c r="J36" s="347"/>
      <c r="K36" s="347"/>
      <c r="L36" s="347"/>
      <c r="M36" s="347"/>
      <c r="N36" s="347"/>
      <c r="O36" s="347"/>
      <c r="P36" s="347"/>
      <c r="Q36" s="347"/>
      <c r="R36" s="347"/>
    </row>
    <row r="37" spans="1:18" ht="45.75" customHeight="1" x14ac:dyDescent="0.35">
      <c r="A37" s="345"/>
      <c r="B37" s="356" t="s">
        <v>2880</v>
      </c>
      <c r="C37" s="521" t="str">
        <f>template_label_lists_can_be_expanded_using_the_plus_button_on_the_left</f>
        <v>Lists can be expanded using the plus [+] button on the left. If the number of rows is not sufficient, additional rows can be added by right clicking the second row and selecting "Insert row".</v>
      </c>
      <c r="D37" s="522"/>
      <c r="E37" s="523"/>
      <c r="F37" s="339"/>
      <c r="G37" s="357"/>
      <c r="H37" s="357"/>
      <c r="I37" s="357"/>
      <c r="J37" s="357"/>
      <c r="K37" s="357"/>
      <c r="L37" s="357"/>
      <c r="M37" s="357"/>
      <c r="N37" s="357"/>
      <c r="O37" s="357"/>
      <c r="P37" s="357"/>
      <c r="Q37" s="357"/>
      <c r="R37" s="357"/>
    </row>
    <row r="42" spans="1:18" x14ac:dyDescent="0.3">
      <c r="B42" s="512"/>
      <c r="C42" s="513"/>
      <c r="D42" s="513"/>
      <c r="E42" s="514"/>
    </row>
    <row r="43" spans="1:18" ht="97.2" customHeight="1" x14ac:dyDescent="0.4">
      <c r="B43" s="506"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507"/>
      <c r="D43" s="507"/>
      <c r="E43" s="508"/>
    </row>
    <row r="44" spans="1:18" ht="21" x14ac:dyDescent="0.4">
      <c r="B44" s="509" t="str">
        <f>template_label_reproduction_and_use_rights_are_strictly_limited</f>
        <v>Reproduction and use rights are strictly limited. For further details please contact efragsecretariat@efrag.org</v>
      </c>
      <c r="C44" s="510"/>
      <c r="D44" s="510"/>
      <c r="E44" s="511"/>
    </row>
  </sheetData>
  <sheetProtection algorithmName="SHA-512" hashValue="5wfKpLDqfUi3+JSjssbedij0SpPOGkAiiaY+B/DwAyTN7b7jYXS1LNkp5D5zTFy6Oht6YzvBciSiLyjRLtBIzw==" saltValue="rHSmb2WjC6NfYM3lnyVi0g==" spinCount="100000" sheet="1" formatColumns="0" formatRows="0"/>
  <mergeCells count="22">
    <mergeCell ref="B3:C3"/>
    <mergeCell ref="B15:E15"/>
    <mergeCell ref="B19:E19"/>
    <mergeCell ref="C33:E33"/>
    <mergeCell ref="C37:E37"/>
    <mergeCell ref="C36:E36"/>
    <mergeCell ref="C35:E35"/>
    <mergeCell ref="C34:E34"/>
    <mergeCell ref="B25:E25"/>
    <mergeCell ref="B43:E43"/>
    <mergeCell ref="B44:E44"/>
    <mergeCell ref="B42:E42"/>
    <mergeCell ref="B20:E20"/>
    <mergeCell ref="B21:E21"/>
    <mergeCell ref="B22:E22"/>
    <mergeCell ref="B23:E23"/>
    <mergeCell ref="B24:E24"/>
    <mergeCell ref="C32:E32"/>
    <mergeCell ref="C31:E31"/>
    <mergeCell ref="C28:E28"/>
    <mergeCell ref="C29:E29"/>
    <mergeCell ref="C30:E30"/>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zoomScaleNormal="100" workbookViewId="0"/>
  </sheetViews>
  <sheetFormatPr defaultColWidth="8.88671875" defaultRowHeight="14.4" x14ac:dyDescent="0.3"/>
  <cols>
    <col min="1" max="1" width="3.6640625" style="10" customWidth="1"/>
    <col min="2" max="2" width="98.109375" style="10" customWidth="1"/>
    <col min="3" max="3" width="50.6640625" style="10" customWidth="1"/>
    <col min="4" max="16384" width="8.88671875" style="10"/>
  </cols>
  <sheetData>
    <row r="1" spans="2:3" ht="15" thickBot="1" x14ac:dyDescent="0.35"/>
    <row r="2" spans="2:3" ht="18" x14ac:dyDescent="0.35">
      <c r="B2" s="358"/>
      <c r="C2" s="359" t="str">
        <f>template_label_overall_validation_status_validation</f>
        <v>Overall Validation Status</v>
      </c>
    </row>
    <row r="3" spans="2:3" ht="31.2" x14ac:dyDescent="0.6">
      <c r="B3" s="445" t="str">
        <f>template_label_table_of_contents_validation</f>
        <v>Table of Contents</v>
      </c>
      <c r="C3" s="360" t="str" cm="1">
        <f t="array" ref="C3">IF(SUMPRODUCT(--((C5:C68&lt;&gt;template_label_ok)*(C5:C68&lt;&gt;"-")*(C5:C68&lt;&gt;""))) &gt; 0, template_label_incomplete, template_label_complete)</f>
        <v>INCOMPLETE</v>
      </c>
    </row>
    <row r="4" spans="2:3" ht="18" x14ac:dyDescent="0.3">
      <c r="B4" s="361" t="str">
        <f>template_label_contents_grouping_follows_templates_framework</f>
        <v>Contents grouping follows template's framework</v>
      </c>
      <c r="C4" s="362" t="str">
        <f>template_label_specific_content_validation_status_validation</f>
        <v>Specific Content Validation Status</v>
      </c>
    </row>
    <row r="5" spans="2:3" x14ac:dyDescent="0.3">
      <c r="B5" s="363" t="str">
        <f>template_label_general_information_validation</f>
        <v>General Information</v>
      </c>
      <c r="C5" s="364"/>
    </row>
    <row r="6" spans="2:3" x14ac:dyDescent="0.3">
      <c r="B6" s="365" t="str">
        <f>template_label_information_on_the_report_necessary_for_xbrl_validation</f>
        <v>· Information on the report necessary for  XBRL</v>
      </c>
      <c r="C6" s="366"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MISSING VALUE</v>
      </c>
    </row>
    <row r="7" spans="2:3" x14ac:dyDescent="0.3">
      <c r="B7" s="367" t="str">
        <f>template_label_information_on_previous_reporting_period_validation</f>
        <v>· Information on previous reporting period</v>
      </c>
      <c r="C7" s="366"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row>
    <row r="8" spans="2:3" ht="18" x14ac:dyDescent="0.35">
      <c r="B8" s="446" t="str">
        <f>template_label_basic_module_validation</f>
        <v>Basic Module</v>
      </c>
      <c r="C8" s="368"/>
    </row>
    <row r="9" spans="2:3" x14ac:dyDescent="0.3">
      <c r="B9" s="363" t="str">
        <f>template_label_general_information_validation</f>
        <v>General Information</v>
      </c>
      <c r="C9" s="364"/>
    </row>
    <row r="10" spans="2:3" x14ac:dyDescent="0.3">
      <c r="B10" s="369" t="str">
        <f>template_label_b1_basis_for_preparation_validation</f>
        <v>· B1 - Basis for Preparation</v>
      </c>
      <c r="C10" s="366"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MISSING VALUE</v>
      </c>
    </row>
    <row r="11" spans="2:3" x14ac:dyDescent="0.3">
      <c r="B11" s="444" t="str">
        <f>template_label_basis_for_preparation_and_other_undertakings_general_information_validation</f>
        <v>Basis for Preparation and other undertaking's general information</v>
      </c>
      <c r="C11" s="366" t="str">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MISSING VALUE</v>
      </c>
    </row>
    <row r="12" spans="2:3" x14ac:dyDescent="0.3">
      <c r="B12" s="444" t="str">
        <f>template_label_list_of_subsidiaries_validation</f>
        <v>List of subsidiaries</v>
      </c>
      <c r="C12" s="366" t="str">
        <f>IF(
    COUNTIF('General Information'!F336:F435, template_label_missing_value) &gt; 0,
    template_label_missing_value,
    IF(
        COUNTIF('General Information'!F336:F435, template_label_ok) &gt; 0,
        template_label_ok,
        "-"
    )
)</f>
        <v>-</v>
      </c>
    </row>
    <row r="13" spans="2:3" x14ac:dyDescent="0.3">
      <c r="B13" s="444" t="str">
        <f>template_label_disclosure_of_sustainability_related_certifications_or_labels_validation</f>
        <v>Disclosure of sustainability-related certification(s) or label(s)</v>
      </c>
      <c r="C13" s="366" t="str">
        <f>IF(
    COUNTIF('General Information'!I441, template_label_missing_value) &gt; 0,
    template_label_missing_value,
    IF(
        COUNTIF('General Information'!I441, template_label_ok) &gt; 0,
        template_label_ok,
        "-"
    )
)</f>
        <v>-</v>
      </c>
    </row>
    <row r="14" spans="2:3" x14ac:dyDescent="0.3">
      <c r="B14" s="444" t="str">
        <f>template_label_list_of_sites_validation</f>
        <v>List of site(s)</v>
      </c>
      <c r="C14" s="366" t="str">
        <f>IF(
    COUNTIF('General Information'!I450:I549, template_label_missing_value) &gt; 0,
    template_label_missing_value,
    IF(
        COUNTIF('General Information'!I450:I549, template_label_ok) &gt; 0,
        template_label_ok,
        "-"
    )
)</f>
        <v>-</v>
      </c>
    </row>
    <row r="15" spans="2:3" x14ac:dyDescent="0.3">
      <c r="B15" s="447" t="str">
        <f>template_label_b2_practices_policies_and_future_initiatives_for_transitioning_towards_a_more_sustainable_economy_validation</f>
        <v>· B2 - Practices, policies and future initiatives for transitioning towards a more sustainable economy</v>
      </c>
      <c r="C15" s="366"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v>
      </c>
    </row>
    <row r="16" spans="2:3" x14ac:dyDescent="0.3">
      <c r="B16" s="444" t="str">
        <f>template_label_practices_policies_and_future_initiatives_for_transitioning_towards_a_more_sustainable_economy_validation</f>
        <v>Practices, policies and future initiatives for transitioning towards a more sustainable economy</v>
      </c>
      <c r="C16" s="366" t="str">
        <f>IF(
    COUNTIF('General Information'!P556, template_label_missing_value) &gt; 0,
    template_label_missing_value,
    IF(
        COUNTIF('General Information'!P556, template_label_ok) &gt; 0,
        template_label_ok,
        "-"
    )
)</f>
        <v>-</v>
      </c>
    </row>
    <row r="17" spans="2:3" x14ac:dyDescent="0.3">
      <c r="B17" s="444" t="str">
        <f>template_label_cooperative_specific_disclosures_validation</f>
        <v>Cooperative specific disclosures</v>
      </c>
      <c r="C17" s="366" t="str" cm="1">
        <f t="array" ref="C17">IF(OR('General Information'!E560:E562=template_label_ok),template_label_ok,"-")</f>
        <v>-</v>
      </c>
    </row>
    <row r="18" spans="2:3" x14ac:dyDescent="0.3">
      <c r="B18" s="370" t="str">
        <f>template_label_environmental_disclosures_validation</f>
        <v>Environmental Disclosures</v>
      </c>
      <c r="C18" s="364"/>
    </row>
    <row r="19" spans="2:3" x14ac:dyDescent="0.3">
      <c r="B19" s="449" t="str">
        <f>template_label_b3_energy_and_greenhouse_gas_emissions_validation</f>
        <v>· B3 - Energy and greenhouse gas emissions</v>
      </c>
      <c r="C19" s="366"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v>
      </c>
    </row>
    <row r="20" spans="2:3" x14ac:dyDescent="0.3">
      <c r="B20" s="448" t="str">
        <f>template_label_total_energy_consumption_in_mwh_validation</f>
        <v>Total Energy Consumption (in MWh)</v>
      </c>
      <c r="C20" s="366" t="str">
        <f>IF(COUNTIF('Environmental Disclosures'!L5,template_label_missing_value)&gt;0,template_label_missing_value,
IF(COUNTIF('Environmental Disclosures'!L5,template_label_ok)&gt;0,template_label_ok,"-"))</f>
        <v>-</v>
      </c>
    </row>
    <row r="21" spans="2:3" x14ac:dyDescent="0.3">
      <c r="B21" s="448" t="str">
        <f>template_label_breakdown_of_energy_consumption_in_mwh_validation</f>
        <v>Breakdown of energy consumption (in MWh)</v>
      </c>
      <c r="C21" s="371"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x14ac:dyDescent="0.3">
      <c r="B22" s="448" t="str">
        <f>template_label_estimated_greenhouse_gas_emissions_considering_the_ghg_protocol_version_2004_in_tco2e_validation</f>
        <v>Estimated Greenhouse Gas Emissions considering the GHG Protocol Version 2004 (in tCO2e)</v>
      </c>
      <c r="C22" s="366" t="str">
        <f>IF(COUNTIF('Environmental Disclosures'!L21:L44,template_label_missing_value)&gt;0,template_label_missing_value,
IF(COUNTIF('Environmental Disclosures'!L21:L44,template_label_ok)&gt;0,template_label_ok,"-"))</f>
        <v>-</v>
      </c>
    </row>
    <row r="23" spans="2:3" x14ac:dyDescent="0.3">
      <c r="B23" s="448" t="str">
        <f>template_label_greenhouse_gas_emission_intensity_per_turnover_validation</f>
        <v>Greenhouse gas emission intensity per turnover</v>
      </c>
      <c r="C23" s="371" t="str">
        <f>IF(C22=template_label_ok,template_label_ok,"-")</f>
        <v>-</v>
      </c>
    </row>
    <row r="24" spans="2:3" x14ac:dyDescent="0.3">
      <c r="B24" s="365" t="str">
        <f>template_label_b4_pollution_of_air_water_and_soil_validation</f>
        <v>· B4 - Pollution of air, water and soil</v>
      </c>
      <c r="C24" s="366" t="str">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v>
      </c>
    </row>
    <row r="25" spans="2:3" x14ac:dyDescent="0.3">
      <c r="B25" s="365" t="str">
        <f>template_label_b5_biodiversity_validation</f>
        <v>· B5 - Biodiversity</v>
      </c>
      <c r="C25" s="366"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v>
      </c>
    </row>
    <row r="26" spans="2:3" x14ac:dyDescent="0.3">
      <c r="B26" s="448" t="str">
        <f>template_label_sites_in_biodiversity_sensitive_areas_validation</f>
        <v>Sites in biodiversity sensitive areas</v>
      </c>
      <c r="C26" s="366" t="str">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v>
      </c>
    </row>
    <row r="27" spans="2:3" x14ac:dyDescent="0.3">
      <c r="B27" s="448" t="str">
        <f>template_label_biodiversity_land_use_validation</f>
        <v>Biodiversity - Land-use</v>
      </c>
      <c r="C27" s="366" t="str">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v>
      </c>
    </row>
    <row r="28" spans="2:3" x14ac:dyDescent="0.3">
      <c r="B28" s="365" t="str">
        <f>template_label_b6_water_validation</f>
        <v>· B6 - Water</v>
      </c>
      <c r="C28" s="366"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v>
      </c>
    </row>
    <row r="29" spans="2:3" x14ac:dyDescent="0.3">
      <c r="B29" s="448" t="str">
        <f>template_label_water_withdrawal_validation</f>
        <v>Water Withdrawal</v>
      </c>
      <c r="C29" s="366" t="str">
        <f>IF(COUNTIF('Environmental Disclosures'!E303:F304, template_label_missing_value) &gt; 0,
    template_label_missing_value,
    IF(COUNTIF('Environmental Disclosures'!E303:F304, template_label_ok) &gt; 0,
        template_label_ok,
        "-"))</f>
        <v>-</v>
      </c>
    </row>
    <row r="30" spans="2:3" x14ac:dyDescent="0.3">
      <c r="B30" s="448" t="str">
        <f>template_label_water_consumption_validation</f>
        <v>Water Consumption</v>
      </c>
      <c r="C30" s="366" t="str">
        <f>IF(COUNTIF('Environmental Disclosures'!E310:F310, template_label_missing_value) &gt; 0,
    template_label_missing_value,
    IF(COUNTIF('Environmental Disclosures'!E310:F310, template_label_ok) &gt; 0,
        template_label_ok,
        "-"))</f>
        <v>-</v>
      </c>
    </row>
    <row r="31" spans="2:3" x14ac:dyDescent="0.3">
      <c r="B31" s="365" t="str">
        <f>template_label_b7_resource_use_circular_economy_and_waste_management_validation</f>
        <v>· B7 - Resource use, circular economy and waste management</v>
      </c>
      <c r="C31" s="366"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v>
      </c>
    </row>
    <row r="32" spans="2:3" x14ac:dyDescent="0.3">
      <c r="B32" s="448" t="str">
        <f>template_label_description_of_circular_economy_principles_validation</f>
        <v>Description of circular economy principles</v>
      </c>
      <c r="C32" s="366" t="str">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v>
      </c>
    </row>
    <row r="33" spans="2:3" x14ac:dyDescent="0.3">
      <c r="B33" s="448" t="str">
        <f>template_label_waste_generated_validation</f>
        <v>Waste generated</v>
      </c>
      <c r="C33" s="366" t="str">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v>
      </c>
    </row>
    <row r="34" spans="2:3" x14ac:dyDescent="0.3">
      <c r="B34" s="448" t="str">
        <f>template_label_annual_mass_flow_of_relevant_materials_used_validation</f>
        <v>Annual mass-flow of relevant materials used</v>
      </c>
      <c r="C34" s="366" t="str">
        <f>IF(COUNTIF('Environmental Disclosures'!K435:K534, template_label_missing_value) &gt; 0,
    template_label_missing_value,
    IF(COUNTIF('Environmental Disclosures'!K435:K534, template_label_ok) &gt; 0,
        template_label_ok,
        "-"))</f>
        <v>-</v>
      </c>
    </row>
    <row r="35" spans="2:3" x14ac:dyDescent="0.3">
      <c r="B35" s="370" t="str">
        <f>template_label_social_disclosures_validation</f>
        <v>Social Disclosures</v>
      </c>
      <c r="C35" s="364"/>
    </row>
    <row r="36" spans="2:3" x14ac:dyDescent="0.3">
      <c r="B36" s="449" t="str">
        <f>template_label_b8_workforce_general_characteristics_validation</f>
        <v>· B8 - Workforce - General characteristics</v>
      </c>
      <c r="C36" s="366"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v>
      </c>
    </row>
    <row r="37" spans="2:3" x14ac:dyDescent="0.3">
      <c r="B37" s="448" t="str">
        <f>template_label_type_of_contract_validation</f>
        <v>Type of contract</v>
      </c>
      <c r="C37" s="366" t="str">
        <f>IF(COUNTIF('Social Disclosures'!H10, template_label_missing_value) &gt; 0,
    template_label_missing_value,
    IF(COUNTIF('Social Disclosures'!H10, template_label_ok) &gt; 0,
        template_label_ok,
        "-"))</f>
        <v>-</v>
      </c>
    </row>
    <row r="38" spans="2:3" x14ac:dyDescent="0.3">
      <c r="B38" s="448" t="str">
        <f>template_label_gender_validation</f>
        <v>Gender</v>
      </c>
      <c r="C38" s="366" t="str">
        <f>IF(COUNTIF('Social Disclosures'!H18:H21, template_label_missing_value) &gt; 0,
    template_label_missing_value,
    IF(COUNTIF('Social Disclosures'!H18:H21, template_label_ok) &gt; 0,
        template_label_ok,
        "-"))</f>
        <v>-</v>
      </c>
    </row>
    <row r="39" spans="2:3" x14ac:dyDescent="0.3">
      <c r="B39" s="448" t="str">
        <f>template_label_country_of_employment_validation</f>
        <v>Country of employment</v>
      </c>
      <c r="C39" s="366" t="str">
        <f>IF(COUNTIF('Social Disclosures'!I29:I128, template_label_missing_value) &gt; 0,
    template_label_missing_value,
    IF(COUNTIF('Social Disclosures'!I29:I128, template_label_ok) &gt; 0,
        template_label_ok,
        "-"))</f>
        <v>-</v>
      </c>
    </row>
    <row r="40" spans="2:3" x14ac:dyDescent="0.3">
      <c r="B40" s="448" t="str">
        <f>template_label_turnover_rate_validation</f>
        <v>Turnover rate</v>
      </c>
      <c r="C40" s="366" t="str">
        <f>IF(COUNTIF('Social Disclosures'!I134:I136, template_label_missing_value) &gt; 0,
    template_label_missing_value,
    IF(COUNTIF('Social Disclosures'!I134:I136, template_label_ok) &gt; 0,
        template_label_ok,
        "-"))</f>
        <v>-</v>
      </c>
    </row>
    <row r="41" spans="2:3" x14ac:dyDescent="0.3">
      <c r="B41" s="365" t="str">
        <f>template_label_b9_workforce_health_and_safety_validation</f>
        <v>· B9 - Workforce – Health and safety</v>
      </c>
      <c r="C41" s="366" t="str">
        <f>IF(COUNTIF('Social Disclosures'!I140:I144, template_label_missing_value) &gt; 0,
    template_label_missing_value,
    IF(COUNTIF('Social Disclosures'!I140:I144, template_label_ok) &gt; 0,
        template_label_ok,
        "-"))</f>
        <v>-</v>
      </c>
    </row>
    <row r="42" spans="2:3" x14ac:dyDescent="0.3">
      <c r="B42" s="367" t="str">
        <f>template_label_b10_workforce_remuneration_collective_bargaining_and_training_validation</f>
        <v>· B10 - Workforce – Remuneration, collective bargaining and training</v>
      </c>
      <c r="C42" s="366" t="str">
        <f>IF(COUNTIF('Social Disclosures'!I157:I160, template_label_missing_value) &gt; 0,
    template_label_missing_value,
    IF(COUNTIF('Social Disclosures'!I157:I160, template_label_ok) &gt; 0,
        template_label_ok,
        "-"))</f>
        <v>-</v>
      </c>
    </row>
    <row r="43" spans="2:3" x14ac:dyDescent="0.3">
      <c r="B43" s="370" t="str">
        <f>template_label_governance_disclosures_validation</f>
        <v>Governance Disclosures</v>
      </c>
      <c r="C43" s="364"/>
    </row>
    <row r="44" spans="2:3" x14ac:dyDescent="0.3">
      <c r="B44" s="367" t="str">
        <f>template_label_b11_convictions_and_fines_for_corruption_and_bribery_validation</f>
        <v>· B11 - Convictions and fines for corruption and bribery</v>
      </c>
      <c r="C44" s="366" t="str">
        <f>IF(COUNTIF('Governance Disclosures'!I6:I7, template_label_missing_value) &gt; 0,
    template_label_missing_value,
    IF(COUNTIF('Governance Disclosures'!I6:I7, template_label_ok) &gt; 0,
        template_label_ok,
        "-"))</f>
        <v>-</v>
      </c>
    </row>
    <row r="45" spans="2:3" ht="18" x14ac:dyDescent="0.35">
      <c r="B45" s="446" t="str">
        <f>template_label_comprehensive_module_validation</f>
        <v>Comprehensive Module</v>
      </c>
      <c r="C45" s="368"/>
    </row>
    <row r="46" spans="2:3" x14ac:dyDescent="0.3">
      <c r="B46" s="363" t="str">
        <f>template_label_general_information_validation</f>
        <v>General Information</v>
      </c>
      <c r="C46" s="364"/>
    </row>
    <row r="47" spans="2:3" x14ac:dyDescent="0.3">
      <c r="B47" s="447" t="str">
        <f>template_label_c1_strategy_business_model_and_sustainability_related_initiatives_validation</f>
        <v>· C1 - Strategy: Business Model and Sustainability – Related Initiatives</v>
      </c>
      <c r="C47" s="366" t="str">
        <f>IF(COUNTIF('General Information'!H571:H577, template_label_missing_value) &gt; 0,
    template_label_missing_value,
    IF(COUNTIF('General Information'!H571:H577, template_label_ok) &gt; 0,
        template_label_ok,
        "-"))</f>
        <v>-</v>
      </c>
    </row>
    <row r="48" spans="2:3" x14ac:dyDescent="0.3">
      <c r="B48" s="447" t="str">
        <f>template_label_c2_description_of_practices_policies_and_future_initiatives_for_transitioning_towards_a_more_sustainable_economy_validation</f>
        <v>· C2 - Description of practices, policies and future initiatives for transitioning towards a more sustainable economy</v>
      </c>
      <c r="C48" s="366" t="str">
        <f>IF(COUNTIF('General Information'!H565:H567, template_label_missing_value) &gt; 0,
    template_label_missing_value,
    IF(COUNTIF('General Information'!H565:H567, template_label_ok) &gt; 0,
        template_label_ok,
        "-"))</f>
        <v>-</v>
      </c>
    </row>
    <row r="49" spans="2:3" x14ac:dyDescent="0.3">
      <c r="B49" s="370" t="str">
        <f>template_label_environmental_disclosures_validation</f>
        <v>Environmental Disclosures</v>
      </c>
      <c r="C49" s="364"/>
    </row>
    <row r="50" spans="2:3" x14ac:dyDescent="0.3">
      <c r="B50" s="449" t="str">
        <f>template_label_c3_ghg_reduction_targets_and_climate_transition_validation</f>
        <v>· C3 - GHG reduction targets and climate transition</v>
      </c>
      <c r="C50" s="366"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v>
      </c>
    </row>
    <row r="51" spans="2:3" x14ac:dyDescent="0.3">
      <c r="B51" s="448" t="str">
        <f>template_label_ghg_reduction_targets_in_tc02e_validation</f>
        <v>GHG reduction targets (in tC02e)</v>
      </c>
      <c r="C51" s="366" t="str">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v>
      </c>
    </row>
    <row r="52" spans="2:3" x14ac:dyDescent="0.3">
      <c r="B52" s="448" t="str">
        <f>template_label_disclosure_of_list_of_main_actions_the_entity_seeks_in_order_to_achieve_its_targets_validation</f>
        <v>Disclosure of list of main actions the entity seeks in order  to achieve its targets</v>
      </c>
      <c r="C52" s="366" t="str">
        <f>IF(COUNTIF('Environmental Disclosures'!L52, template_label_missing_value) &gt; 0,
    template_label_missing_value,
    IF(COUNTIF('Environmental Disclosures'!L52, template_label_ok) &gt; 0,
        template_label_ok,
        "-"))</f>
        <v>-</v>
      </c>
    </row>
    <row r="53" spans="2:3" x14ac:dyDescent="0.3">
      <c r="B53" s="448" t="str">
        <f>template_label_transition_plan_for_undertakings_operating_in_high_climate_impact_sectors_validation</f>
        <v>Transition plan for undertakings operating in high climate impact sectors</v>
      </c>
      <c r="C53" s="366"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v>
      </c>
    </row>
    <row r="54" spans="2:3" x14ac:dyDescent="0.3">
      <c r="B54" s="365" t="str">
        <f>template_label_c4_climate_risks_validation</f>
        <v>· C4 - Climate risks</v>
      </c>
      <c r="C54" s="366" t="str">
        <f>IF(COUNTIF('Environmental Disclosures'!L540:L544, template_label_missing_value) &gt; 0,
    template_label_missing_value,
    IF(COUNTIF('Environmental Disclosures'!L540:L544, template_label_ok) &gt; 0,
        template_label_ok,
        "-"))</f>
        <v>-</v>
      </c>
    </row>
    <row r="55" spans="2:3" x14ac:dyDescent="0.3">
      <c r="B55" s="370" t="str">
        <f>template_label_social_disclosures_validation</f>
        <v>Social Disclosures</v>
      </c>
      <c r="C55" s="364"/>
    </row>
    <row r="56" spans="2:3" x14ac:dyDescent="0.3">
      <c r="B56" s="365" t="str">
        <f>template_label_c5_additional_general_workforce_characteristics_validation</f>
        <v>· C5 - Additional (general) workforce characteristics</v>
      </c>
      <c r="C56" s="366" t="str">
        <f>IF(COUNTIF('Social Disclosures'!I165:I169, template_label_ok) &gt; 0,
    template_label_ok,
    "-")</f>
        <v>-</v>
      </c>
    </row>
    <row r="57" spans="2:3" x14ac:dyDescent="0.3">
      <c r="B57" s="365" t="str">
        <f>template_label_c6_additional_own_workforce_information_human_rights_policies_and_processes_validation</f>
        <v>· C6 - Additional own workforce information - Human rights policies and processes</v>
      </c>
      <c r="C57" s="366" t="str">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v>
      </c>
    </row>
    <row r="58" spans="2:3" x14ac:dyDescent="0.3">
      <c r="B58" s="367" t="str">
        <f>template_label_c7_severe_negative_human_rights_incidents_validation</f>
        <v>· C7 - Severe negative human rights incidents</v>
      </c>
      <c r="C58" s="372" t="str">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v>
      </c>
    </row>
    <row r="59" spans="2:3" x14ac:dyDescent="0.3">
      <c r="B59" s="373" t="str">
        <f>template_label_governance_disclosures_validation</f>
        <v>Governance Disclosures</v>
      </c>
      <c r="C59" s="368"/>
    </row>
    <row r="60" spans="2:3" x14ac:dyDescent="0.3">
      <c r="B60" s="369" t="str">
        <f>template_label_c8_revenues_from_certain_sectors_and_exclusion_from_eu_reference_benchmarks_validation</f>
        <v>· C8 - Revenues from certain activities and exclusion from EU reference benchmarks</v>
      </c>
      <c r="C60" s="366"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v>
      </c>
    </row>
    <row r="61" spans="2:3" x14ac:dyDescent="0.3">
      <c r="B61" s="444" t="str">
        <f>template_label_revenues_from_certain_sectors_validation</f>
        <v>Revenues from certain activities</v>
      </c>
      <c r="C61" s="366" t="str">
        <f>IF(COUNTIF('Governance Disclosures'!I12:I18, template_label_value_inconsistency) &gt; 0,
    template_label_value_inconsistency,
    IF(COUNTIF('Governance Disclosures'!I12:I18, template_label_ok) &gt; 0,
        template_label_ok,
        "-"))</f>
        <v>-</v>
      </c>
    </row>
    <row r="62" spans="2:3" x14ac:dyDescent="0.3">
      <c r="B62" s="444" t="str">
        <f>template_label_exclusion_from_eu_reference_benchmarks_validation</f>
        <v>Exclusion from EU reference benchmarks</v>
      </c>
      <c r="C62" s="366" t="str">
        <f>IF(COUNTIF('Governance Disclosures'!I22:I26, template_label_missing_value) &gt; 0,
    template_label_missing_value,
    IF(COUNTIF('Governance Disclosures'!I22:I26, template_label_ok) &gt; 0,
        template_label_ok,
        "-"))</f>
        <v>-</v>
      </c>
    </row>
    <row r="63" spans="2:3" x14ac:dyDescent="0.3">
      <c r="B63" s="450" t="str">
        <f>template_label_c9_gender_diversity_ratio_in_the_governance_body_validation</f>
        <v>· C9 - Gender diversity ratio in the governance body</v>
      </c>
      <c r="C63" s="372" t="str">
        <f>IF(COUNTIF('Governance Disclosures'!I31:I32, template_label_missing_value) &gt; 0,
    template_label_missing_value,
    IF(COUNTIF('Governance Disclosures'!I31:I32, template_label_ok) &gt; 0,
        template_label_ok,
        "-"))</f>
        <v>-</v>
      </c>
    </row>
    <row r="64" spans="2:3" x14ac:dyDescent="0.3">
      <c r="B64" s="374" t="str">
        <f>template_label_additional_disclosures_validation</f>
        <v>Additional Disclosures</v>
      </c>
      <c r="C64" s="368"/>
    </row>
    <row r="65" spans="2:3" x14ac:dyDescent="0.3">
      <c r="B65" s="447" t="str">
        <f>template_label_disclosure_of_any_other_general_and_or_entity_specific_information_on_the_reporting_period_validation</f>
        <v>· Disclosure of any other general and/or entity specific information on the reporting period</v>
      </c>
      <c r="C65" s="372" t="str">
        <f>IF('General Information'!I581 = template_label_ok, template_label_ok, "")</f>
        <v/>
      </c>
    </row>
    <row r="66" spans="2:3" x14ac:dyDescent="0.3">
      <c r="B66" s="367" t="str">
        <f>template_label_disclosure_of_any_other_environmental_and_or_entity_specific_environmental_disclosures_validation</f>
        <v>· Disclosure of any other environmental and/or entity specific environmental disclosures</v>
      </c>
      <c r="C66" s="372" t="str">
        <f>IF('Environmental Disclosures'!M548 = template_label_ok, template_label_ok, "")</f>
        <v/>
      </c>
    </row>
    <row r="67" spans="2:3" x14ac:dyDescent="0.3">
      <c r="B67" s="367" t="str">
        <f>template_label_disclosure_of_any_other_social_and_or_entity_specific_social_disclosures_validation</f>
        <v>· Disclosure of any other social and/or entity specific social disclosures</v>
      </c>
      <c r="C67" s="372" t="str">
        <f>IF('Social Disclosures'!I200 = template_label_ok, template_label_ok, "")</f>
        <v/>
      </c>
    </row>
    <row r="68" spans="2:3" ht="15" thickBot="1" x14ac:dyDescent="0.35">
      <c r="B68" s="451" t="str">
        <f>template_label_disclosure_of_any_other_governance_and_or_entity_specific_governance_disclosures_validation</f>
        <v>· Disclosure of any other governance and/or entity specific governance disclosures</v>
      </c>
      <c r="C68" s="375" t="str">
        <f>IF('Governance Disclosures'!I38 = template_label_ok, template_label_ok, "")</f>
        <v/>
      </c>
    </row>
  </sheetData>
  <sheetProtection algorithmName="SHA-512" hashValue="HEwPngAFFNIgKnoo9OgRZtHn73mfTkNeXQF0RwYX3m2BC1aPVUCyI2cijAz4KxeVrGLZISkwvTIj/O0rADyItQ==" saltValue="8bPGFLd161ctQdoSXWqg9A==" spinCount="100000" sheet="1" formatColumns="0" formatRows="0"/>
  <conditionalFormatting sqref="B3">
    <cfRule type="expression" dxfId="335" priority="371">
      <formula>B$44="INCOMPLETE"</formula>
    </cfRule>
    <cfRule type="expression" dxfId="334" priority="372">
      <formula>B$44="COMPLETE"</formula>
    </cfRule>
  </conditionalFormatting>
  <conditionalFormatting sqref="C2">
    <cfRule type="expression" dxfId="333" priority="12">
      <formula>C$58="INCOMPLETE"</formula>
    </cfRule>
    <cfRule type="expression" dxfId="332" priority="13">
      <formula>C$58="COMPLETE"</formula>
    </cfRule>
  </conditionalFormatting>
  <conditionalFormatting sqref="C3">
    <cfRule type="expression" dxfId="331" priority="10">
      <formula>$C$3=template_label_incomplete</formula>
    </cfRule>
    <cfRule type="expression" dxfId="330" priority="11">
      <formula>$C$3=template_label_complete</formula>
    </cfRule>
  </conditionalFormatting>
  <conditionalFormatting sqref="C6:C8 C10:C45 C47:C68">
    <cfRule type="expression" dxfId="329" priority="1">
      <formula>$C6=template_label_value_inconsistency</formula>
    </cfRule>
    <cfRule type="expression" dxfId="328" priority="2">
      <formula>$C6=template_label_invalid_url</formula>
    </cfRule>
    <cfRule type="expression" dxfId="327" priority="3">
      <formula>$C6=template_label_error_plus_missing_value_plus_value_inconsistency</formula>
    </cfRule>
    <cfRule type="expression" dxfId="326" priority="4">
      <formula>$C6=template_label_error_plus_value_inconsistency</formula>
    </cfRule>
    <cfRule type="expression" dxfId="325" priority="5">
      <formula>$C6=template_label_error_plus_missing_value</formula>
    </cfRule>
    <cfRule type="expression" dxfId="324" priority="6">
      <formula>$C6=template_label_missing_value_plus_value_inconsistency</formula>
    </cfRule>
    <cfRule type="expression" dxfId="323" priority="7">
      <formula>$C6=template_label_missing_value</formula>
    </cfRule>
    <cfRule type="expression" dxfId="322" priority="8">
      <formula>$C6=template_label_error</formula>
    </cfRule>
    <cfRule type="expression" dxfId="321"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81"/>
  <sheetViews>
    <sheetView showGridLines="0" zoomScaleNormal="100" workbookViewId="0"/>
  </sheetViews>
  <sheetFormatPr defaultColWidth="8.88671875" defaultRowHeight="14.4" outlineLevelRow="2" x14ac:dyDescent="0.3"/>
  <cols>
    <col min="1" max="2" width="10" bestFit="1" customWidth="1"/>
    <col min="3" max="3" width="54.88671875" customWidth="1"/>
    <col min="4" max="4" width="56.33203125" customWidth="1"/>
    <col min="5" max="5" width="41.33203125" customWidth="1"/>
    <col min="6" max="6" width="23.6640625" style="2" bestFit="1" customWidth="1"/>
    <col min="7" max="7" width="13.5546875" bestFit="1" customWidth="1"/>
    <col min="8" max="8" width="91.6640625" customWidth="1"/>
    <col min="9" max="9" width="13.33203125" bestFit="1"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6" t="str">
        <f>template_label_paragraph_reference</f>
        <v>Paragraph Reference</v>
      </c>
      <c r="B1" s="386" t="str">
        <f>template_label_paragraph_guidance_reference</f>
        <v>Paragraph Guidance Reference</v>
      </c>
    </row>
    <row r="2" spans="1:11" ht="14.4" customHeight="1" x14ac:dyDescent="0.3">
      <c r="A2" s="88"/>
      <c r="B2" s="88"/>
      <c r="C2" s="593" t="str">
        <f>template_label_information_on_the_report_necessary_for_xbrl &amp; " " &amp; template_label_always_to_be_reported</f>
        <v>Information on the report necessary for  XBRL [Always to be reported]</v>
      </c>
      <c r="D2" s="594"/>
      <c r="E2" s="595"/>
    </row>
    <row r="3" spans="1:11" ht="14.4" customHeight="1" x14ac:dyDescent="0.3">
      <c r="A3" s="88"/>
      <c r="B3" s="88"/>
      <c r="C3" s="124" t="str">
        <f>template_label_name_of_the_reporting_entity</f>
        <v>Name of the reporting entity</v>
      </c>
      <c r="D3" s="606"/>
      <c r="E3" s="607"/>
      <c r="F3" s="11" t="str">
        <f>IF(D3 = "", template_label_missing_value, template_label_ok)</f>
        <v>MISSING VALUE</v>
      </c>
    </row>
    <row r="4" spans="1:11" ht="14.4" customHeight="1" x14ac:dyDescent="0.3">
      <c r="A4" s="88"/>
      <c r="B4" s="88"/>
      <c r="C4" s="124" t="str">
        <f>template_label_identifier_of_the_reporting_entity</f>
        <v>Identifier of the reporting entity (select and specify on the right)</v>
      </c>
      <c r="D4" s="385"/>
      <c r="E4" s="56"/>
      <c r="F4" s="11" t="str">
        <f>IF(OR(D4 = "", E4 = ""), template_label_missing_value, template_label_ok)</f>
        <v>MISSING VALUE</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08"/>
      <c r="E5" s="609"/>
      <c r="F5" s="11" t="str">
        <f>IF(D5 = "", template_label_missing_value, template_label_ok)</f>
        <v>MISSING VALUE</v>
      </c>
      <c r="H5" s="52"/>
    </row>
    <row r="6" spans="1:11" ht="14.4" customHeight="1" x14ac:dyDescent="0.3">
      <c r="C6" s="245" t="str">
        <f>template_label_starting_year</f>
        <v>Starting year</v>
      </c>
      <c r="D6" s="610"/>
      <c r="E6" s="611"/>
      <c r="F6" s="647"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MISSING VALUE</v>
      </c>
      <c r="G6" s="614" t="str">
        <f>template_label_date_warning</f>
        <v>ℹ️ If VALUE INCONSISTENCY message appears on the right, please ensure that the reporting period end date is greater than the reporting period start date.</v>
      </c>
      <c r="H6" s="614"/>
      <c r="I6" s="614"/>
      <c r="J6" s="614"/>
      <c r="K6" s="614"/>
    </row>
    <row r="7" spans="1:11" ht="14.4" customHeight="1" x14ac:dyDescent="0.3">
      <c r="C7" s="140" t="str">
        <f>template_label_starting_month</f>
        <v>Starting month</v>
      </c>
      <c r="D7" s="612"/>
      <c r="E7" s="613"/>
      <c r="F7" s="647"/>
      <c r="G7" s="614"/>
      <c r="H7" s="614"/>
      <c r="I7" s="614"/>
      <c r="J7" s="614"/>
      <c r="K7" s="614"/>
    </row>
    <row r="8" spans="1:11" ht="14.4" customHeight="1" x14ac:dyDescent="0.3">
      <c r="C8" s="140" t="str">
        <f>template_label_starting_day</f>
        <v>Starting day</v>
      </c>
      <c r="D8" s="648"/>
      <c r="E8" s="649"/>
      <c r="F8" s="647"/>
      <c r="G8" s="614"/>
      <c r="H8" s="614"/>
      <c r="I8" s="614"/>
      <c r="J8" s="614"/>
      <c r="K8" s="614"/>
    </row>
    <row r="9" spans="1:11" ht="14.4" customHeight="1" thickBot="1" x14ac:dyDescent="0.35">
      <c r="C9" s="121" t="str">
        <f>template_label_reporting_period_start_date</f>
        <v>Reporting period start date (yyyy-mm-dd)</v>
      </c>
      <c r="D9" s="620" t="str">
        <f>IF(OR(ISBLANK(D6), ISBLANK(D7), ISBLANK(D8)), "-", D6 &amp; "-" &amp; TEXT(D7, "00") &amp; "-" &amp; TEXT(D8, "00"))</f>
        <v>-</v>
      </c>
      <c r="E9" s="621"/>
      <c r="F9"/>
      <c r="H9" s="52"/>
    </row>
    <row r="10" spans="1:11" ht="14.4" customHeight="1" x14ac:dyDescent="0.3">
      <c r="C10" s="245" t="str">
        <f>template_label_ending_year</f>
        <v>Ending year</v>
      </c>
      <c r="D10" s="610"/>
      <c r="E10" s="611"/>
      <c r="F10" s="647"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MISSING VALUE</v>
      </c>
      <c r="G10" s="614" t="str">
        <f>template_label_date_warning</f>
        <v>ℹ️ If VALUE INCONSISTENCY message appears on the right, please ensure that the reporting period end date is greater than the reporting period start date.</v>
      </c>
      <c r="H10" s="614"/>
      <c r="I10" s="614"/>
      <c r="J10" s="614"/>
      <c r="K10" s="614"/>
    </row>
    <row r="11" spans="1:11" ht="14.4" customHeight="1" x14ac:dyDescent="0.3">
      <c r="C11" s="140" t="str">
        <f>template_label_ending_month</f>
        <v>Ending month</v>
      </c>
      <c r="D11" s="622"/>
      <c r="E11" s="623"/>
      <c r="F11" s="647"/>
      <c r="G11" s="614"/>
      <c r="H11" s="614"/>
      <c r="I11" s="614"/>
      <c r="J11" s="614"/>
      <c r="K11" s="614"/>
    </row>
    <row r="12" spans="1:11" ht="14.4" customHeight="1" x14ac:dyDescent="0.3">
      <c r="C12" s="140" t="s">
        <v>3060</v>
      </c>
      <c r="D12" s="624"/>
      <c r="E12" s="625"/>
      <c r="F12" s="647"/>
      <c r="G12" s="614"/>
      <c r="H12" s="614"/>
      <c r="I12" s="614"/>
      <c r="J12" s="614"/>
      <c r="K12" s="614"/>
    </row>
    <row r="13" spans="1:11" ht="14.4" customHeight="1" thickBot="1" x14ac:dyDescent="0.35">
      <c r="A13" s="88"/>
      <c r="B13" s="88"/>
      <c r="C13" s="121" t="str">
        <f>template_label_reporting_period_end_date</f>
        <v>Reporting period end date  (yyyy-mm-dd)</v>
      </c>
      <c r="D13" s="620" t="str">
        <f>IF(OR(ISBLANK(D10), ISBLANK(D11), ISBLANK(D12)), "-", D10 &amp; "-" &amp; TEXT(D11, "00") &amp; "-" &amp; TEXT(D12, "00"))</f>
        <v>-</v>
      </c>
      <c r="E13" s="621"/>
      <c r="F13" s="11"/>
    </row>
    <row r="14" spans="1:11" x14ac:dyDescent="0.3">
      <c r="A14" s="88"/>
      <c r="B14" s="88"/>
      <c r="C14" s="89"/>
      <c r="D14" s="89"/>
      <c r="E14" s="90"/>
      <c r="F14" s="11"/>
    </row>
    <row r="15" spans="1:11" ht="15" customHeight="1" thickBot="1" x14ac:dyDescent="0.35">
      <c r="A15" s="88"/>
      <c r="B15" s="88"/>
      <c r="E15" s="12"/>
    </row>
    <row r="16" spans="1:11" x14ac:dyDescent="0.3">
      <c r="A16" s="91"/>
      <c r="B16" s="88"/>
      <c r="C16" s="598" t="str">
        <f>template_label_information_on_previous_reporting_period</f>
        <v>Information on previous reporting period</v>
      </c>
      <c r="D16" s="599"/>
      <c r="E16" s="600"/>
    </row>
    <row r="17" spans="1:7" x14ac:dyDescent="0.3">
      <c r="A17" s="91"/>
      <c r="B17" s="88"/>
      <c r="C17" s="603">
        <v>16</v>
      </c>
      <c r="D17" s="604"/>
      <c r="E17" s="605"/>
      <c r="F17" s="246"/>
    </row>
    <row r="18" spans="1:7" ht="14.4" customHeight="1" x14ac:dyDescent="0.3">
      <c r="C18" s="549" t="str">
        <f>template_label_disclosures_from_the_previous_reporting_period_that_remain_unchanged</f>
        <v>This report contains disclosures from the previous reporting period that remain unchanged</v>
      </c>
      <c r="D18" s="550"/>
      <c r="E18" s="57" t="b">
        <v>0</v>
      </c>
      <c r="F18" s="11" t="str">
        <f>IF(E18 = FALSE, "", template_label_ok)</f>
        <v/>
      </c>
    </row>
    <row r="19" spans="1:7" ht="14.4" customHeight="1" x14ac:dyDescent="0.3">
      <c r="C19" s="626" t="str">
        <f>template_label_disclosures_for_which_no_changes_are_reported_compared_to_the_previous_period_reporting</f>
        <v>List of disclosures for which no changes are reported compared to the previous period reporting</v>
      </c>
      <c r="D19" s="627"/>
      <c r="E19" s="58"/>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1:7" ht="14.4" customHeight="1" x14ac:dyDescent="0.3">
      <c r="C20" s="628"/>
      <c r="D20" s="629"/>
      <c r="E20" s="59"/>
      <c r="F20" s="11" t="str">
        <f t="shared" ref="F20:F27" si="0">IF($E$18 = FALSE, "",
IF(E20 = "", "",
IF(COUNTIF($E$19:$E$118, E20) &gt; 1, template_label_value_inconsistency, template_label_ok)))</f>
        <v/>
      </c>
    </row>
    <row r="21" spans="1:7" ht="14.4" customHeight="1" x14ac:dyDescent="0.3">
      <c r="C21" s="628"/>
      <c r="D21" s="629"/>
      <c r="E21" s="59"/>
      <c r="F21" s="11" t="str">
        <f t="shared" si="0"/>
        <v/>
      </c>
    </row>
    <row r="22" spans="1:7" ht="14.4" hidden="1" customHeight="1" outlineLevel="2" x14ac:dyDescent="0.3">
      <c r="C22" s="628"/>
      <c r="D22" s="629"/>
      <c r="E22" s="59"/>
      <c r="F22" s="11" t="str">
        <f t="shared" si="0"/>
        <v/>
      </c>
    </row>
    <row r="23" spans="1:7" ht="14.4" hidden="1" customHeight="1" outlineLevel="2" x14ac:dyDescent="0.3">
      <c r="C23" s="628"/>
      <c r="D23" s="629"/>
      <c r="E23" s="59"/>
      <c r="F23" s="11" t="str">
        <f t="shared" si="0"/>
        <v/>
      </c>
    </row>
    <row r="24" spans="1:7" ht="14.4" hidden="1" customHeight="1" outlineLevel="2" x14ac:dyDescent="0.3">
      <c r="C24" s="628"/>
      <c r="D24" s="629"/>
      <c r="E24" s="59"/>
      <c r="F24" s="11" t="str">
        <f t="shared" si="0"/>
        <v/>
      </c>
    </row>
    <row r="25" spans="1:7" ht="14.4" hidden="1" customHeight="1" outlineLevel="2" x14ac:dyDescent="0.3">
      <c r="C25" s="628"/>
      <c r="D25" s="629"/>
      <c r="E25" s="59"/>
      <c r="F25" s="11" t="str">
        <f t="shared" si="0"/>
        <v/>
      </c>
    </row>
    <row r="26" spans="1:7" ht="14.4" hidden="1" customHeight="1" outlineLevel="2" x14ac:dyDescent="0.3">
      <c r="C26" s="628"/>
      <c r="D26" s="629"/>
      <c r="E26" s="59"/>
      <c r="F26" s="11" t="str">
        <f t="shared" si="0"/>
        <v/>
      </c>
    </row>
    <row r="27" spans="1:7" ht="14.4" hidden="1" customHeight="1" outlineLevel="2" x14ac:dyDescent="0.3">
      <c r="C27" s="628"/>
      <c r="D27" s="629"/>
      <c r="E27" s="59"/>
      <c r="F27" s="11" t="str">
        <f t="shared" si="0"/>
        <v/>
      </c>
    </row>
    <row r="28" spans="1:7" ht="14.4" hidden="1" customHeight="1" outlineLevel="2" x14ac:dyDescent="0.3">
      <c r="C28" s="628"/>
      <c r="D28" s="629"/>
      <c r="E28" s="59"/>
      <c r="F28" s="11"/>
    </row>
    <row r="29" spans="1:7" ht="14.4" hidden="1" customHeight="1" outlineLevel="2" x14ac:dyDescent="0.3">
      <c r="C29" s="628"/>
      <c r="D29" s="629"/>
      <c r="E29" s="59"/>
      <c r="F29" s="11"/>
    </row>
    <row r="30" spans="1:7" ht="14.4" hidden="1" customHeight="1" outlineLevel="2" x14ac:dyDescent="0.3">
      <c r="C30" s="628"/>
      <c r="D30" s="629"/>
      <c r="E30" s="59"/>
      <c r="F30" s="11"/>
    </row>
    <row r="31" spans="1:7" ht="14.4" hidden="1" customHeight="1" outlineLevel="2" x14ac:dyDescent="0.3">
      <c r="C31" s="628"/>
      <c r="D31" s="629"/>
      <c r="E31" s="59"/>
      <c r="F31" s="11"/>
    </row>
    <row r="32" spans="1:7" ht="14.4" hidden="1" customHeight="1" outlineLevel="2" x14ac:dyDescent="0.3">
      <c r="C32" s="628"/>
      <c r="D32" s="629"/>
      <c r="E32" s="59"/>
      <c r="F32" s="11"/>
    </row>
    <row r="33" spans="3:6" ht="14.4" hidden="1" customHeight="1" outlineLevel="2" x14ac:dyDescent="0.3">
      <c r="C33" s="628"/>
      <c r="D33" s="629"/>
      <c r="E33" s="59"/>
      <c r="F33" s="11"/>
    </row>
    <row r="34" spans="3:6" ht="14.4" hidden="1" customHeight="1" outlineLevel="2" x14ac:dyDescent="0.3">
      <c r="C34" s="628"/>
      <c r="D34" s="629"/>
      <c r="E34" s="59"/>
      <c r="F34" s="11"/>
    </row>
    <row r="35" spans="3:6" ht="14.4" hidden="1" customHeight="1" outlineLevel="2" x14ac:dyDescent="0.3">
      <c r="C35" s="628"/>
      <c r="D35" s="629"/>
      <c r="E35" s="59"/>
      <c r="F35" s="11"/>
    </row>
    <row r="36" spans="3:6" ht="14.4" hidden="1" customHeight="1" outlineLevel="2" x14ac:dyDescent="0.3">
      <c r="C36" s="628"/>
      <c r="D36" s="629"/>
      <c r="E36" s="59"/>
      <c r="F36" s="11"/>
    </row>
    <row r="37" spans="3:6" ht="14.4" hidden="1" customHeight="1" outlineLevel="2" x14ac:dyDescent="0.3">
      <c r="C37" s="628"/>
      <c r="D37" s="629"/>
      <c r="E37" s="59"/>
      <c r="F37" s="11"/>
    </row>
    <row r="38" spans="3:6" ht="14.4" hidden="1" customHeight="1" outlineLevel="2" x14ac:dyDescent="0.3">
      <c r="C38" s="628"/>
      <c r="D38" s="629"/>
      <c r="E38" s="59"/>
      <c r="F38" s="11"/>
    </row>
    <row r="39" spans="3:6" ht="14.4" hidden="1" customHeight="1" outlineLevel="2" x14ac:dyDescent="0.3">
      <c r="C39" s="628"/>
      <c r="D39" s="629"/>
      <c r="E39" s="59"/>
      <c r="F39" s="11"/>
    </row>
    <row r="40" spans="3:6" ht="14.4" hidden="1" customHeight="1" outlineLevel="2" x14ac:dyDescent="0.3">
      <c r="C40" s="628"/>
      <c r="D40" s="629"/>
      <c r="E40" s="59"/>
      <c r="F40" s="11"/>
    </row>
    <row r="41" spans="3:6" ht="14.4" hidden="1" customHeight="1" outlineLevel="2" x14ac:dyDescent="0.3">
      <c r="C41" s="628"/>
      <c r="D41" s="629"/>
      <c r="E41" s="59"/>
      <c r="F41" s="11"/>
    </row>
    <row r="42" spans="3:6" ht="14.4" hidden="1" customHeight="1" outlineLevel="2" x14ac:dyDescent="0.3">
      <c r="C42" s="628"/>
      <c r="D42" s="629"/>
      <c r="E42" s="59"/>
      <c r="F42" s="11"/>
    </row>
    <row r="43" spans="3:6" ht="14.4" hidden="1" customHeight="1" outlineLevel="2" x14ac:dyDescent="0.3">
      <c r="C43" s="628"/>
      <c r="D43" s="629"/>
      <c r="E43" s="59"/>
      <c r="F43" s="11"/>
    </row>
    <row r="44" spans="3:6" ht="14.4" hidden="1" customHeight="1" outlineLevel="2" x14ac:dyDescent="0.3">
      <c r="C44" s="628"/>
      <c r="D44" s="629"/>
      <c r="E44" s="59"/>
      <c r="F44" s="11"/>
    </row>
    <row r="45" spans="3:6" ht="14.4" hidden="1" customHeight="1" outlineLevel="2" x14ac:dyDescent="0.3">
      <c r="C45" s="628"/>
      <c r="D45" s="629"/>
      <c r="E45" s="59"/>
      <c r="F45" s="11"/>
    </row>
    <row r="46" spans="3:6" ht="14.4" hidden="1" customHeight="1" outlineLevel="2" x14ac:dyDescent="0.3">
      <c r="C46" s="628"/>
      <c r="D46" s="629"/>
      <c r="E46" s="59"/>
      <c r="F46" s="11"/>
    </row>
    <row r="47" spans="3:6" ht="14.4" hidden="1" customHeight="1" outlineLevel="2" x14ac:dyDescent="0.3">
      <c r="C47" s="628"/>
      <c r="D47" s="629"/>
      <c r="E47" s="59"/>
      <c r="F47" s="11"/>
    </row>
    <row r="48" spans="3:6" ht="14.4" hidden="1" customHeight="1" outlineLevel="2" x14ac:dyDescent="0.3">
      <c r="C48" s="628"/>
      <c r="D48" s="629"/>
      <c r="E48" s="59"/>
      <c r="F48" s="11"/>
    </row>
    <row r="49" spans="3:6" ht="14.4" hidden="1" customHeight="1" outlineLevel="2" x14ac:dyDescent="0.3">
      <c r="C49" s="628"/>
      <c r="D49" s="629"/>
      <c r="E49" s="59"/>
      <c r="F49" s="11"/>
    </row>
    <row r="50" spans="3:6" ht="14.4" hidden="1" customHeight="1" outlineLevel="2" x14ac:dyDescent="0.3">
      <c r="C50" s="628"/>
      <c r="D50" s="629"/>
      <c r="E50" s="59"/>
      <c r="F50" s="11"/>
    </row>
    <row r="51" spans="3:6" ht="14.4" hidden="1" customHeight="1" outlineLevel="2" x14ac:dyDescent="0.3">
      <c r="C51" s="628"/>
      <c r="D51" s="629"/>
      <c r="E51" s="59"/>
      <c r="F51" s="11"/>
    </row>
    <row r="52" spans="3:6" ht="14.4" hidden="1" customHeight="1" outlineLevel="2" x14ac:dyDescent="0.3">
      <c r="C52" s="628"/>
      <c r="D52" s="629"/>
      <c r="E52" s="59"/>
      <c r="F52" s="11"/>
    </row>
    <row r="53" spans="3:6" ht="14.4" hidden="1" customHeight="1" outlineLevel="2" x14ac:dyDescent="0.3">
      <c r="C53" s="628"/>
      <c r="D53" s="629"/>
      <c r="E53" s="59"/>
      <c r="F53" s="11"/>
    </row>
    <row r="54" spans="3:6" ht="14.4" hidden="1" customHeight="1" outlineLevel="2" x14ac:dyDescent="0.3">
      <c r="C54" s="628"/>
      <c r="D54" s="629"/>
      <c r="E54" s="59"/>
      <c r="F54" s="11"/>
    </row>
    <row r="55" spans="3:6" ht="14.4" hidden="1" customHeight="1" outlineLevel="2" x14ac:dyDescent="0.3">
      <c r="C55" s="628"/>
      <c r="D55" s="629"/>
      <c r="E55" s="59"/>
      <c r="F55" s="11"/>
    </row>
    <row r="56" spans="3:6" ht="14.4" hidden="1" customHeight="1" outlineLevel="2" x14ac:dyDescent="0.3">
      <c r="C56" s="628"/>
      <c r="D56" s="629"/>
      <c r="E56" s="59"/>
      <c r="F56" s="11"/>
    </row>
    <row r="57" spans="3:6" ht="14.4" hidden="1" customHeight="1" outlineLevel="2" x14ac:dyDescent="0.3">
      <c r="C57" s="628"/>
      <c r="D57" s="629"/>
      <c r="E57" s="59"/>
      <c r="F57" s="11"/>
    </row>
    <row r="58" spans="3:6" ht="14.4" hidden="1" customHeight="1" outlineLevel="2" x14ac:dyDescent="0.3">
      <c r="C58" s="628"/>
      <c r="D58" s="629"/>
      <c r="E58" s="59"/>
      <c r="F58" s="11"/>
    </row>
    <row r="59" spans="3:6" ht="14.4" hidden="1" customHeight="1" outlineLevel="2" x14ac:dyDescent="0.3">
      <c r="C59" s="628"/>
      <c r="D59" s="629"/>
      <c r="E59" s="59"/>
      <c r="F59" s="11"/>
    </row>
    <row r="60" spans="3:6" ht="14.4" hidden="1" customHeight="1" outlineLevel="2" x14ac:dyDescent="0.3">
      <c r="C60" s="628"/>
      <c r="D60" s="629"/>
      <c r="E60" s="59"/>
      <c r="F60" s="11"/>
    </row>
    <row r="61" spans="3:6" ht="14.4" hidden="1" customHeight="1" outlineLevel="2" x14ac:dyDescent="0.3">
      <c r="C61" s="628"/>
      <c r="D61" s="629"/>
      <c r="E61" s="59"/>
      <c r="F61" s="11"/>
    </row>
    <row r="62" spans="3:6" ht="14.4" hidden="1" customHeight="1" outlineLevel="2" x14ac:dyDescent="0.3">
      <c r="C62" s="628"/>
      <c r="D62" s="629"/>
      <c r="E62" s="59"/>
      <c r="F62" s="11"/>
    </row>
    <row r="63" spans="3:6" ht="14.4" hidden="1" customHeight="1" outlineLevel="2" x14ac:dyDescent="0.3">
      <c r="C63" s="628"/>
      <c r="D63" s="629"/>
      <c r="E63" s="59"/>
      <c r="F63" s="11"/>
    </row>
    <row r="64" spans="3:6" ht="14.4" hidden="1" customHeight="1" outlineLevel="2" x14ac:dyDescent="0.3">
      <c r="C64" s="628"/>
      <c r="D64" s="629"/>
      <c r="E64" s="59"/>
      <c r="F64" s="11"/>
    </row>
    <row r="65" spans="3:6" ht="14.4" hidden="1" customHeight="1" outlineLevel="2" x14ac:dyDescent="0.3">
      <c r="C65" s="628"/>
      <c r="D65" s="629"/>
      <c r="E65" s="59"/>
      <c r="F65" s="11"/>
    </row>
    <row r="66" spans="3:6" ht="14.4" hidden="1" customHeight="1" outlineLevel="2" x14ac:dyDescent="0.3">
      <c r="C66" s="628"/>
      <c r="D66" s="629"/>
      <c r="E66" s="59"/>
      <c r="F66" s="11"/>
    </row>
    <row r="67" spans="3:6" ht="14.4" hidden="1" customHeight="1" outlineLevel="2" x14ac:dyDescent="0.3">
      <c r="C67" s="628"/>
      <c r="D67" s="629"/>
      <c r="E67" s="59"/>
      <c r="F67" s="11"/>
    </row>
    <row r="68" spans="3:6" ht="14.4" hidden="1" customHeight="1" outlineLevel="2" x14ac:dyDescent="0.3">
      <c r="C68" s="628"/>
      <c r="D68" s="629"/>
      <c r="E68" s="59"/>
      <c r="F68" s="11"/>
    </row>
    <row r="69" spans="3:6" ht="14.4" hidden="1" customHeight="1" outlineLevel="2" x14ac:dyDescent="0.3">
      <c r="C69" s="628"/>
      <c r="D69" s="629"/>
      <c r="E69" s="59"/>
      <c r="F69" s="11"/>
    </row>
    <row r="70" spans="3:6" ht="14.4" hidden="1" customHeight="1" outlineLevel="2" x14ac:dyDescent="0.3">
      <c r="C70" s="628"/>
      <c r="D70" s="629"/>
      <c r="E70" s="59"/>
      <c r="F70" s="11"/>
    </row>
    <row r="71" spans="3:6" ht="14.4" hidden="1" customHeight="1" outlineLevel="2" x14ac:dyDescent="0.3">
      <c r="C71" s="628"/>
      <c r="D71" s="629"/>
      <c r="E71" s="59"/>
      <c r="F71" s="11"/>
    </row>
    <row r="72" spans="3:6" ht="14.4" hidden="1" customHeight="1" outlineLevel="2" x14ac:dyDescent="0.3">
      <c r="C72" s="628"/>
      <c r="D72" s="629"/>
      <c r="E72" s="59"/>
      <c r="F72" s="11"/>
    </row>
    <row r="73" spans="3:6" ht="14.4" hidden="1" customHeight="1" outlineLevel="2" x14ac:dyDescent="0.3">
      <c r="C73" s="628"/>
      <c r="D73" s="629"/>
      <c r="E73" s="59"/>
      <c r="F73" s="11"/>
    </row>
    <row r="74" spans="3:6" ht="14.4" hidden="1" customHeight="1" outlineLevel="2" x14ac:dyDescent="0.3">
      <c r="C74" s="628"/>
      <c r="D74" s="629"/>
      <c r="E74" s="59"/>
      <c r="F74" s="11"/>
    </row>
    <row r="75" spans="3:6" ht="14.4" hidden="1" customHeight="1" outlineLevel="2" x14ac:dyDescent="0.3">
      <c r="C75" s="628"/>
      <c r="D75" s="629"/>
      <c r="E75" s="59"/>
      <c r="F75" s="11"/>
    </row>
    <row r="76" spans="3:6" ht="14.4" hidden="1" customHeight="1" outlineLevel="2" x14ac:dyDescent="0.3">
      <c r="C76" s="628"/>
      <c r="D76" s="629"/>
      <c r="E76" s="59"/>
      <c r="F76" s="11"/>
    </row>
    <row r="77" spans="3:6" ht="14.4" hidden="1" customHeight="1" outlineLevel="2" x14ac:dyDescent="0.3">
      <c r="C77" s="628"/>
      <c r="D77" s="629"/>
      <c r="E77" s="59"/>
      <c r="F77" s="11"/>
    </row>
    <row r="78" spans="3:6" ht="14.4" hidden="1" customHeight="1" outlineLevel="2" x14ac:dyDescent="0.3">
      <c r="C78" s="628"/>
      <c r="D78" s="629"/>
      <c r="E78" s="59"/>
      <c r="F78" s="11"/>
    </row>
    <row r="79" spans="3:6" ht="14.4" hidden="1" customHeight="1" outlineLevel="2" x14ac:dyDescent="0.3">
      <c r="C79" s="628"/>
      <c r="D79" s="629"/>
      <c r="E79" s="59"/>
      <c r="F79" s="11"/>
    </row>
    <row r="80" spans="3:6" ht="14.4" hidden="1" customHeight="1" outlineLevel="2" x14ac:dyDescent="0.3">
      <c r="C80" s="628"/>
      <c r="D80" s="629"/>
      <c r="E80" s="59"/>
      <c r="F80" s="11"/>
    </row>
    <row r="81" spans="3:6" ht="14.4" hidden="1" customHeight="1" outlineLevel="2" x14ac:dyDescent="0.3">
      <c r="C81" s="628"/>
      <c r="D81" s="629"/>
      <c r="E81" s="59"/>
      <c r="F81" s="11"/>
    </row>
    <row r="82" spans="3:6" ht="14.4" hidden="1" customHeight="1" outlineLevel="2" x14ac:dyDescent="0.3">
      <c r="C82" s="628"/>
      <c r="D82" s="629"/>
      <c r="E82" s="59"/>
      <c r="F82" s="11"/>
    </row>
    <row r="83" spans="3:6" ht="14.4" hidden="1" customHeight="1" outlineLevel="2" x14ac:dyDescent="0.3">
      <c r="C83" s="628"/>
      <c r="D83" s="629"/>
      <c r="E83" s="59"/>
      <c r="F83" s="11"/>
    </row>
    <row r="84" spans="3:6" ht="14.4" hidden="1" customHeight="1" outlineLevel="2" x14ac:dyDescent="0.3">
      <c r="C84" s="628"/>
      <c r="D84" s="629"/>
      <c r="E84" s="59"/>
      <c r="F84" s="11"/>
    </row>
    <row r="85" spans="3:6" ht="14.4" hidden="1" customHeight="1" outlineLevel="2" x14ac:dyDescent="0.3">
      <c r="C85" s="628"/>
      <c r="D85" s="629"/>
      <c r="E85" s="59"/>
      <c r="F85" s="11"/>
    </row>
    <row r="86" spans="3:6" ht="14.4" hidden="1" customHeight="1" outlineLevel="2" x14ac:dyDescent="0.3">
      <c r="C86" s="628"/>
      <c r="D86" s="629"/>
      <c r="E86" s="59"/>
      <c r="F86" s="11"/>
    </row>
    <row r="87" spans="3:6" ht="14.4" hidden="1" customHeight="1" outlineLevel="2" x14ac:dyDescent="0.3">
      <c r="C87" s="628"/>
      <c r="D87" s="629"/>
      <c r="E87" s="59"/>
      <c r="F87" s="11"/>
    </row>
    <row r="88" spans="3:6" ht="14.4" hidden="1" customHeight="1" outlineLevel="2" x14ac:dyDescent="0.3">
      <c r="C88" s="628"/>
      <c r="D88" s="629"/>
      <c r="E88" s="59"/>
      <c r="F88" s="11"/>
    </row>
    <row r="89" spans="3:6" ht="14.4" hidden="1" customHeight="1" outlineLevel="2" x14ac:dyDescent="0.3">
      <c r="C89" s="628"/>
      <c r="D89" s="629"/>
      <c r="E89" s="59"/>
      <c r="F89" s="11"/>
    </row>
    <row r="90" spans="3:6" ht="14.4" hidden="1" customHeight="1" outlineLevel="2" x14ac:dyDescent="0.3">
      <c r="C90" s="628"/>
      <c r="D90" s="629"/>
      <c r="E90" s="59"/>
      <c r="F90" s="11"/>
    </row>
    <row r="91" spans="3:6" ht="14.4" hidden="1" customHeight="1" outlineLevel="2" x14ac:dyDescent="0.3">
      <c r="C91" s="628"/>
      <c r="D91" s="629"/>
      <c r="E91" s="59"/>
      <c r="F91" s="11"/>
    </row>
    <row r="92" spans="3:6" ht="14.4" hidden="1" customHeight="1" outlineLevel="2" x14ac:dyDescent="0.3">
      <c r="C92" s="628"/>
      <c r="D92" s="629"/>
      <c r="E92" s="59"/>
      <c r="F92" s="11"/>
    </row>
    <row r="93" spans="3:6" ht="14.4" hidden="1" customHeight="1" outlineLevel="2" x14ac:dyDescent="0.3">
      <c r="C93" s="628"/>
      <c r="D93" s="629"/>
      <c r="E93" s="59"/>
      <c r="F93" s="11"/>
    </row>
    <row r="94" spans="3:6" ht="14.4" hidden="1" customHeight="1" outlineLevel="2" x14ac:dyDescent="0.3">
      <c r="C94" s="628"/>
      <c r="D94" s="629"/>
      <c r="E94" s="59"/>
      <c r="F94" s="11"/>
    </row>
    <row r="95" spans="3:6" ht="14.4" hidden="1" customHeight="1" outlineLevel="2" x14ac:dyDescent="0.3">
      <c r="C95" s="628"/>
      <c r="D95" s="629"/>
      <c r="E95" s="59"/>
      <c r="F95" s="11"/>
    </row>
    <row r="96" spans="3:6" ht="14.4" hidden="1" customHeight="1" outlineLevel="2" x14ac:dyDescent="0.3">
      <c r="C96" s="628"/>
      <c r="D96" s="629"/>
      <c r="E96" s="59"/>
      <c r="F96" s="11"/>
    </row>
    <row r="97" spans="3:6" ht="14.4" hidden="1" customHeight="1" outlineLevel="2" x14ac:dyDescent="0.3">
      <c r="C97" s="628"/>
      <c r="D97" s="629"/>
      <c r="E97" s="59"/>
      <c r="F97" s="11"/>
    </row>
    <row r="98" spans="3:6" ht="14.4" hidden="1" customHeight="1" outlineLevel="2" x14ac:dyDescent="0.3">
      <c r="C98" s="628"/>
      <c r="D98" s="629"/>
      <c r="E98" s="59"/>
      <c r="F98" s="11"/>
    </row>
    <row r="99" spans="3:6" ht="14.4" hidden="1" customHeight="1" outlineLevel="2" x14ac:dyDescent="0.3">
      <c r="C99" s="628"/>
      <c r="D99" s="629"/>
      <c r="E99" s="59"/>
      <c r="F99" s="11"/>
    </row>
    <row r="100" spans="3:6" ht="14.4" hidden="1" customHeight="1" outlineLevel="2" x14ac:dyDescent="0.3">
      <c r="C100" s="628"/>
      <c r="D100" s="629"/>
      <c r="E100" s="59"/>
      <c r="F100" s="11"/>
    </row>
    <row r="101" spans="3:6" ht="14.4" hidden="1" customHeight="1" outlineLevel="2" x14ac:dyDescent="0.3">
      <c r="C101" s="628"/>
      <c r="D101" s="629"/>
      <c r="E101" s="59"/>
      <c r="F101" s="11"/>
    </row>
    <row r="102" spans="3:6" ht="14.4" hidden="1" customHeight="1" outlineLevel="2" x14ac:dyDescent="0.3">
      <c r="C102" s="628"/>
      <c r="D102" s="629"/>
      <c r="E102" s="59"/>
      <c r="F102" s="11"/>
    </row>
    <row r="103" spans="3:6" ht="14.4" hidden="1" customHeight="1" outlineLevel="2" x14ac:dyDescent="0.3">
      <c r="C103" s="628"/>
      <c r="D103" s="629"/>
      <c r="E103" s="59"/>
      <c r="F103" s="11"/>
    </row>
    <row r="104" spans="3:6" ht="14.4" hidden="1" customHeight="1" outlineLevel="2" x14ac:dyDescent="0.3">
      <c r="C104" s="628"/>
      <c r="D104" s="629"/>
      <c r="E104" s="59"/>
      <c r="F104" s="11"/>
    </row>
    <row r="105" spans="3:6" ht="14.4" hidden="1" customHeight="1" outlineLevel="2" x14ac:dyDescent="0.3">
      <c r="C105" s="628"/>
      <c r="D105" s="629"/>
      <c r="E105" s="59"/>
      <c r="F105" s="11"/>
    </row>
    <row r="106" spans="3:6" ht="14.4" hidden="1" customHeight="1" outlineLevel="2" x14ac:dyDescent="0.3">
      <c r="C106" s="628"/>
      <c r="D106" s="629"/>
      <c r="E106" s="59"/>
      <c r="F106" s="11"/>
    </row>
    <row r="107" spans="3:6" ht="14.4" hidden="1" customHeight="1" outlineLevel="2" x14ac:dyDescent="0.3">
      <c r="C107" s="628"/>
      <c r="D107" s="629"/>
      <c r="E107" s="59"/>
      <c r="F107" s="11"/>
    </row>
    <row r="108" spans="3:6" ht="14.4" hidden="1" customHeight="1" outlineLevel="2" x14ac:dyDescent="0.3">
      <c r="C108" s="628"/>
      <c r="D108" s="629"/>
      <c r="E108" s="59"/>
      <c r="F108" s="11"/>
    </row>
    <row r="109" spans="3:6" ht="14.4" hidden="1" customHeight="1" outlineLevel="2" x14ac:dyDescent="0.3">
      <c r="C109" s="628"/>
      <c r="D109" s="629"/>
      <c r="E109" s="59"/>
      <c r="F109" s="11"/>
    </row>
    <row r="110" spans="3:6" ht="14.4" hidden="1" customHeight="1" outlineLevel="2" x14ac:dyDescent="0.3">
      <c r="C110" s="628"/>
      <c r="D110" s="629"/>
      <c r="E110" s="59"/>
      <c r="F110" s="11"/>
    </row>
    <row r="111" spans="3:6" ht="14.4" hidden="1" customHeight="1" outlineLevel="2" x14ac:dyDescent="0.3">
      <c r="C111" s="628"/>
      <c r="D111" s="629"/>
      <c r="E111" s="59"/>
      <c r="F111" s="11"/>
    </row>
    <row r="112" spans="3:6" ht="14.4" hidden="1" customHeight="1" outlineLevel="2" x14ac:dyDescent="0.3">
      <c r="C112" s="628"/>
      <c r="D112" s="629"/>
      <c r="E112" s="59"/>
      <c r="F112" s="11"/>
    </row>
    <row r="113" spans="1:6" ht="14.4" hidden="1" customHeight="1" outlineLevel="2" x14ac:dyDescent="0.3">
      <c r="C113" s="628"/>
      <c r="D113" s="629"/>
      <c r="E113" s="59"/>
      <c r="F113" s="11"/>
    </row>
    <row r="114" spans="1:6" ht="14.4" hidden="1" customHeight="1" outlineLevel="2" x14ac:dyDescent="0.3">
      <c r="C114" s="628"/>
      <c r="D114" s="629"/>
      <c r="E114" s="59"/>
      <c r="F114" s="11"/>
    </row>
    <row r="115" spans="1:6" ht="14.4" hidden="1" customHeight="1" outlineLevel="2" x14ac:dyDescent="0.3">
      <c r="C115" s="628"/>
      <c r="D115" s="629"/>
      <c r="E115" s="59"/>
      <c r="F115" s="11"/>
    </row>
    <row r="116" spans="1:6" ht="14.4" hidden="1" customHeight="1" outlineLevel="2" x14ac:dyDescent="0.3">
      <c r="C116" s="628"/>
      <c r="D116" s="629"/>
      <c r="E116" s="59"/>
      <c r="F116" s="11"/>
    </row>
    <row r="117" spans="1:6" ht="14.4" hidden="1" customHeight="1" outlineLevel="2" x14ac:dyDescent="0.3">
      <c r="C117" s="628"/>
      <c r="D117" s="629"/>
      <c r="E117" s="59"/>
      <c r="F117" s="11"/>
    </row>
    <row r="118" spans="1:6" ht="14.4" hidden="1" customHeight="1" outlineLevel="2" x14ac:dyDescent="0.3">
      <c r="C118" s="628"/>
      <c r="D118" s="629"/>
      <c r="E118" s="59"/>
      <c r="F118" s="11"/>
    </row>
    <row r="119" spans="1:6" ht="14.4" customHeight="1" collapsed="1" thickBot="1" x14ac:dyDescent="0.35">
      <c r="A119" s="92"/>
      <c r="B119" s="92"/>
      <c r="C119" s="652" t="str">
        <f>template_label_link_to_previous_report_containing_disclosures_that_remain_unchanged</f>
        <v>Link to previous report containing disclosures that remain unchanged</v>
      </c>
      <c r="D119" s="653"/>
      <c r="E119" s="228"/>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6" ht="15" thickBot="1" x14ac:dyDescent="0.35">
      <c r="A120" s="93"/>
      <c r="B120" s="93"/>
    </row>
    <row r="121" spans="1:6" ht="17.7" customHeight="1" x14ac:dyDescent="0.3">
      <c r="C121" s="579"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 to - [Always to be reported]</v>
      </c>
      <c r="D121" s="580"/>
      <c r="E121" s="581"/>
      <c r="F121"/>
    </row>
    <row r="122" spans="1:6" x14ac:dyDescent="0.3">
      <c r="A122" s="461" t="s">
        <v>3730</v>
      </c>
      <c r="B122" s="488" t="s">
        <v>1</v>
      </c>
      <c r="C122" s="601" t="str">
        <f>template_label_basis_for_preparation</f>
        <v>Basis for preparation (Basic Module Only or Basic &amp; Comprehensive Module)</v>
      </c>
      <c r="D122" s="602"/>
      <c r="E122" s="60"/>
      <c r="F122" s="11" t="str">
        <f>IF(E122 = "", template_label_missing_value, template_label_ok)</f>
        <v>MISSING VALUE</v>
      </c>
    </row>
    <row r="123" spans="1:6" ht="14.4" customHeight="1" x14ac:dyDescent="0.3">
      <c r="A123" s="636" t="s">
        <v>3731</v>
      </c>
      <c r="B123" s="634" t="s">
        <v>1</v>
      </c>
      <c r="C123" s="630" t="str">
        <f>template_label_list_of_omitted_disclosures_deemed_to_be_classified_or_sensitive_information</f>
        <v>List of omitted disclosures deemed to be classified or sensitive information</v>
      </c>
      <c r="D123" s="631"/>
      <c r="E123" s="60"/>
      <c r="F123" s="11" t="str">
        <f>IF(E122 = "", "",
IF(AND(OR(E122 = "Option A (Basic Module only)", E122 = "Option B (Basic Module and Comprehensive Module)"), E123 = ""), template_label_missing_value,
IF(COUNTIF(E123:E223, E123) &gt; 1, template_label_value_inconsistency, template_label_ok)))</f>
        <v/>
      </c>
    </row>
    <row r="124" spans="1:6" ht="14.4" customHeight="1" x14ac:dyDescent="0.3">
      <c r="A124" s="637"/>
      <c r="B124" s="635"/>
      <c r="C124" s="632"/>
      <c r="D124" s="633"/>
      <c r="E124" s="61"/>
      <c r="F124" s="11" t="str">
        <f t="shared" ref="F124:F155" si="1">IF(AND($E$123 = "None", E124 &lt;&gt; ""), template_label_value_inconsistency,
IF(E124 = "", "",
IF(COUNTIF($E$123:$E$222, E124) &gt; 1,
   template_label_value_inconsistency,
   template_label_ok)))</f>
        <v/>
      </c>
    </row>
    <row r="125" spans="1:6" ht="14.4" customHeight="1" x14ac:dyDescent="0.3">
      <c r="A125" s="637"/>
      <c r="B125" s="635"/>
      <c r="C125" s="632"/>
      <c r="D125" s="633"/>
      <c r="E125" s="61"/>
      <c r="F125" s="11" t="str">
        <f t="shared" si="1"/>
        <v/>
      </c>
    </row>
    <row r="126" spans="1:6" ht="14.4" hidden="1" customHeight="1" outlineLevel="1" x14ac:dyDescent="0.3">
      <c r="A126" s="637"/>
      <c r="B126" s="635"/>
      <c r="C126" s="632"/>
      <c r="D126" s="633"/>
      <c r="E126" s="61"/>
      <c r="F126" s="11" t="str">
        <f t="shared" si="1"/>
        <v/>
      </c>
    </row>
    <row r="127" spans="1:6" ht="14.4" hidden="1" customHeight="1" outlineLevel="1" x14ac:dyDescent="0.3">
      <c r="A127" s="637"/>
      <c r="B127" s="635"/>
      <c r="C127" s="632"/>
      <c r="D127" s="633"/>
      <c r="E127" s="61"/>
      <c r="F127" s="11" t="str">
        <f t="shared" si="1"/>
        <v/>
      </c>
    </row>
    <row r="128" spans="1:6" ht="14.4" hidden="1" customHeight="1" outlineLevel="1" x14ac:dyDescent="0.3">
      <c r="A128" s="637"/>
      <c r="B128" s="635"/>
      <c r="C128" s="632"/>
      <c r="D128" s="633"/>
      <c r="E128" s="61"/>
      <c r="F128" s="11" t="str">
        <f t="shared" si="1"/>
        <v/>
      </c>
    </row>
    <row r="129" spans="1:6" ht="14.4" hidden="1" customHeight="1" outlineLevel="1" x14ac:dyDescent="0.3">
      <c r="A129" s="637"/>
      <c r="B129" s="635"/>
      <c r="C129" s="632"/>
      <c r="D129" s="633"/>
      <c r="E129" s="61"/>
      <c r="F129" s="11" t="str">
        <f t="shared" si="1"/>
        <v/>
      </c>
    </row>
    <row r="130" spans="1:6" ht="14.4" hidden="1" customHeight="1" outlineLevel="1" x14ac:dyDescent="0.3">
      <c r="A130" s="637"/>
      <c r="B130" s="635"/>
      <c r="C130" s="632"/>
      <c r="D130" s="633"/>
      <c r="E130" s="61"/>
      <c r="F130" s="11" t="str">
        <f t="shared" si="1"/>
        <v/>
      </c>
    </row>
    <row r="131" spans="1:6" ht="14.4" hidden="1" customHeight="1" outlineLevel="1" x14ac:dyDescent="0.3">
      <c r="A131" s="637"/>
      <c r="B131" s="635"/>
      <c r="C131" s="632"/>
      <c r="D131" s="633"/>
      <c r="E131" s="61"/>
      <c r="F131" s="11" t="str">
        <f t="shared" si="1"/>
        <v/>
      </c>
    </row>
    <row r="132" spans="1:6" ht="14.4" hidden="1" customHeight="1" outlineLevel="1" x14ac:dyDescent="0.3">
      <c r="A132" s="637"/>
      <c r="B132" s="635"/>
      <c r="C132" s="632"/>
      <c r="D132" s="633"/>
      <c r="E132" s="61"/>
      <c r="F132" s="11" t="str">
        <f t="shared" si="1"/>
        <v/>
      </c>
    </row>
    <row r="133" spans="1:6" ht="14.4" hidden="1" customHeight="1" outlineLevel="1" x14ac:dyDescent="0.3">
      <c r="A133" s="637"/>
      <c r="B133" s="635"/>
      <c r="C133" s="632"/>
      <c r="D133" s="633"/>
      <c r="E133" s="61"/>
      <c r="F133" s="11" t="str">
        <f t="shared" si="1"/>
        <v/>
      </c>
    </row>
    <row r="134" spans="1:6" ht="14.4" hidden="1" customHeight="1" outlineLevel="1" x14ac:dyDescent="0.3">
      <c r="A134" s="637"/>
      <c r="B134" s="635"/>
      <c r="C134" s="632"/>
      <c r="D134" s="633"/>
      <c r="E134" s="61"/>
      <c r="F134" s="11" t="str">
        <f t="shared" si="1"/>
        <v/>
      </c>
    </row>
    <row r="135" spans="1:6" ht="14.4" hidden="1" customHeight="1" outlineLevel="1" x14ac:dyDescent="0.3">
      <c r="A135" s="637"/>
      <c r="B135" s="635"/>
      <c r="C135" s="632"/>
      <c r="D135" s="633"/>
      <c r="E135" s="61"/>
      <c r="F135" s="11" t="str">
        <f t="shared" si="1"/>
        <v/>
      </c>
    </row>
    <row r="136" spans="1:6" ht="14.4" hidden="1" customHeight="1" outlineLevel="1" x14ac:dyDescent="0.3">
      <c r="A136" s="637"/>
      <c r="B136" s="635"/>
      <c r="C136" s="632"/>
      <c r="D136" s="633"/>
      <c r="E136" s="61"/>
      <c r="F136" s="11" t="str">
        <f t="shared" si="1"/>
        <v/>
      </c>
    </row>
    <row r="137" spans="1:6" ht="14.4" hidden="1" customHeight="1" outlineLevel="1" x14ac:dyDescent="0.3">
      <c r="A137" s="637"/>
      <c r="B137" s="635"/>
      <c r="C137" s="632"/>
      <c r="D137" s="633"/>
      <c r="E137" s="61"/>
      <c r="F137" s="11" t="str">
        <f t="shared" si="1"/>
        <v/>
      </c>
    </row>
    <row r="138" spans="1:6" ht="14.4" hidden="1" customHeight="1" outlineLevel="1" x14ac:dyDescent="0.3">
      <c r="A138" s="637"/>
      <c r="B138" s="635"/>
      <c r="C138" s="632"/>
      <c r="D138" s="633"/>
      <c r="E138" s="61"/>
      <c r="F138" s="11" t="str">
        <f t="shared" si="1"/>
        <v/>
      </c>
    </row>
    <row r="139" spans="1:6" ht="14.4" hidden="1" customHeight="1" outlineLevel="1" x14ac:dyDescent="0.3">
      <c r="A139" s="637"/>
      <c r="B139" s="635"/>
      <c r="C139" s="632"/>
      <c r="D139" s="633"/>
      <c r="E139" s="61"/>
      <c r="F139" s="11" t="str">
        <f t="shared" si="1"/>
        <v/>
      </c>
    </row>
    <row r="140" spans="1:6" ht="14.4" hidden="1" customHeight="1" outlineLevel="1" x14ac:dyDescent="0.3">
      <c r="A140" s="637"/>
      <c r="B140" s="635"/>
      <c r="C140" s="632"/>
      <c r="D140" s="633"/>
      <c r="E140" s="61"/>
      <c r="F140" s="11" t="str">
        <f t="shared" si="1"/>
        <v/>
      </c>
    </row>
    <row r="141" spans="1:6" ht="14.4" hidden="1" customHeight="1" outlineLevel="1" x14ac:dyDescent="0.3">
      <c r="A141" s="637"/>
      <c r="B141" s="635"/>
      <c r="C141" s="632"/>
      <c r="D141" s="633"/>
      <c r="E141" s="61"/>
      <c r="F141" s="11" t="str">
        <f t="shared" si="1"/>
        <v/>
      </c>
    </row>
    <row r="142" spans="1:6" ht="14.4" hidden="1" customHeight="1" outlineLevel="1" x14ac:dyDescent="0.3">
      <c r="A142" s="637"/>
      <c r="B142" s="635"/>
      <c r="C142" s="632"/>
      <c r="D142" s="633"/>
      <c r="E142" s="61"/>
      <c r="F142" s="11" t="str">
        <f t="shared" si="1"/>
        <v/>
      </c>
    </row>
    <row r="143" spans="1:6" ht="14.4" hidden="1" customHeight="1" outlineLevel="1" x14ac:dyDescent="0.3">
      <c r="A143" s="637"/>
      <c r="B143" s="635"/>
      <c r="C143" s="632"/>
      <c r="D143" s="633"/>
      <c r="E143" s="61"/>
      <c r="F143" s="11" t="str">
        <f t="shared" si="1"/>
        <v/>
      </c>
    </row>
    <row r="144" spans="1:6" ht="14.4" hidden="1" customHeight="1" outlineLevel="1" x14ac:dyDescent="0.3">
      <c r="A144" s="637"/>
      <c r="B144" s="635"/>
      <c r="C144" s="632"/>
      <c r="D144" s="633"/>
      <c r="E144" s="61"/>
      <c r="F144" s="11" t="str">
        <f t="shared" si="1"/>
        <v/>
      </c>
    </row>
    <row r="145" spans="1:6" ht="14.4" hidden="1" customHeight="1" outlineLevel="1" x14ac:dyDescent="0.3">
      <c r="A145" s="637"/>
      <c r="B145" s="635"/>
      <c r="C145" s="632"/>
      <c r="D145" s="633"/>
      <c r="E145" s="61"/>
      <c r="F145" s="11" t="str">
        <f t="shared" si="1"/>
        <v/>
      </c>
    </row>
    <row r="146" spans="1:6" ht="14.4" hidden="1" customHeight="1" outlineLevel="1" x14ac:dyDescent="0.3">
      <c r="A146" s="637"/>
      <c r="B146" s="635"/>
      <c r="C146" s="632"/>
      <c r="D146" s="633"/>
      <c r="E146" s="61"/>
      <c r="F146" s="11" t="str">
        <f t="shared" si="1"/>
        <v/>
      </c>
    </row>
    <row r="147" spans="1:6" ht="14.4" hidden="1" customHeight="1" outlineLevel="1" x14ac:dyDescent="0.3">
      <c r="A147" s="637"/>
      <c r="B147" s="635"/>
      <c r="C147" s="632"/>
      <c r="D147" s="633"/>
      <c r="E147" s="61"/>
      <c r="F147" s="11" t="str">
        <f t="shared" si="1"/>
        <v/>
      </c>
    </row>
    <row r="148" spans="1:6" ht="14.4" hidden="1" customHeight="1" outlineLevel="1" x14ac:dyDescent="0.3">
      <c r="A148" s="637"/>
      <c r="B148" s="635"/>
      <c r="C148" s="632"/>
      <c r="D148" s="633"/>
      <c r="E148" s="61"/>
      <c r="F148" s="11" t="str">
        <f t="shared" si="1"/>
        <v/>
      </c>
    </row>
    <row r="149" spans="1:6" ht="14.4" hidden="1" customHeight="1" outlineLevel="1" x14ac:dyDescent="0.3">
      <c r="A149" s="637"/>
      <c r="B149" s="635"/>
      <c r="C149" s="632"/>
      <c r="D149" s="633"/>
      <c r="E149" s="61"/>
      <c r="F149" s="11" t="str">
        <f t="shared" si="1"/>
        <v/>
      </c>
    </row>
    <row r="150" spans="1:6" ht="14.4" hidden="1" customHeight="1" outlineLevel="1" x14ac:dyDescent="0.3">
      <c r="A150" s="637"/>
      <c r="B150" s="635"/>
      <c r="C150" s="632"/>
      <c r="D150" s="633"/>
      <c r="E150" s="61"/>
      <c r="F150" s="11" t="str">
        <f t="shared" si="1"/>
        <v/>
      </c>
    </row>
    <row r="151" spans="1:6" ht="14.4" hidden="1" customHeight="1" outlineLevel="1" x14ac:dyDescent="0.3">
      <c r="A151" s="637"/>
      <c r="B151" s="635"/>
      <c r="C151" s="632"/>
      <c r="D151" s="633"/>
      <c r="E151" s="61"/>
      <c r="F151" s="11" t="str">
        <f t="shared" si="1"/>
        <v/>
      </c>
    </row>
    <row r="152" spans="1:6" ht="14.4" hidden="1" customHeight="1" outlineLevel="1" x14ac:dyDescent="0.3">
      <c r="A152" s="637"/>
      <c r="B152" s="635"/>
      <c r="C152" s="632"/>
      <c r="D152" s="633"/>
      <c r="E152" s="61"/>
      <c r="F152" s="11" t="str">
        <f t="shared" si="1"/>
        <v/>
      </c>
    </row>
    <row r="153" spans="1:6" ht="14.4" hidden="1" customHeight="1" outlineLevel="1" x14ac:dyDescent="0.3">
      <c r="A153" s="637"/>
      <c r="B153" s="635"/>
      <c r="C153" s="632"/>
      <c r="D153" s="633"/>
      <c r="E153" s="61"/>
      <c r="F153" s="11" t="str">
        <f t="shared" si="1"/>
        <v/>
      </c>
    </row>
    <row r="154" spans="1:6" ht="14.4" hidden="1" customHeight="1" outlineLevel="1" x14ac:dyDescent="0.3">
      <c r="A154" s="637"/>
      <c r="B154" s="635"/>
      <c r="C154" s="632"/>
      <c r="D154" s="633"/>
      <c r="E154" s="61"/>
      <c r="F154" s="11" t="str">
        <f t="shared" si="1"/>
        <v/>
      </c>
    </row>
    <row r="155" spans="1:6" ht="14.4" hidden="1" customHeight="1" outlineLevel="1" x14ac:dyDescent="0.3">
      <c r="A155" s="637"/>
      <c r="B155" s="635"/>
      <c r="C155" s="632"/>
      <c r="D155" s="633"/>
      <c r="E155" s="61"/>
      <c r="F155" s="11" t="str">
        <f t="shared" si="1"/>
        <v/>
      </c>
    </row>
    <row r="156" spans="1:6" ht="14.4" hidden="1" customHeight="1" outlineLevel="1" x14ac:dyDescent="0.3">
      <c r="A156" s="637"/>
      <c r="B156" s="635"/>
      <c r="C156" s="632"/>
      <c r="D156" s="633"/>
      <c r="E156" s="61"/>
      <c r="F156" s="11" t="str">
        <f t="shared" ref="F156:F187" si="2">IF(AND($E$123 = "None", E156 &lt;&gt; ""), template_label_value_inconsistency,
IF(E156 = "", "",
IF(COUNTIF($E$123:$E$222, E156) &gt; 1,
   template_label_value_inconsistency,
   template_label_ok)))</f>
        <v/>
      </c>
    </row>
    <row r="157" spans="1:6" ht="14.4" hidden="1" customHeight="1" outlineLevel="1" x14ac:dyDescent="0.3">
      <c r="A157" s="637"/>
      <c r="B157" s="635"/>
      <c r="C157" s="632"/>
      <c r="D157" s="633"/>
      <c r="E157" s="61"/>
      <c r="F157" s="11" t="str">
        <f t="shared" si="2"/>
        <v/>
      </c>
    </row>
    <row r="158" spans="1:6" ht="14.4" hidden="1" customHeight="1" outlineLevel="1" x14ac:dyDescent="0.3">
      <c r="A158" s="637"/>
      <c r="B158" s="635"/>
      <c r="C158" s="632"/>
      <c r="D158" s="633"/>
      <c r="E158" s="61"/>
      <c r="F158" s="11" t="str">
        <f t="shared" si="2"/>
        <v/>
      </c>
    </row>
    <row r="159" spans="1:6" ht="14.4" hidden="1" customHeight="1" outlineLevel="1" x14ac:dyDescent="0.3">
      <c r="A159" s="637"/>
      <c r="B159" s="635"/>
      <c r="C159" s="632"/>
      <c r="D159" s="633"/>
      <c r="E159" s="61"/>
      <c r="F159" s="11" t="str">
        <f t="shared" si="2"/>
        <v/>
      </c>
    </row>
    <row r="160" spans="1:6" ht="14.4" hidden="1" customHeight="1" outlineLevel="1" x14ac:dyDescent="0.3">
      <c r="A160" s="637"/>
      <c r="B160" s="635"/>
      <c r="C160" s="632"/>
      <c r="D160" s="633"/>
      <c r="E160" s="61"/>
      <c r="F160" s="11" t="str">
        <f t="shared" si="2"/>
        <v/>
      </c>
    </row>
    <row r="161" spans="1:6" ht="14.4" hidden="1" customHeight="1" outlineLevel="1" x14ac:dyDescent="0.3">
      <c r="A161" s="637"/>
      <c r="B161" s="635"/>
      <c r="C161" s="632"/>
      <c r="D161" s="633"/>
      <c r="E161" s="61"/>
      <c r="F161" s="11" t="str">
        <f t="shared" si="2"/>
        <v/>
      </c>
    </row>
    <row r="162" spans="1:6" ht="14.4" hidden="1" customHeight="1" outlineLevel="1" x14ac:dyDescent="0.3">
      <c r="A162" s="637"/>
      <c r="B162" s="635"/>
      <c r="C162" s="632"/>
      <c r="D162" s="633"/>
      <c r="E162" s="61"/>
      <c r="F162" s="11" t="str">
        <f t="shared" si="2"/>
        <v/>
      </c>
    </row>
    <row r="163" spans="1:6" ht="14.4" hidden="1" customHeight="1" outlineLevel="1" x14ac:dyDescent="0.3">
      <c r="A163" s="637"/>
      <c r="B163" s="635"/>
      <c r="C163" s="632"/>
      <c r="D163" s="633"/>
      <c r="E163" s="61"/>
      <c r="F163" s="11" t="str">
        <f t="shared" si="2"/>
        <v/>
      </c>
    </row>
    <row r="164" spans="1:6" ht="14.4" hidden="1" customHeight="1" outlineLevel="1" x14ac:dyDescent="0.3">
      <c r="A164" s="637"/>
      <c r="B164" s="635"/>
      <c r="C164" s="632"/>
      <c r="D164" s="633"/>
      <c r="E164" s="61"/>
      <c r="F164" s="11" t="str">
        <f t="shared" si="2"/>
        <v/>
      </c>
    </row>
    <row r="165" spans="1:6" ht="14.4" hidden="1" customHeight="1" outlineLevel="1" x14ac:dyDescent="0.3">
      <c r="A165" s="637"/>
      <c r="B165" s="635"/>
      <c r="C165" s="632"/>
      <c r="D165" s="633"/>
      <c r="E165" s="61"/>
      <c r="F165" s="11" t="str">
        <f t="shared" si="2"/>
        <v/>
      </c>
    </row>
    <row r="166" spans="1:6" ht="14.4" hidden="1" customHeight="1" outlineLevel="1" x14ac:dyDescent="0.3">
      <c r="A166" s="637"/>
      <c r="B166" s="635"/>
      <c r="C166" s="632"/>
      <c r="D166" s="633"/>
      <c r="E166" s="61"/>
      <c r="F166" s="11" t="str">
        <f t="shared" si="2"/>
        <v/>
      </c>
    </row>
    <row r="167" spans="1:6" ht="14.4" hidden="1" customHeight="1" outlineLevel="1" x14ac:dyDescent="0.3">
      <c r="A167" s="637"/>
      <c r="B167" s="635"/>
      <c r="C167" s="632"/>
      <c r="D167" s="633"/>
      <c r="E167" s="61"/>
      <c r="F167" s="11" t="str">
        <f t="shared" si="2"/>
        <v/>
      </c>
    </row>
    <row r="168" spans="1:6" ht="14.4" hidden="1" customHeight="1" outlineLevel="1" x14ac:dyDescent="0.3">
      <c r="A168" s="637"/>
      <c r="B168" s="635"/>
      <c r="C168" s="632"/>
      <c r="D168" s="633"/>
      <c r="E168" s="61"/>
      <c r="F168" s="11" t="str">
        <f t="shared" si="2"/>
        <v/>
      </c>
    </row>
    <row r="169" spans="1:6" ht="14.4" hidden="1" customHeight="1" outlineLevel="1" x14ac:dyDescent="0.3">
      <c r="A169" s="637"/>
      <c r="B169" s="635"/>
      <c r="C169" s="632"/>
      <c r="D169" s="633"/>
      <c r="E169" s="61"/>
      <c r="F169" s="11" t="str">
        <f t="shared" si="2"/>
        <v/>
      </c>
    </row>
    <row r="170" spans="1:6" ht="14.4" hidden="1" customHeight="1" outlineLevel="1" x14ac:dyDescent="0.3">
      <c r="A170" s="637"/>
      <c r="B170" s="635"/>
      <c r="C170" s="632"/>
      <c r="D170" s="633"/>
      <c r="E170" s="61"/>
      <c r="F170" s="11" t="str">
        <f t="shared" si="2"/>
        <v/>
      </c>
    </row>
    <row r="171" spans="1:6" ht="14.4" hidden="1" customHeight="1" outlineLevel="1" x14ac:dyDescent="0.3">
      <c r="A171" s="637"/>
      <c r="B171" s="635"/>
      <c r="C171" s="632"/>
      <c r="D171" s="633"/>
      <c r="E171" s="61"/>
      <c r="F171" s="11" t="str">
        <f t="shared" si="2"/>
        <v/>
      </c>
    </row>
    <row r="172" spans="1:6" ht="14.4" hidden="1" customHeight="1" outlineLevel="1" x14ac:dyDescent="0.3">
      <c r="A172" s="637"/>
      <c r="B172" s="635"/>
      <c r="C172" s="632"/>
      <c r="D172" s="633"/>
      <c r="E172" s="61"/>
      <c r="F172" s="11" t="str">
        <f t="shared" si="2"/>
        <v/>
      </c>
    </row>
    <row r="173" spans="1:6" ht="14.4" hidden="1" customHeight="1" outlineLevel="1" x14ac:dyDescent="0.3">
      <c r="A173" s="637"/>
      <c r="B173" s="635"/>
      <c r="C173" s="632"/>
      <c r="D173" s="633"/>
      <c r="E173" s="61"/>
      <c r="F173" s="11" t="str">
        <f t="shared" si="2"/>
        <v/>
      </c>
    </row>
    <row r="174" spans="1:6" ht="14.4" hidden="1" customHeight="1" outlineLevel="1" x14ac:dyDescent="0.3">
      <c r="A174" s="637"/>
      <c r="B174" s="635"/>
      <c r="C174" s="632"/>
      <c r="D174" s="633"/>
      <c r="E174" s="61"/>
      <c r="F174" s="11" t="str">
        <f t="shared" si="2"/>
        <v/>
      </c>
    </row>
    <row r="175" spans="1:6" ht="14.4" hidden="1" customHeight="1" outlineLevel="1" x14ac:dyDescent="0.3">
      <c r="A175" s="637"/>
      <c r="B175" s="635"/>
      <c r="C175" s="632"/>
      <c r="D175" s="633"/>
      <c r="E175" s="61"/>
      <c r="F175" s="11" t="str">
        <f t="shared" si="2"/>
        <v/>
      </c>
    </row>
    <row r="176" spans="1:6" ht="14.4" hidden="1" customHeight="1" outlineLevel="1" x14ac:dyDescent="0.3">
      <c r="A176" s="637"/>
      <c r="B176" s="635"/>
      <c r="C176" s="632"/>
      <c r="D176" s="633"/>
      <c r="E176" s="61"/>
      <c r="F176" s="11" t="str">
        <f t="shared" si="2"/>
        <v/>
      </c>
    </row>
    <row r="177" spans="1:6" ht="14.4" hidden="1" customHeight="1" outlineLevel="1" x14ac:dyDescent="0.3">
      <c r="A177" s="637"/>
      <c r="B177" s="635"/>
      <c r="C177" s="632"/>
      <c r="D177" s="633"/>
      <c r="E177" s="61"/>
      <c r="F177" s="11" t="str">
        <f t="shared" si="2"/>
        <v/>
      </c>
    </row>
    <row r="178" spans="1:6" ht="14.4" hidden="1" customHeight="1" outlineLevel="1" x14ac:dyDescent="0.3">
      <c r="A178" s="637"/>
      <c r="B178" s="635"/>
      <c r="C178" s="632"/>
      <c r="D178" s="633"/>
      <c r="E178" s="61"/>
      <c r="F178" s="11" t="str">
        <f t="shared" si="2"/>
        <v/>
      </c>
    </row>
    <row r="179" spans="1:6" ht="14.4" hidden="1" customHeight="1" outlineLevel="1" x14ac:dyDescent="0.3">
      <c r="A179" s="637"/>
      <c r="B179" s="635"/>
      <c r="C179" s="632"/>
      <c r="D179" s="633"/>
      <c r="E179" s="61"/>
      <c r="F179" s="11" t="str">
        <f t="shared" si="2"/>
        <v/>
      </c>
    </row>
    <row r="180" spans="1:6" ht="14.4" hidden="1" customHeight="1" outlineLevel="1" x14ac:dyDescent="0.3">
      <c r="A180" s="637"/>
      <c r="B180" s="635"/>
      <c r="C180" s="632"/>
      <c r="D180" s="633"/>
      <c r="E180" s="61"/>
      <c r="F180" s="11" t="str">
        <f t="shared" si="2"/>
        <v/>
      </c>
    </row>
    <row r="181" spans="1:6" ht="14.4" hidden="1" customHeight="1" outlineLevel="1" x14ac:dyDescent="0.3">
      <c r="A181" s="637"/>
      <c r="B181" s="635"/>
      <c r="C181" s="632"/>
      <c r="D181" s="633"/>
      <c r="E181" s="61"/>
      <c r="F181" s="11" t="str">
        <f t="shared" si="2"/>
        <v/>
      </c>
    </row>
    <row r="182" spans="1:6" ht="14.4" hidden="1" customHeight="1" outlineLevel="1" x14ac:dyDescent="0.3">
      <c r="A182" s="637"/>
      <c r="B182" s="635"/>
      <c r="C182" s="632"/>
      <c r="D182" s="633"/>
      <c r="E182" s="61"/>
      <c r="F182" s="11" t="str">
        <f t="shared" si="2"/>
        <v/>
      </c>
    </row>
    <row r="183" spans="1:6" ht="14.4" hidden="1" customHeight="1" outlineLevel="1" x14ac:dyDescent="0.3">
      <c r="A183" s="637"/>
      <c r="B183" s="635"/>
      <c r="C183" s="632"/>
      <c r="D183" s="633"/>
      <c r="E183" s="61"/>
      <c r="F183" s="11" t="str">
        <f t="shared" si="2"/>
        <v/>
      </c>
    </row>
    <row r="184" spans="1:6" ht="14.4" hidden="1" customHeight="1" outlineLevel="1" x14ac:dyDescent="0.3">
      <c r="A184" s="637"/>
      <c r="B184" s="635"/>
      <c r="C184" s="632"/>
      <c r="D184" s="633"/>
      <c r="E184" s="61"/>
      <c r="F184" s="11" t="str">
        <f t="shared" si="2"/>
        <v/>
      </c>
    </row>
    <row r="185" spans="1:6" ht="14.4" hidden="1" customHeight="1" outlineLevel="1" x14ac:dyDescent="0.3">
      <c r="A185" s="637"/>
      <c r="B185" s="635"/>
      <c r="C185" s="632"/>
      <c r="D185" s="633"/>
      <c r="E185" s="61"/>
      <c r="F185" s="11" t="str">
        <f t="shared" si="2"/>
        <v/>
      </c>
    </row>
    <row r="186" spans="1:6" ht="14.4" hidden="1" customHeight="1" outlineLevel="1" x14ac:dyDescent="0.3">
      <c r="A186" s="637"/>
      <c r="B186" s="635"/>
      <c r="C186" s="632"/>
      <c r="D186" s="633"/>
      <c r="E186" s="61"/>
      <c r="F186" s="11" t="str">
        <f t="shared" si="2"/>
        <v/>
      </c>
    </row>
    <row r="187" spans="1:6" ht="14.4" hidden="1" customHeight="1" outlineLevel="1" x14ac:dyDescent="0.3">
      <c r="A187" s="637"/>
      <c r="B187" s="635"/>
      <c r="C187" s="632"/>
      <c r="D187" s="633"/>
      <c r="E187" s="61"/>
      <c r="F187" s="11" t="str">
        <f t="shared" si="2"/>
        <v/>
      </c>
    </row>
    <row r="188" spans="1:6" ht="14.4" hidden="1" customHeight="1" outlineLevel="1" x14ac:dyDescent="0.3">
      <c r="A188" s="637"/>
      <c r="B188" s="635"/>
      <c r="C188" s="632"/>
      <c r="D188" s="633"/>
      <c r="E188" s="61"/>
      <c r="F188" s="11" t="str">
        <f t="shared" ref="F188:F219" si="3">IF(AND($E$123 = "None", E188 &lt;&gt; ""), template_label_value_inconsistency,
IF(E188 = "", "",
IF(COUNTIF($E$123:$E$222, E188) &gt; 1,
   template_label_value_inconsistency,
   template_label_ok)))</f>
        <v/>
      </c>
    </row>
    <row r="189" spans="1:6" ht="14.4" hidden="1" customHeight="1" outlineLevel="1" x14ac:dyDescent="0.3">
      <c r="A189" s="637"/>
      <c r="B189" s="635"/>
      <c r="C189" s="632"/>
      <c r="D189" s="633"/>
      <c r="E189" s="61"/>
      <c r="F189" s="11" t="str">
        <f t="shared" si="3"/>
        <v/>
      </c>
    </row>
    <row r="190" spans="1:6" ht="14.4" hidden="1" customHeight="1" outlineLevel="1" x14ac:dyDescent="0.3">
      <c r="A190" s="637"/>
      <c r="B190" s="635"/>
      <c r="C190" s="632"/>
      <c r="D190" s="633"/>
      <c r="E190" s="61"/>
      <c r="F190" s="11" t="str">
        <f t="shared" si="3"/>
        <v/>
      </c>
    </row>
    <row r="191" spans="1:6" ht="14.4" hidden="1" customHeight="1" outlineLevel="1" x14ac:dyDescent="0.3">
      <c r="A191" s="637"/>
      <c r="B191" s="635"/>
      <c r="C191" s="632"/>
      <c r="D191" s="633"/>
      <c r="E191" s="61"/>
      <c r="F191" s="11" t="str">
        <f t="shared" si="3"/>
        <v/>
      </c>
    </row>
    <row r="192" spans="1:6" ht="14.4" hidden="1" customHeight="1" outlineLevel="1" x14ac:dyDescent="0.3">
      <c r="A192" s="637"/>
      <c r="B192" s="635"/>
      <c r="C192" s="632"/>
      <c r="D192" s="633"/>
      <c r="E192" s="61"/>
      <c r="F192" s="11" t="str">
        <f t="shared" si="3"/>
        <v/>
      </c>
    </row>
    <row r="193" spans="1:6" ht="14.4" hidden="1" customHeight="1" outlineLevel="1" x14ac:dyDescent="0.3">
      <c r="A193" s="637"/>
      <c r="B193" s="635"/>
      <c r="C193" s="632"/>
      <c r="D193" s="633"/>
      <c r="E193" s="61"/>
      <c r="F193" s="11" t="str">
        <f t="shared" si="3"/>
        <v/>
      </c>
    </row>
    <row r="194" spans="1:6" ht="14.4" hidden="1" customHeight="1" outlineLevel="1" x14ac:dyDescent="0.3">
      <c r="A194" s="637"/>
      <c r="B194" s="635"/>
      <c r="C194" s="632"/>
      <c r="D194" s="633"/>
      <c r="E194" s="61"/>
      <c r="F194" s="11" t="str">
        <f t="shared" si="3"/>
        <v/>
      </c>
    </row>
    <row r="195" spans="1:6" ht="14.4" hidden="1" customHeight="1" outlineLevel="1" x14ac:dyDescent="0.3">
      <c r="A195" s="637"/>
      <c r="B195" s="635"/>
      <c r="C195" s="632"/>
      <c r="D195" s="633"/>
      <c r="E195" s="61"/>
      <c r="F195" s="11" t="str">
        <f t="shared" si="3"/>
        <v/>
      </c>
    </row>
    <row r="196" spans="1:6" ht="14.4" hidden="1" customHeight="1" outlineLevel="1" x14ac:dyDescent="0.3">
      <c r="A196" s="637"/>
      <c r="B196" s="635"/>
      <c r="C196" s="632"/>
      <c r="D196" s="633"/>
      <c r="E196" s="61"/>
      <c r="F196" s="11" t="str">
        <f t="shared" si="3"/>
        <v/>
      </c>
    </row>
    <row r="197" spans="1:6" ht="14.4" hidden="1" customHeight="1" outlineLevel="1" x14ac:dyDescent="0.3">
      <c r="A197" s="637"/>
      <c r="B197" s="635"/>
      <c r="C197" s="632"/>
      <c r="D197" s="633"/>
      <c r="E197" s="61"/>
      <c r="F197" s="11" t="str">
        <f t="shared" si="3"/>
        <v/>
      </c>
    </row>
    <row r="198" spans="1:6" ht="14.4" hidden="1" customHeight="1" outlineLevel="1" x14ac:dyDescent="0.3">
      <c r="A198" s="637"/>
      <c r="B198" s="635"/>
      <c r="C198" s="632"/>
      <c r="D198" s="633"/>
      <c r="E198" s="61"/>
      <c r="F198" s="11" t="str">
        <f t="shared" si="3"/>
        <v/>
      </c>
    </row>
    <row r="199" spans="1:6" ht="14.4" hidden="1" customHeight="1" outlineLevel="1" x14ac:dyDescent="0.3">
      <c r="A199" s="637"/>
      <c r="B199" s="635"/>
      <c r="C199" s="632"/>
      <c r="D199" s="633"/>
      <c r="E199" s="61"/>
      <c r="F199" s="11" t="str">
        <f t="shared" si="3"/>
        <v/>
      </c>
    </row>
    <row r="200" spans="1:6" ht="14.4" hidden="1" customHeight="1" outlineLevel="1" x14ac:dyDescent="0.3">
      <c r="A200" s="637"/>
      <c r="B200" s="635"/>
      <c r="C200" s="632"/>
      <c r="D200" s="633"/>
      <c r="E200" s="61"/>
      <c r="F200" s="11" t="str">
        <f t="shared" si="3"/>
        <v/>
      </c>
    </row>
    <row r="201" spans="1:6" ht="14.4" hidden="1" customHeight="1" outlineLevel="1" x14ac:dyDescent="0.3">
      <c r="A201" s="637"/>
      <c r="B201" s="635"/>
      <c r="C201" s="632"/>
      <c r="D201" s="633"/>
      <c r="E201" s="61"/>
      <c r="F201" s="11" t="str">
        <f t="shared" si="3"/>
        <v/>
      </c>
    </row>
    <row r="202" spans="1:6" ht="14.4" hidden="1" customHeight="1" outlineLevel="1" x14ac:dyDescent="0.3">
      <c r="A202" s="637"/>
      <c r="B202" s="635"/>
      <c r="C202" s="632"/>
      <c r="D202" s="633"/>
      <c r="E202" s="61"/>
      <c r="F202" s="11" t="str">
        <f t="shared" si="3"/>
        <v/>
      </c>
    </row>
    <row r="203" spans="1:6" ht="14.4" hidden="1" customHeight="1" outlineLevel="1" x14ac:dyDescent="0.3">
      <c r="A203" s="637"/>
      <c r="B203" s="635"/>
      <c r="C203" s="632"/>
      <c r="D203" s="633"/>
      <c r="E203" s="61"/>
      <c r="F203" s="11" t="str">
        <f t="shared" si="3"/>
        <v/>
      </c>
    </row>
    <row r="204" spans="1:6" ht="14.4" hidden="1" customHeight="1" outlineLevel="1" x14ac:dyDescent="0.3">
      <c r="A204" s="637"/>
      <c r="B204" s="635"/>
      <c r="C204" s="632"/>
      <c r="D204" s="633"/>
      <c r="E204" s="61"/>
      <c r="F204" s="11" t="str">
        <f t="shared" si="3"/>
        <v/>
      </c>
    </row>
    <row r="205" spans="1:6" ht="14.4" hidden="1" customHeight="1" outlineLevel="1" x14ac:dyDescent="0.3">
      <c r="A205" s="637"/>
      <c r="B205" s="635"/>
      <c r="C205" s="632"/>
      <c r="D205" s="633"/>
      <c r="E205" s="61"/>
      <c r="F205" s="11" t="str">
        <f t="shared" si="3"/>
        <v/>
      </c>
    </row>
    <row r="206" spans="1:6" ht="14.4" hidden="1" customHeight="1" outlineLevel="1" x14ac:dyDescent="0.3">
      <c r="A206" s="637"/>
      <c r="B206" s="635"/>
      <c r="C206" s="632"/>
      <c r="D206" s="633"/>
      <c r="E206" s="61"/>
      <c r="F206" s="11" t="str">
        <f t="shared" si="3"/>
        <v/>
      </c>
    </row>
    <row r="207" spans="1:6" ht="14.4" hidden="1" customHeight="1" outlineLevel="1" x14ac:dyDescent="0.3">
      <c r="A207" s="637"/>
      <c r="B207" s="635"/>
      <c r="C207" s="632"/>
      <c r="D207" s="633"/>
      <c r="E207" s="61"/>
      <c r="F207" s="11" t="str">
        <f t="shared" si="3"/>
        <v/>
      </c>
    </row>
    <row r="208" spans="1:6" ht="14.4" hidden="1" customHeight="1" outlineLevel="1" x14ac:dyDescent="0.3">
      <c r="A208" s="637"/>
      <c r="B208" s="635"/>
      <c r="C208" s="632"/>
      <c r="D208" s="633"/>
      <c r="E208" s="61"/>
      <c r="F208" s="11" t="str">
        <f t="shared" si="3"/>
        <v/>
      </c>
    </row>
    <row r="209" spans="1:7" ht="14.4" hidden="1" customHeight="1" outlineLevel="1" x14ac:dyDescent="0.3">
      <c r="A209" s="637"/>
      <c r="B209" s="635"/>
      <c r="C209" s="632"/>
      <c r="D209" s="633"/>
      <c r="E209" s="61"/>
      <c r="F209" s="11" t="str">
        <f t="shared" si="3"/>
        <v/>
      </c>
    </row>
    <row r="210" spans="1:7" ht="14.4" hidden="1" customHeight="1" outlineLevel="1" x14ac:dyDescent="0.3">
      <c r="A210" s="637"/>
      <c r="B210" s="635"/>
      <c r="C210" s="632"/>
      <c r="D210" s="633"/>
      <c r="E210" s="61"/>
      <c r="F210" s="11" t="str">
        <f t="shared" si="3"/>
        <v/>
      </c>
    </row>
    <row r="211" spans="1:7" ht="14.4" hidden="1" customHeight="1" outlineLevel="1" x14ac:dyDescent="0.3">
      <c r="A211" s="637"/>
      <c r="B211" s="635"/>
      <c r="C211" s="632"/>
      <c r="D211" s="633"/>
      <c r="E211" s="61"/>
      <c r="F211" s="11" t="str">
        <f t="shared" si="3"/>
        <v/>
      </c>
    </row>
    <row r="212" spans="1:7" ht="14.4" hidden="1" customHeight="1" outlineLevel="1" x14ac:dyDescent="0.3">
      <c r="A212" s="637"/>
      <c r="B212" s="635"/>
      <c r="C212" s="632"/>
      <c r="D212" s="633"/>
      <c r="E212" s="61"/>
      <c r="F212" s="11" t="str">
        <f t="shared" si="3"/>
        <v/>
      </c>
    </row>
    <row r="213" spans="1:7" ht="14.4" hidden="1" customHeight="1" outlineLevel="1" x14ac:dyDescent="0.3">
      <c r="A213" s="637"/>
      <c r="B213" s="635"/>
      <c r="C213" s="632"/>
      <c r="D213" s="633"/>
      <c r="E213" s="61"/>
      <c r="F213" s="11" t="str">
        <f t="shared" si="3"/>
        <v/>
      </c>
    </row>
    <row r="214" spans="1:7" ht="14.4" hidden="1" customHeight="1" outlineLevel="1" x14ac:dyDescent="0.3">
      <c r="A214" s="637"/>
      <c r="B214" s="635"/>
      <c r="C214" s="632"/>
      <c r="D214" s="633"/>
      <c r="E214" s="61"/>
      <c r="F214" s="11" t="str">
        <f t="shared" si="3"/>
        <v/>
      </c>
    </row>
    <row r="215" spans="1:7" ht="14.4" hidden="1" customHeight="1" outlineLevel="1" x14ac:dyDescent="0.3">
      <c r="A215" s="637"/>
      <c r="B215" s="635"/>
      <c r="C215" s="632"/>
      <c r="D215" s="633"/>
      <c r="E215" s="61"/>
      <c r="F215" s="11" t="str">
        <f t="shared" si="3"/>
        <v/>
      </c>
    </row>
    <row r="216" spans="1:7" ht="14.4" hidden="1" customHeight="1" outlineLevel="1" x14ac:dyDescent="0.3">
      <c r="A216" s="637"/>
      <c r="B216" s="635"/>
      <c r="C216" s="632"/>
      <c r="D216" s="633"/>
      <c r="E216" s="61"/>
      <c r="F216" s="11" t="str">
        <f t="shared" si="3"/>
        <v/>
      </c>
    </row>
    <row r="217" spans="1:7" ht="14.4" hidden="1" customHeight="1" outlineLevel="1" x14ac:dyDescent="0.3">
      <c r="A217" s="637"/>
      <c r="B217" s="635"/>
      <c r="C217" s="632"/>
      <c r="D217" s="633"/>
      <c r="E217" s="61"/>
      <c r="F217" s="11" t="str">
        <f t="shared" si="3"/>
        <v/>
      </c>
    </row>
    <row r="218" spans="1:7" ht="14.4" hidden="1" customHeight="1" outlineLevel="1" x14ac:dyDescent="0.3">
      <c r="A218" s="637"/>
      <c r="B218" s="635"/>
      <c r="C218" s="632"/>
      <c r="D218" s="633"/>
      <c r="E218" s="61"/>
      <c r="F218" s="11" t="str">
        <f t="shared" si="3"/>
        <v/>
      </c>
    </row>
    <row r="219" spans="1:7" ht="14.4" hidden="1" customHeight="1" outlineLevel="1" x14ac:dyDescent="0.3">
      <c r="A219" s="637"/>
      <c r="B219" s="635"/>
      <c r="C219" s="632"/>
      <c r="D219" s="633"/>
      <c r="E219" s="61"/>
      <c r="F219" s="11" t="str">
        <f t="shared" si="3"/>
        <v/>
      </c>
    </row>
    <row r="220" spans="1:7" ht="14.4" hidden="1" customHeight="1" outlineLevel="1" x14ac:dyDescent="0.3">
      <c r="A220" s="637"/>
      <c r="B220" s="635"/>
      <c r="C220" s="632"/>
      <c r="D220" s="633"/>
      <c r="E220" s="61"/>
      <c r="F220" s="11" t="str">
        <f t="shared" ref="F220:F222" si="4">IF(AND($E$123 = "None", E220 &lt;&gt; ""), template_label_value_inconsistency,
IF(E220 = "", "",
IF(COUNTIF($E$123:$E$222, E220) &gt; 1,
   template_label_value_inconsistency,
   template_label_ok)))</f>
        <v/>
      </c>
    </row>
    <row r="221" spans="1:7" ht="14.4" hidden="1" customHeight="1" outlineLevel="1" x14ac:dyDescent="0.3">
      <c r="A221" s="637"/>
      <c r="B221" s="635"/>
      <c r="C221" s="632"/>
      <c r="D221" s="633"/>
      <c r="E221" s="61"/>
      <c r="F221" s="11" t="str">
        <f t="shared" si="4"/>
        <v/>
      </c>
    </row>
    <row r="222" spans="1:7" ht="14.4" hidden="1" customHeight="1" outlineLevel="1" x14ac:dyDescent="0.3">
      <c r="A222" s="637"/>
      <c r="B222" s="635"/>
      <c r="C222" s="632"/>
      <c r="D222" s="633"/>
      <c r="E222" s="61"/>
      <c r="F222" s="11" t="str">
        <f t="shared" si="4"/>
        <v/>
      </c>
    </row>
    <row r="223" spans="1:7" collapsed="1" x14ac:dyDescent="0.3">
      <c r="A223" s="460" t="s">
        <v>3732</v>
      </c>
      <c r="B223" s="249" t="s">
        <v>1</v>
      </c>
      <c r="C223" s="601" t="str">
        <f>template_label_basis_for_reporting</f>
        <v>Basis for reporting (consolidated or individual basis)</v>
      </c>
      <c r="D223" s="602"/>
      <c r="E223" s="60"/>
      <c r="F223" s="11" t="str">
        <f>IF(AND(OR(E122 = "Option A (Basic Module only)", E122 = "Option B (Basic Module and Comprehensive Module)"), E223 = ""),
    template_label_missing_value,
    IF(E122 = "", "", template_label_ok))</f>
        <v/>
      </c>
    </row>
    <row r="224" spans="1:7" x14ac:dyDescent="0.3">
      <c r="A224" s="615" t="s">
        <v>3947</v>
      </c>
      <c r="B224" s="617">
        <v>4</v>
      </c>
      <c r="C224" s="601" t="str">
        <f>template_label_undertakings_legal_form</f>
        <v>Undertakings legal form</v>
      </c>
      <c r="D224" s="602"/>
      <c r="E224" s="60"/>
      <c r="F224" s="11" t="str">
        <f>IF(AND(OR(E122 = "Option A (Basic Module only)", E122 = "Option B (Basic Module and Comprehensive Module)"), E224 = ""),
    template_label_missing_value,
    IF(E122 = "", "", template_label_ok))</f>
        <v/>
      </c>
      <c r="G224" t="str">
        <f>template_label_other_warning</f>
        <v>ℹ️ When "other" is chosen as undertaking legal form please fill the row below</v>
      </c>
    </row>
    <row r="225" spans="1:7" x14ac:dyDescent="0.3">
      <c r="A225" s="616"/>
      <c r="B225" s="617"/>
      <c r="C225" s="618" t="str">
        <f>template_label_other_undertakings_legal_form_specification</f>
        <v>Other undertaking's legal form specification</v>
      </c>
      <c r="D225" s="619"/>
      <c r="E225" s="62"/>
      <c r="F225" s="11" t="str">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spans="1:7" ht="14.4" customHeight="1" x14ac:dyDescent="0.3">
      <c r="A226" s="615" t="s">
        <v>3733</v>
      </c>
      <c r="B226" s="639" t="s">
        <v>5639</v>
      </c>
      <c r="C226" s="643" t="str">
        <f>template_label_nace_sector_classification_code</f>
        <v>NACE sector classification code(s)</v>
      </c>
      <c r="D226" s="644"/>
      <c r="E226" s="60"/>
      <c r="F226" s="11" t="str">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
      </c>
      <c r="G226" t="str">
        <f>template_label_NACE_warning</f>
        <v>ℹ️  Please select a NACE code rather than a category else an ERROR message will appear.</v>
      </c>
    </row>
    <row r="227" spans="1:7" ht="14.4" customHeight="1" x14ac:dyDescent="0.3">
      <c r="A227" s="638"/>
      <c r="B227" s="640"/>
      <c r="C227" s="645"/>
      <c r="D227" s="646"/>
      <c r="E227" s="60"/>
      <c r="F227" s="11" t="str">
        <f t="shared" ref="F227:F258" si="5">IF(COUNTIF(enum_ListNACECategories, E227) &gt; 0, template_label_error,
IF(E227 = "", "",
IF(COUNTIF($E$226:$E$325, E227) &gt; 1, template_label_value_inconsistency, template_label_ok)))</f>
        <v/>
      </c>
    </row>
    <row r="228" spans="1:7" ht="14.4" customHeight="1" x14ac:dyDescent="0.3">
      <c r="A228" s="638"/>
      <c r="B228" s="640"/>
      <c r="C228" s="645"/>
      <c r="D228" s="646"/>
      <c r="E228" s="60"/>
      <c r="F228" s="11" t="str">
        <f t="shared" si="5"/>
        <v/>
      </c>
    </row>
    <row r="229" spans="1:7" ht="14.4" hidden="1" customHeight="1" outlineLevel="2" x14ac:dyDescent="0.3">
      <c r="A229" s="638"/>
      <c r="B229" s="640"/>
      <c r="C229" s="645"/>
      <c r="D229" s="646"/>
      <c r="E229" s="60"/>
      <c r="F229" s="11" t="str">
        <f t="shared" si="5"/>
        <v/>
      </c>
    </row>
    <row r="230" spans="1:7" ht="14.4" hidden="1" customHeight="1" outlineLevel="2" x14ac:dyDescent="0.3">
      <c r="A230" s="638"/>
      <c r="B230" s="640"/>
      <c r="C230" s="645"/>
      <c r="D230" s="646"/>
      <c r="E230" s="60"/>
      <c r="F230" s="11" t="str">
        <f t="shared" si="5"/>
        <v/>
      </c>
    </row>
    <row r="231" spans="1:7" ht="14.4" hidden="1" customHeight="1" outlineLevel="2" x14ac:dyDescent="0.3">
      <c r="A231" s="638"/>
      <c r="B231" s="640"/>
      <c r="C231" s="645"/>
      <c r="D231" s="646"/>
      <c r="E231" s="60"/>
      <c r="F231" s="11" t="str">
        <f t="shared" si="5"/>
        <v/>
      </c>
    </row>
    <row r="232" spans="1:7" ht="14.4" hidden="1" customHeight="1" outlineLevel="2" x14ac:dyDescent="0.3">
      <c r="A232" s="638"/>
      <c r="B232" s="640"/>
      <c r="C232" s="645"/>
      <c r="D232" s="646"/>
      <c r="E232" s="60"/>
      <c r="F232" s="11" t="str">
        <f t="shared" si="5"/>
        <v/>
      </c>
    </row>
    <row r="233" spans="1:7" ht="14.4" hidden="1" customHeight="1" outlineLevel="2" x14ac:dyDescent="0.3">
      <c r="A233" s="638"/>
      <c r="B233" s="640"/>
      <c r="C233" s="645"/>
      <c r="D233" s="646"/>
      <c r="E233" s="60"/>
      <c r="F233" s="11" t="str">
        <f t="shared" si="5"/>
        <v/>
      </c>
    </row>
    <row r="234" spans="1:7" ht="14.4" hidden="1" customHeight="1" outlineLevel="2" x14ac:dyDescent="0.3">
      <c r="A234" s="638"/>
      <c r="B234" s="640"/>
      <c r="C234" s="645"/>
      <c r="D234" s="646"/>
      <c r="E234" s="60"/>
      <c r="F234" s="11" t="str">
        <f t="shared" si="5"/>
        <v/>
      </c>
    </row>
    <row r="235" spans="1:7" ht="14.4" hidden="1" customHeight="1" outlineLevel="2" x14ac:dyDescent="0.3">
      <c r="A235" s="638"/>
      <c r="B235" s="640"/>
      <c r="C235" s="645"/>
      <c r="D235" s="646"/>
      <c r="E235" s="60"/>
      <c r="F235" s="11" t="str">
        <f t="shared" si="5"/>
        <v/>
      </c>
    </row>
    <row r="236" spans="1:7" ht="14.4" hidden="1" customHeight="1" outlineLevel="2" x14ac:dyDescent="0.3">
      <c r="A236" s="638"/>
      <c r="B236" s="640"/>
      <c r="C236" s="645"/>
      <c r="D236" s="646"/>
      <c r="E236" s="60"/>
      <c r="F236" s="11" t="str">
        <f t="shared" si="5"/>
        <v/>
      </c>
    </row>
    <row r="237" spans="1:7" ht="14.4" hidden="1" customHeight="1" outlineLevel="2" x14ac:dyDescent="0.3">
      <c r="A237" s="638"/>
      <c r="B237" s="640"/>
      <c r="C237" s="645"/>
      <c r="D237" s="646"/>
      <c r="E237" s="60"/>
      <c r="F237" s="11" t="str">
        <f t="shared" si="5"/>
        <v/>
      </c>
    </row>
    <row r="238" spans="1:7" ht="14.4" hidden="1" customHeight="1" outlineLevel="2" x14ac:dyDescent="0.3">
      <c r="A238" s="638"/>
      <c r="B238" s="640"/>
      <c r="C238" s="645"/>
      <c r="D238" s="646"/>
      <c r="E238" s="60"/>
      <c r="F238" s="11" t="str">
        <f t="shared" si="5"/>
        <v/>
      </c>
    </row>
    <row r="239" spans="1:7" ht="14.4" hidden="1" customHeight="1" outlineLevel="2" x14ac:dyDescent="0.3">
      <c r="A239" s="638"/>
      <c r="B239" s="640"/>
      <c r="C239" s="645"/>
      <c r="D239" s="646"/>
      <c r="E239" s="60"/>
      <c r="F239" s="11" t="str">
        <f t="shared" si="5"/>
        <v/>
      </c>
    </row>
    <row r="240" spans="1:7" ht="14.4" hidden="1" customHeight="1" outlineLevel="2" x14ac:dyDescent="0.3">
      <c r="A240" s="638"/>
      <c r="B240" s="640"/>
      <c r="C240" s="645"/>
      <c r="D240" s="646"/>
      <c r="E240" s="60"/>
      <c r="F240" s="11" t="str">
        <f t="shared" si="5"/>
        <v/>
      </c>
    </row>
    <row r="241" spans="1:6" ht="14.4" hidden="1" customHeight="1" outlineLevel="2" x14ac:dyDescent="0.3">
      <c r="A241" s="638"/>
      <c r="B241" s="640"/>
      <c r="C241" s="645"/>
      <c r="D241" s="646"/>
      <c r="E241" s="60"/>
      <c r="F241" s="11" t="str">
        <f t="shared" si="5"/>
        <v/>
      </c>
    </row>
    <row r="242" spans="1:6" ht="14.4" hidden="1" customHeight="1" outlineLevel="2" x14ac:dyDescent="0.3">
      <c r="A242" s="638"/>
      <c r="B242" s="640"/>
      <c r="C242" s="645"/>
      <c r="D242" s="646"/>
      <c r="E242" s="60"/>
      <c r="F242" s="11" t="str">
        <f t="shared" si="5"/>
        <v/>
      </c>
    </row>
    <row r="243" spans="1:6" ht="14.4" hidden="1" customHeight="1" outlineLevel="2" x14ac:dyDescent="0.3">
      <c r="A243" s="638"/>
      <c r="B243" s="640"/>
      <c r="C243" s="645"/>
      <c r="D243" s="646"/>
      <c r="E243" s="60"/>
      <c r="F243" s="11" t="str">
        <f t="shared" si="5"/>
        <v/>
      </c>
    </row>
    <row r="244" spans="1:6" ht="14.4" hidden="1" customHeight="1" outlineLevel="2" x14ac:dyDescent="0.3">
      <c r="A244" s="638"/>
      <c r="B244" s="640"/>
      <c r="C244" s="645"/>
      <c r="D244" s="646"/>
      <c r="E244" s="60"/>
      <c r="F244" s="11" t="str">
        <f t="shared" si="5"/>
        <v/>
      </c>
    </row>
    <row r="245" spans="1:6" ht="14.4" hidden="1" customHeight="1" outlineLevel="2" x14ac:dyDescent="0.3">
      <c r="A245" s="638"/>
      <c r="B245" s="640"/>
      <c r="C245" s="645"/>
      <c r="D245" s="646"/>
      <c r="E245" s="60"/>
      <c r="F245" s="11" t="str">
        <f t="shared" si="5"/>
        <v/>
      </c>
    </row>
    <row r="246" spans="1:6" ht="14.4" hidden="1" customHeight="1" outlineLevel="2" x14ac:dyDescent="0.3">
      <c r="A246" s="638"/>
      <c r="B246" s="640"/>
      <c r="C246" s="645"/>
      <c r="D246" s="646"/>
      <c r="E246" s="60"/>
      <c r="F246" s="11" t="str">
        <f t="shared" si="5"/>
        <v/>
      </c>
    </row>
    <row r="247" spans="1:6" ht="14.4" hidden="1" customHeight="1" outlineLevel="2" x14ac:dyDescent="0.3">
      <c r="A247" s="638"/>
      <c r="B247" s="640"/>
      <c r="C247" s="645"/>
      <c r="D247" s="646"/>
      <c r="E247" s="60"/>
      <c r="F247" s="11" t="str">
        <f t="shared" si="5"/>
        <v/>
      </c>
    </row>
    <row r="248" spans="1:6" ht="14.4" hidden="1" customHeight="1" outlineLevel="2" x14ac:dyDescent="0.3">
      <c r="A248" s="638"/>
      <c r="B248" s="640"/>
      <c r="C248" s="645"/>
      <c r="D248" s="646"/>
      <c r="E248" s="60"/>
      <c r="F248" s="11" t="str">
        <f t="shared" si="5"/>
        <v/>
      </c>
    </row>
    <row r="249" spans="1:6" ht="14.4" hidden="1" customHeight="1" outlineLevel="2" x14ac:dyDescent="0.3">
      <c r="A249" s="638"/>
      <c r="B249" s="640"/>
      <c r="C249" s="645"/>
      <c r="D249" s="646"/>
      <c r="E249" s="60"/>
      <c r="F249" s="11" t="str">
        <f t="shared" si="5"/>
        <v/>
      </c>
    </row>
    <row r="250" spans="1:6" ht="14.4" hidden="1" customHeight="1" outlineLevel="2" x14ac:dyDescent="0.3">
      <c r="A250" s="638"/>
      <c r="B250" s="640"/>
      <c r="C250" s="645"/>
      <c r="D250" s="646"/>
      <c r="E250" s="60"/>
      <c r="F250" s="11" t="str">
        <f t="shared" si="5"/>
        <v/>
      </c>
    </row>
    <row r="251" spans="1:6" ht="14.4" hidden="1" customHeight="1" outlineLevel="2" x14ac:dyDescent="0.3">
      <c r="A251" s="638"/>
      <c r="B251" s="640"/>
      <c r="C251" s="645"/>
      <c r="D251" s="646"/>
      <c r="E251" s="60"/>
      <c r="F251" s="11" t="str">
        <f t="shared" si="5"/>
        <v/>
      </c>
    </row>
    <row r="252" spans="1:6" ht="14.4" hidden="1" customHeight="1" outlineLevel="2" x14ac:dyDescent="0.3">
      <c r="A252" s="638"/>
      <c r="B252" s="640"/>
      <c r="C252" s="645"/>
      <c r="D252" s="646"/>
      <c r="E252" s="60"/>
      <c r="F252" s="11" t="str">
        <f t="shared" si="5"/>
        <v/>
      </c>
    </row>
    <row r="253" spans="1:6" ht="14.4" hidden="1" customHeight="1" outlineLevel="2" x14ac:dyDescent="0.3">
      <c r="A253" s="638"/>
      <c r="B253" s="640"/>
      <c r="C253" s="645"/>
      <c r="D253" s="646"/>
      <c r="E253" s="60"/>
      <c r="F253" s="11" t="str">
        <f t="shared" si="5"/>
        <v/>
      </c>
    </row>
    <row r="254" spans="1:6" ht="14.4" hidden="1" customHeight="1" outlineLevel="2" x14ac:dyDescent="0.3">
      <c r="A254" s="638"/>
      <c r="B254" s="640"/>
      <c r="C254" s="645"/>
      <c r="D254" s="646"/>
      <c r="E254" s="60"/>
      <c r="F254" s="11" t="str">
        <f t="shared" si="5"/>
        <v/>
      </c>
    </row>
    <row r="255" spans="1:6" ht="14.4" hidden="1" customHeight="1" outlineLevel="2" x14ac:dyDescent="0.3">
      <c r="A255" s="638"/>
      <c r="B255" s="640"/>
      <c r="C255" s="645"/>
      <c r="D255" s="646"/>
      <c r="E255" s="60"/>
      <c r="F255" s="11" t="str">
        <f t="shared" si="5"/>
        <v/>
      </c>
    </row>
    <row r="256" spans="1:6" ht="14.4" hidden="1" customHeight="1" outlineLevel="2" x14ac:dyDescent="0.3">
      <c r="A256" s="638"/>
      <c r="B256" s="640"/>
      <c r="C256" s="645"/>
      <c r="D256" s="646"/>
      <c r="E256" s="60"/>
      <c r="F256" s="11" t="str">
        <f t="shared" si="5"/>
        <v/>
      </c>
    </row>
    <row r="257" spans="1:6" ht="14.4" hidden="1" customHeight="1" outlineLevel="2" x14ac:dyDescent="0.3">
      <c r="A257" s="638"/>
      <c r="B257" s="640"/>
      <c r="C257" s="645"/>
      <c r="D257" s="646"/>
      <c r="E257" s="60"/>
      <c r="F257" s="11" t="str">
        <f t="shared" si="5"/>
        <v/>
      </c>
    </row>
    <row r="258" spans="1:6" ht="14.4" hidden="1" customHeight="1" outlineLevel="2" x14ac:dyDescent="0.3">
      <c r="A258" s="638"/>
      <c r="B258" s="640"/>
      <c r="C258" s="645"/>
      <c r="D258" s="646"/>
      <c r="E258" s="60"/>
      <c r="F258" s="11" t="str">
        <f t="shared" si="5"/>
        <v/>
      </c>
    </row>
    <row r="259" spans="1:6" ht="14.4" hidden="1" customHeight="1" outlineLevel="2" x14ac:dyDescent="0.3">
      <c r="A259" s="638"/>
      <c r="B259" s="640"/>
      <c r="C259" s="645"/>
      <c r="D259" s="646"/>
      <c r="E259" s="60"/>
      <c r="F259" s="11" t="str">
        <f t="shared" ref="F259:F290" si="6">IF(COUNTIF(enum_ListNACECategories, E259) &gt; 0, template_label_error,
IF(E259 = "", "",
IF(COUNTIF($E$226:$E$325, E259) &gt; 1, template_label_value_inconsistency, template_label_ok)))</f>
        <v/>
      </c>
    </row>
    <row r="260" spans="1:6" ht="14.4" hidden="1" customHeight="1" outlineLevel="2" x14ac:dyDescent="0.3">
      <c r="A260" s="638"/>
      <c r="B260" s="640"/>
      <c r="C260" s="645"/>
      <c r="D260" s="646"/>
      <c r="E260" s="60"/>
      <c r="F260" s="11" t="str">
        <f t="shared" si="6"/>
        <v/>
      </c>
    </row>
    <row r="261" spans="1:6" ht="14.4" hidden="1" customHeight="1" outlineLevel="2" x14ac:dyDescent="0.3">
      <c r="A261" s="638"/>
      <c r="B261" s="640"/>
      <c r="C261" s="645"/>
      <c r="D261" s="646"/>
      <c r="E261" s="60"/>
      <c r="F261" s="11" t="str">
        <f t="shared" si="6"/>
        <v/>
      </c>
    </row>
    <row r="262" spans="1:6" ht="14.4" hidden="1" customHeight="1" outlineLevel="2" x14ac:dyDescent="0.3">
      <c r="A262" s="638"/>
      <c r="B262" s="640"/>
      <c r="C262" s="645"/>
      <c r="D262" s="646"/>
      <c r="E262" s="60"/>
      <c r="F262" s="11" t="str">
        <f t="shared" si="6"/>
        <v/>
      </c>
    </row>
    <row r="263" spans="1:6" ht="14.4" hidden="1" customHeight="1" outlineLevel="2" x14ac:dyDescent="0.3">
      <c r="A263" s="638"/>
      <c r="B263" s="640"/>
      <c r="C263" s="645"/>
      <c r="D263" s="646"/>
      <c r="E263" s="60"/>
      <c r="F263" s="11" t="str">
        <f t="shared" si="6"/>
        <v/>
      </c>
    </row>
    <row r="264" spans="1:6" ht="14.4" hidden="1" customHeight="1" outlineLevel="2" x14ac:dyDescent="0.3">
      <c r="A264" s="638"/>
      <c r="B264" s="640"/>
      <c r="C264" s="645"/>
      <c r="D264" s="646"/>
      <c r="E264" s="60"/>
      <c r="F264" s="11" t="str">
        <f t="shared" si="6"/>
        <v/>
      </c>
    </row>
    <row r="265" spans="1:6" ht="14.4" hidden="1" customHeight="1" outlineLevel="2" x14ac:dyDescent="0.3">
      <c r="A265" s="638"/>
      <c r="B265" s="640"/>
      <c r="C265" s="645"/>
      <c r="D265" s="646"/>
      <c r="E265" s="60"/>
      <c r="F265" s="11" t="str">
        <f t="shared" si="6"/>
        <v/>
      </c>
    </row>
    <row r="266" spans="1:6" ht="14.4" hidden="1" customHeight="1" outlineLevel="2" x14ac:dyDescent="0.3">
      <c r="A266" s="638"/>
      <c r="B266" s="640"/>
      <c r="C266" s="645"/>
      <c r="D266" s="646"/>
      <c r="E266" s="60"/>
      <c r="F266" s="11" t="str">
        <f t="shared" si="6"/>
        <v/>
      </c>
    </row>
    <row r="267" spans="1:6" ht="14.4" hidden="1" customHeight="1" outlineLevel="2" x14ac:dyDescent="0.3">
      <c r="A267" s="638"/>
      <c r="B267" s="640"/>
      <c r="C267" s="645"/>
      <c r="D267" s="646"/>
      <c r="E267" s="60"/>
      <c r="F267" s="11" t="str">
        <f t="shared" si="6"/>
        <v/>
      </c>
    </row>
    <row r="268" spans="1:6" ht="14.4" hidden="1" customHeight="1" outlineLevel="2" x14ac:dyDescent="0.3">
      <c r="A268" s="638"/>
      <c r="B268" s="640"/>
      <c r="C268" s="645"/>
      <c r="D268" s="646"/>
      <c r="E268" s="60"/>
      <c r="F268" s="11" t="str">
        <f t="shared" si="6"/>
        <v/>
      </c>
    </row>
    <row r="269" spans="1:6" ht="14.4" hidden="1" customHeight="1" outlineLevel="2" x14ac:dyDescent="0.3">
      <c r="A269" s="638"/>
      <c r="B269" s="640"/>
      <c r="C269" s="645"/>
      <c r="D269" s="646"/>
      <c r="E269" s="60"/>
      <c r="F269" s="11" t="str">
        <f t="shared" si="6"/>
        <v/>
      </c>
    </row>
    <row r="270" spans="1:6" ht="14.4" hidden="1" customHeight="1" outlineLevel="2" x14ac:dyDescent="0.3">
      <c r="A270" s="638"/>
      <c r="B270" s="640"/>
      <c r="C270" s="645"/>
      <c r="D270" s="646"/>
      <c r="E270" s="60"/>
      <c r="F270" s="11" t="str">
        <f t="shared" si="6"/>
        <v/>
      </c>
    </row>
    <row r="271" spans="1:6" ht="14.4" hidden="1" customHeight="1" outlineLevel="2" x14ac:dyDescent="0.3">
      <c r="A271" s="638"/>
      <c r="B271" s="640"/>
      <c r="C271" s="645"/>
      <c r="D271" s="646"/>
      <c r="E271" s="60"/>
      <c r="F271" s="11" t="str">
        <f t="shared" si="6"/>
        <v/>
      </c>
    </row>
    <row r="272" spans="1:6" ht="14.4" hidden="1" customHeight="1" outlineLevel="2" x14ac:dyDescent="0.3">
      <c r="A272" s="638"/>
      <c r="B272" s="640"/>
      <c r="C272" s="645"/>
      <c r="D272" s="646"/>
      <c r="E272" s="60"/>
      <c r="F272" s="11" t="str">
        <f t="shared" si="6"/>
        <v/>
      </c>
    </row>
    <row r="273" spans="1:6" ht="14.4" hidden="1" customHeight="1" outlineLevel="2" x14ac:dyDescent="0.3">
      <c r="A273" s="638"/>
      <c r="B273" s="640"/>
      <c r="C273" s="645"/>
      <c r="D273" s="646"/>
      <c r="E273" s="60"/>
      <c r="F273" s="11" t="str">
        <f t="shared" si="6"/>
        <v/>
      </c>
    </row>
    <row r="274" spans="1:6" ht="14.4" hidden="1" customHeight="1" outlineLevel="2" x14ac:dyDescent="0.3">
      <c r="A274" s="638"/>
      <c r="B274" s="640"/>
      <c r="C274" s="645"/>
      <c r="D274" s="646"/>
      <c r="E274" s="60"/>
      <c r="F274" s="11" t="str">
        <f t="shared" si="6"/>
        <v/>
      </c>
    </row>
    <row r="275" spans="1:6" ht="14.4" hidden="1" customHeight="1" outlineLevel="2" x14ac:dyDescent="0.3">
      <c r="A275" s="638"/>
      <c r="B275" s="640"/>
      <c r="C275" s="645"/>
      <c r="D275" s="646"/>
      <c r="E275" s="60"/>
      <c r="F275" s="11" t="str">
        <f t="shared" si="6"/>
        <v/>
      </c>
    </row>
    <row r="276" spans="1:6" ht="14.4" hidden="1" customHeight="1" outlineLevel="2" x14ac:dyDescent="0.3">
      <c r="A276" s="638"/>
      <c r="B276" s="640"/>
      <c r="C276" s="645"/>
      <c r="D276" s="646"/>
      <c r="E276" s="60"/>
      <c r="F276" s="11" t="str">
        <f t="shared" si="6"/>
        <v/>
      </c>
    </row>
    <row r="277" spans="1:6" ht="14.4" hidden="1" customHeight="1" outlineLevel="2" x14ac:dyDescent="0.3">
      <c r="A277" s="638"/>
      <c r="B277" s="640"/>
      <c r="C277" s="645"/>
      <c r="D277" s="646"/>
      <c r="E277" s="60"/>
      <c r="F277" s="11" t="str">
        <f t="shared" si="6"/>
        <v/>
      </c>
    </row>
    <row r="278" spans="1:6" ht="14.4" hidden="1" customHeight="1" outlineLevel="2" x14ac:dyDescent="0.3">
      <c r="A278" s="638"/>
      <c r="B278" s="640"/>
      <c r="C278" s="645"/>
      <c r="D278" s="646"/>
      <c r="E278" s="60"/>
      <c r="F278" s="11" t="str">
        <f t="shared" si="6"/>
        <v/>
      </c>
    </row>
    <row r="279" spans="1:6" ht="14.4" hidden="1" customHeight="1" outlineLevel="2" x14ac:dyDescent="0.3">
      <c r="A279" s="638"/>
      <c r="B279" s="640"/>
      <c r="C279" s="645"/>
      <c r="D279" s="646"/>
      <c r="E279" s="60"/>
      <c r="F279" s="11" t="str">
        <f t="shared" si="6"/>
        <v/>
      </c>
    </row>
    <row r="280" spans="1:6" ht="14.4" hidden="1" customHeight="1" outlineLevel="2" x14ac:dyDescent="0.3">
      <c r="A280" s="638"/>
      <c r="B280" s="640"/>
      <c r="C280" s="645"/>
      <c r="D280" s="646"/>
      <c r="E280" s="60"/>
      <c r="F280" s="11" t="str">
        <f t="shared" si="6"/>
        <v/>
      </c>
    </row>
    <row r="281" spans="1:6" ht="14.4" hidden="1" customHeight="1" outlineLevel="2" x14ac:dyDescent="0.3">
      <c r="A281" s="638"/>
      <c r="B281" s="640"/>
      <c r="C281" s="645"/>
      <c r="D281" s="646"/>
      <c r="E281" s="60"/>
      <c r="F281" s="11" t="str">
        <f t="shared" si="6"/>
        <v/>
      </c>
    </row>
    <row r="282" spans="1:6" ht="14.4" hidden="1" customHeight="1" outlineLevel="2" x14ac:dyDescent="0.3">
      <c r="A282" s="638"/>
      <c r="B282" s="640"/>
      <c r="C282" s="645"/>
      <c r="D282" s="646"/>
      <c r="E282" s="60"/>
      <c r="F282" s="11" t="str">
        <f t="shared" si="6"/>
        <v/>
      </c>
    </row>
    <row r="283" spans="1:6" ht="14.4" hidden="1" customHeight="1" outlineLevel="2" x14ac:dyDescent="0.3">
      <c r="A283" s="638"/>
      <c r="B283" s="640"/>
      <c r="C283" s="645"/>
      <c r="D283" s="646"/>
      <c r="E283" s="60"/>
      <c r="F283" s="11" t="str">
        <f t="shared" si="6"/>
        <v/>
      </c>
    </row>
    <row r="284" spans="1:6" ht="14.4" hidden="1" customHeight="1" outlineLevel="2" x14ac:dyDescent="0.3">
      <c r="A284" s="638"/>
      <c r="B284" s="640"/>
      <c r="C284" s="645"/>
      <c r="D284" s="646"/>
      <c r="E284" s="60"/>
      <c r="F284" s="11" t="str">
        <f t="shared" si="6"/>
        <v/>
      </c>
    </row>
    <row r="285" spans="1:6" ht="14.4" hidden="1" customHeight="1" outlineLevel="2" x14ac:dyDescent="0.3">
      <c r="A285" s="638"/>
      <c r="B285" s="640"/>
      <c r="C285" s="645"/>
      <c r="D285" s="646"/>
      <c r="E285" s="60"/>
      <c r="F285" s="11" t="str">
        <f t="shared" si="6"/>
        <v/>
      </c>
    </row>
    <row r="286" spans="1:6" ht="14.4" hidden="1" customHeight="1" outlineLevel="2" x14ac:dyDescent="0.3">
      <c r="A286" s="638"/>
      <c r="B286" s="640"/>
      <c r="C286" s="645"/>
      <c r="D286" s="646"/>
      <c r="E286" s="60"/>
      <c r="F286" s="11" t="str">
        <f t="shared" si="6"/>
        <v/>
      </c>
    </row>
    <row r="287" spans="1:6" ht="14.4" hidden="1" customHeight="1" outlineLevel="2" x14ac:dyDescent="0.3">
      <c r="A287" s="638"/>
      <c r="B287" s="640"/>
      <c r="C287" s="645"/>
      <c r="D287" s="646"/>
      <c r="E287" s="60"/>
      <c r="F287" s="11" t="str">
        <f t="shared" si="6"/>
        <v/>
      </c>
    </row>
    <row r="288" spans="1:6" ht="14.4" hidden="1" customHeight="1" outlineLevel="2" x14ac:dyDescent="0.3">
      <c r="A288" s="638"/>
      <c r="B288" s="640"/>
      <c r="C288" s="645"/>
      <c r="D288" s="646"/>
      <c r="E288" s="60"/>
      <c r="F288" s="11" t="str">
        <f t="shared" si="6"/>
        <v/>
      </c>
    </row>
    <row r="289" spans="1:6" ht="14.4" hidden="1" customHeight="1" outlineLevel="2" x14ac:dyDescent="0.3">
      <c r="A289" s="638"/>
      <c r="B289" s="640"/>
      <c r="C289" s="645"/>
      <c r="D289" s="646"/>
      <c r="E289" s="60"/>
      <c r="F289" s="11" t="str">
        <f t="shared" si="6"/>
        <v/>
      </c>
    </row>
    <row r="290" spans="1:6" ht="14.4" hidden="1" customHeight="1" outlineLevel="2" x14ac:dyDescent="0.3">
      <c r="A290" s="638"/>
      <c r="B290" s="640"/>
      <c r="C290" s="645"/>
      <c r="D290" s="646"/>
      <c r="E290" s="60"/>
      <c r="F290" s="11" t="str">
        <f t="shared" si="6"/>
        <v/>
      </c>
    </row>
    <row r="291" spans="1:6" ht="14.4" hidden="1" customHeight="1" outlineLevel="2" x14ac:dyDescent="0.3">
      <c r="A291" s="638"/>
      <c r="B291" s="640"/>
      <c r="C291" s="645"/>
      <c r="D291" s="646"/>
      <c r="E291" s="60"/>
      <c r="F291" s="11" t="str">
        <f t="shared" ref="F291:F322" si="7">IF(COUNTIF(enum_ListNACECategories, E291) &gt; 0, template_label_error,
IF(E291 = "", "",
IF(COUNTIF($E$226:$E$325, E291) &gt; 1, template_label_value_inconsistency, template_label_ok)))</f>
        <v/>
      </c>
    </row>
    <row r="292" spans="1:6" ht="14.4" hidden="1" customHeight="1" outlineLevel="2" x14ac:dyDescent="0.3">
      <c r="A292" s="638"/>
      <c r="B292" s="640"/>
      <c r="C292" s="645"/>
      <c r="D292" s="646"/>
      <c r="E292" s="60"/>
      <c r="F292" s="11" t="str">
        <f t="shared" si="7"/>
        <v/>
      </c>
    </row>
    <row r="293" spans="1:6" ht="14.4" hidden="1" customHeight="1" outlineLevel="2" x14ac:dyDescent="0.3">
      <c r="A293" s="638"/>
      <c r="B293" s="640"/>
      <c r="C293" s="645"/>
      <c r="D293" s="646"/>
      <c r="E293" s="60"/>
      <c r="F293" s="11" t="str">
        <f t="shared" si="7"/>
        <v/>
      </c>
    </row>
    <row r="294" spans="1:6" ht="14.4" hidden="1" customHeight="1" outlineLevel="2" x14ac:dyDescent="0.3">
      <c r="A294" s="638"/>
      <c r="B294" s="640"/>
      <c r="C294" s="645"/>
      <c r="D294" s="646"/>
      <c r="E294" s="60"/>
      <c r="F294" s="11" t="str">
        <f t="shared" si="7"/>
        <v/>
      </c>
    </row>
    <row r="295" spans="1:6" ht="14.4" hidden="1" customHeight="1" outlineLevel="2" x14ac:dyDescent="0.3">
      <c r="A295" s="638"/>
      <c r="B295" s="640"/>
      <c r="C295" s="645"/>
      <c r="D295" s="646"/>
      <c r="E295" s="60"/>
      <c r="F295" s="11" t="str">
        <f t="shared" si="7"/>
        <v/>
      </c>
    </row>
    <row r="296" spans="1:6" ht="14.4" hidden="1" customHeight="1" outlineLevel="2" x14ac:dyDescent="0.3">
      <c r="A296" s="638"/>
      <c r="B296" s="640"/>
      <c r="C296" s="645"/>
      <c r="D296" s="646"/>
      <c r="E296" s="60"/>
      <c r="F296" s="11" t="str">
        <f t="shared" si="7"/>
        <v/>
      </c>
    </row>
    <row r="297" spans="1:6" ht="14.4" hidden="1" customHeight="1" outlineLevel="2" x14ac:dyDescent="0.3">
      <c r="A297" s="638"/>
      <c r="B297" s="640"/>
      <c r="C297" s="645"/>
      <c r="D297" s="646"/>
      <c r="E297" s="60"/>
      <c r="F297" s="11" t="str">
        <f t="shared" si="7"/>
        <v/>
      </c>
    </row>
    <row r="298" spans="1:6" ht="14.4" hidden="1" customHeight="1" outlineLevel="2" x14ac:dyDescent="0.3">
      <c r="A298" s="638"/>
      <c r="B298" s="640"/>
      <c r="C298" s="645"/>
      <c r="D298" s="646"/>
      <c r="E298" s="60"/>
      <c r="F298" s="11" t="str">
        <f t="shared" si="7"/>
        <v/>
      </c>
    </row>
    <row r="299" spans="1:6" ht="14.4" hidden="1" customHeight="1" outlineLevel="2" x14ac:dyDescent="0.3">
      <c r="A299" s="638"/>
      <c r="B299" s="640"/>
      <c r="C299" s="645"/>
      <c r="D299" s="646"/>
      <c r="E299" s="60"/>
      <c r="F299" s="11" t="str">
        <f t="shared" si="7"/>
        <v/>
      </c>
    </row>
    <row r="300" spans="1:6" ht="14.4" hidden="1" customHeight="1" outlineLevel="2" x14ac:dyDescent="0.3">
      <c r="A300" s="638"/>
      <c r="B300" s="640"/>
      <c r="C300" s="645"/>
      <c r="D300" s="646"/>
      <c r="E300" s="60"/>
      <c r="F300" s="11" t="str">
        <f t="shared" si="7"/>
        <v/>
      </c>
    </row>
    <row r="301" spans="1:6" ht="14.4" hidden="1" customHeight="1" outlineLevel="2" x14ac:dyDescent="0.3">
      <c r="A301" s="638"/>
      <c r="B301" s="640"/>
      <c r="C301" s="645"/>
      <c r="D301" s="646"/>
      <c r="E301" s="60"/>
      <c r="F301" s="11" t="str">
        <f t="shared" si="7"/>
        <v/>
      </c>
    </row>
    <row r="302" spans="1:6" ht="14.4" hidden="1" customHeight="1" outlineLevel="2" x14ac:dyDescent="0.3">
      <c r="A302" s="638"/>
      <c r="B302" s="640"/>
      <c r="C302" s="645"/>
      <c r="D302" s="646"/>
      <c r="E302" s="60"/>
      <c r="F302" s="11" t="str">
        <f t="shared" si="7"/>
        <v/>
      </c>
    </row>
    <row r="303" spans="1:6" ht="14.4" hidden="1" customHeight="1" outlineLevel="2" x14ac:dyDescent="0.3">
      <c r="A303" s="638"/>
      <c r="B303" s="640"/>
      <c r="C303" s="645"/>
      <c r="D303" s="646"/>
      <c r="E303" s="60"/>
      <c r="F303" s="11" t="str">
        <f t="shared" si="7"/>
        <v/>
      </c>
    </row>
    <row r="304" spans="1:6" ht="14.4" hidden="1" customHeight="1" outlineLevel="2" x14ac:dyDescent="0.3">
      <c r="A304" s="638"/>
      <c r="B304" s="640"/>
      <c r="C304" s="645"/>
      <c r="D304" s="646"/>
      <c r="E304" s="60"/>
      <c r="F304" s="11" t="str">
        <f t="shared" si="7"/>
        <v/>
      </c>
    </row>
    <row r="305" spans="1:6" ht="14.4" hidden="1" customHeight="1" outlineLevel="2" x14ac:dyDescent="0.3">
      <c r="A305" s="638"/>
      <c r="B305" s="640"/>
      <c r="C305" s="645"/>
      <c r="D305" s="646"/>
      <c r="E305" s="60"/>
      <c r="F305" s="11" t="str">
        <f t="shared" si="7"/>
        <v/>
      </c>
    </row>
    <row r="306" spans="1:6" ht="14.4" hidden="1" customHeight="1" outlineLevel="2" x14ac:dyDescent="0.3">
      <c r="A306" s="638"/>
      <c r="B306" s="640"/>
      <c r="C306" s="645"/>
      <c r="D306" s="646"/>
      <c r="E306" s="60"/>
      <c r="F306" s="11" t="str">
        <f t="shared" si="7"/>
        <v/>
      </c>
    </row>
    <row r="307" spans="1:6" ht="14.4" hidden="1" customHeight="1" outlineLevel="2" x14ac:dyDescent="0.3">
      <c r="A307" s="638"/>
      <c r="B307" s="640"/>
      <c r="C307" s="645"/>
      <c r="D307" s="646"/>
      <c r="E307" s="60"/>
      <c r="F307" s="11" t="str">
        <f t="shared" si="7"/>
        <v/>
      </c>
    </row>
    <row r="308" spans="1:6" ht="14.4" hidden="1" customHeight="1" outlineLevel="2" x14ac:dyDescent="0.3">
      <c r="A308" s="638"/>
      <c r="B308" s="640"/>
      <c r="C308" s="645"/>
      <c r="D308" s="646"/>
      <c r="E308" s="60"/>
      <c r="F308" s="11" t="str">
        <f t="shared" si="7"/>
        <v/>
      </c>
    </row>
    <row r="309" spans="1:6" ht="14.4" hidden="1" customHeight="1" outlineLevel="2" x14ac:dyDescent="0.3">
      <c r="A309" s="638"/>
      <c r="B309" s="640"/>
      <c r="C309" s="645"/>
      <c r="D309" s="646"/>
      <c r="E309" s="60"/>
      <c r="F309" s="11" t="str">
        <f t="shared" si="7"/>
        <v/>
      </c>
    </row>
    <row r="310" spans="1:6" ht="14.4" hidden="1" customHeight="1" outlineLevel="2" x14ac:dyDescent="0.3">
      <c r="A310" s="638"/>
      <c r="B310" s="640"/>
      <c r="C310" s="645"/>
      <c r="D310" s="646"/>
      <c r="E310" s="60"/>
      <c r="F310" s="11" t="str">
        <f t="shared" si="7"/>
        <v/>
      </c>
    </row>
    <row r="311" spans="1:6" ht="14.4" hidden="1" customHeight="1" outlineLevel="2" x14ac:dyDescent="0.3">
      <c r="A311" s="638"/>
      <c r="B311" s="640"/>
      <c r="C311" s="645"/>
      <c r="D311" s="646"/>
      <c r="E311" s="60"/>
      <c r="F311" s="11" t="str">
        <f t="shared" si="7"/>
        <v/>
      </c>
    </row>
    <row r="312" spans="1:6" ht="14.4" hidden="1" customHeight="1" outlineLevel="2" x14ac:dyDescent="0.3">
      <c r="A312" s="638"/>
      <c r="B312" s="640"/>
      <c r="C312" s="645"/>
      <c r="D312" s="646"/>
      <c r="E312" s="60"/>
      <c r="F312" s="11" t="str">
        <f t="shared" si="7"/>
        <v/>
      </c>
    </row>
    <row r="313" spans="1:6" ht="14.4" hidden="1" customHeight="1" outlineLevel="2" x14ac:dyDescent="0.3">
      <c r="A313" s="638"/>
      <c r="B313" s="640"/>
      <c r="C313" s="645"/>
      <c r="D313" s="646"/>
      <c r="E313" s="60"/>
      <c r="F313" s="11" t="str">
        <f t="shared" si="7"/>
        <v/>
      </c>
    </row>
    <row r="314" spans="1:6" ht="14.4" hidden="1" customHeight="1" outlineLevel="2" x14ac:dyDescent="0.3">
      <c r="A314" s="638"/>
      <c r="B314" s="640"/>
      <c r="C314" s="645"/>
      <c r="D314" s="646"/>
      <c r="E314" s="60"/>
      <c r="F314" s="11" t="str">
        <f t="shared" si="7"/>
        <v/>
      </c>
    </row>
    <row r="315" spans="1:6" ht="14.4" hidden="1" customHeight="1" outlineLevel="2" x14ac:dyDescent="0.3">
      <c r="A315" s="638"/>
      <c r="B315" s="640"/>
      <c r="C315" s="645"/>
      <c r="D315" s="646"/>
      <c r="E315" s="60"/>
      <c r="F315" s="11" t="str">
        <f t="shared" si="7"/>
        <v/>
      </c>
    </row>
    <row r="316" spans="1:6" ht="14.4" hidden="1" customHeight="1" outlineLevel="2" x14ac:dyDescent="0.3">
      <c r="A316" s="638"/>
      <c r="B316" s="640"/>
      <c r="C316" s="645"/>
      <c r="D316" s="646"/>
      <c r="E316" s="60"/>
      <c r="F316" s="11" t="str">
        <f t="shared" si="7"/>
        <v/>
      </c>
    </row>
    <row r="317" spans="1:6" ht="14.4" hidden="1" customHeight="1" outlineLevel="2" x14ac:dyDescent="0.3">
      <c r="A317" s="638"/>
      <c r="B317" s="640"/>
      <c r="C317" s="645"/>
      <c r="D317" s="646"/>
      <c r="E317" s="60"/>
      <c r="F317" s="11" t="str">
        <f t="shared" si="7"/>
        <v/>
      </c>
    </row>
    <row r="318" spans="1:6" ht="14.4" hidden="1" customHeight="1" outlineLevel="2" x14ac:dyDescent="0.3">
      <c r="A318" s="638"/>
      <c r="B318" s="640"/>
      <c r="C318" s="645"/>
      <c r="D318" s="646"/>
      <c r="E318" s="60"/>
      <c r="F318" s="11" t="str">
        <f t="shared" si="7"/>
        <v/>
      </c>
    </row>
    <row r="319" spans="1:6" ht="14.4" hidden="1" customHeight="1" outlineLevel="2" x14ac:dyDescent="0.3">
      <c r="A319" s="638"/>
      <c r="B319" s="640"/>
      <c r="C319" s="645"/>
      <c r="D319" s="646"/>
      <c r="E319" s="60"/>
      <c r="F319" s="11" t="str">
        <f t="shared" si="7"/>
        <v/>
      </c>
    </row>
    <row r="320" spans="1:6" ht="14.4" hidden="1" customHeight="1" outlineLevel="2" x14ac:dyDescent="0.3">
      <c r="A320" s="638"/>
      <c r="B320" s="640"/>
      <c r="C320" s="645"/>
      <c r="D320" s="646"/>
      <c r="E320" s="60"/>
      <c r="F320" s="11" t="str">
        <f t="shared" si="7"/>
        <v/>
      </c>
    </row>
    <row r="321" spans="1:7" ht="14.4" hidden="1" customHeight="1" outlineLevel="2" x14ac:dyDescent="0.3">
      <c r="A321" s="638"/>
      <c r="B321" s="640"/>
      <c r="C321" s="645"/>
      <c r="D321" s="646"/>
      <c r="E321" s="60"/>
      <c r="F321" s="11" t="str">
        <f t="shared" si="7"/>
        <v/>
      </c>
    </row>
    <row r="322" spans="1:7" ht="14.4" hidden="1" customHeight="1" outlineLevel="2" x14ac:dyDescent="0.3">
      <c r="A322" s="638"/>
      <c r="B322" s="640"/>
      <c r="C322" s="645"/>
      <c r="D322" s="646"/>
      <c r="E322" s="60"/>
      <c r="F322" s="11" t="str">
        <f t="shared" si="7"/>
        <v/>
      </c>
    </row>
    <row r="323" spans="1:7" ht="14.4" hidden="1" customHeight="1" outlineLevel="2" x14ac:dyDescent="0.3">
      <c r="A323" s="638"/>
      <c r="B323" s="640"/>
      <c r="C323" s="645"/>
      <c r="D323" s="646"/>
      <c r="E323" s="60"/>
      <c r="F323" s="11" t="str">
        <f t="shared" ref="F323:F325" si="8">IF(COUNTIF(enum_ListNACECategories, E323) &gt; 0, template_label_error,
IF(E323 = "", "",
IF(COUNTIF($E$226:$E$325, E323) &gt; 1, template_label_value_inconsistency, template_label_ok)))</f>
        <v/>
      </c>
    </row>
    <row r="324" spans="1:7" ht="14.4" hidden="1" customHeight="1" outlineLevel="2" x14ac:dyDescent="0.3">
      <c r="A324" s="638"/>
      <c r="B324" s="640"/>
      <c r="C324" s="645"/>
      <c r="D324" s="646"/>
      <c r="E324" s="60"/>
      <c r="F324" s="11" t="str">
        <f t="shared" si="8"/>
        <v/>
      </c>
    </row>
    <row r="325" spans="1:7" ht="14.4" hidden="1" customHeight="1" outlineLevel="2" x14ac:dyDescent="0.3">
      <c r="A325" s="638"/>
      <c r="B325" s="640"/>
      <c r="C325" s="645"/>
      <c r="D325" s="646"/>
      <c r="E325" s="60"/>
      <c r="F325" s="11" t="str">
        <f t="shared" si="8"/>
        <v/>
      </c>
    </row>
    <row r="326" spans="1:7" ht="14.4" customHeight="1" collapsed="1" x14ac:dyDescent="0.3">
      <c r="A326" s="460" t="s">
        <v>3734</v>
      </c>
      <c r="B326" s="249" t="s">
        <v>1</v>
      </c>
      <c r="C326" s="601" t="str">
        <f>template_label_size_of_balance_sheet_in &amp; " " &amp; template_currency</f>
        <v xml:space="preserve">Size of balance sheet (total assets) in </v>
      </c>
      <c r="D326" s="602"/>
      <c r="E326" s="63"/>
      <c r="F326" s="11" t="str">
        <f>IF(AND(OR(E122 = "Option A (Basic Module only)", E122 = "Option B (Basic Module and Comprehensive Module)"), E326 = ""),
    template_label_missing_value,
    IF(E122 = "", "", template_label_ok))</f>
        <v/>
      </c>
    </row>
    <row r="327" spans="1:7" ht="14.4" customHeight="1" x14ac:dyDescent="0.3">
      <c r="A327" s="460" t="s">
        <v>3735</v>
      </c>
      <c r="B327" s="249" t="s">
        <v>1</v>
      </c>
      <c r="C327" s="601" t="str">
        <f>template_label_turnover_in &amp; " " &amp; template_currency</f>
        <v xml:space="preserve">Turnover in </v>
      </c>
      <c r="D327" s="602"/>
      <c r="E327" s="63"/>
      <c r="F327" s="11" t="str">
        <f>IF(AND(OR(E122 = "Option A (Basic Module only)", E122 = "Option B (Basic Module and Comprehensive Module)"), E327 = ""),
    template_label_missing_value,
    IF(E122 = "", "", template_label_ok))</f>
        <v/>
      </c>
    </row>
    <row r="328" spans="1:7" ht="14.4" customHeight="1" x14ac:dyDescent="0.3">
      <c r="A328" s="460" t="s">
        <v>3725</v>
      </c>
      <c r="B328" s="464" t="s">
        <v>5640</v>
      </c>
      <c r="C328" s="601" t="str">
        <f>+template_label_number_of_employees</f>
        <v>Number of employees</v>
      </c>
      <c r="D328" s="602"/>
      <c r="E328" s="64"/>
      <c r="F328" s="11" t="str">
        <f>IF(AND(OR(E122 = "Option A (Basic Module only)", E122 = "Option B (Basic Module and Comprehensive Module)"), E328 = ""),
    template_label_missing_value,
    IF(E122 = "", "", template_label_ok))</f>
        <v/>
      </c>
    </row>
    <row r="329" spans="1:7" ht="14.4" customHeight="1" x14ac:dyDescent="0.3">
      <c r="A329" s="460" t="s">
        <v>3725</v>
      </c>
      <c r="B329" s="464" t="s">
        <v>5640</v>
      </c>
      <c r="C329" s="551" t="str">
        <f>template_label_employee_counting_methodology_end_of_reporting_period_or_average_during_the_reporting_period</f>
        <v>Employee counting methodology (At the end of reporting period or as an average during the reporting period)</v>
      </c>
      <c r="D329" s="552"/>
      <c r="E329" s="64"/>
      <c r="F329" s="11" t="str">
        <f>IF(AND(OR(E122 = "Option A (Basic Module only)", E122 = "Option B (Basic Module and Comprehensive Module)"), E329 = ""),
    template_label_missing_value,
    IF(E122 = "", "", template_label_ok))</f>
        <v/>
      </c>
    </row>
    <row r="330" spans="1:7" ht="14.4" customHeight="1" x14ac:dyDescent="0.3">
      <c r="A330" s="460" t="s">
        <v>3725</v>
      </c>
      <c r="B330" s="464" t="s">
        <v>5640</v>
      </c>
      <c r="C330" s="601" t="str">
        <f>template_label_employee_counting_methodology_headcount_or_fulltime_equivalent</f>
        <v>Employee counting methodology (Headcount or Full-time equivalent)</v>
      </c>
      <c r="D330" s="602"/>
      <c r="E330" s="61"/>
      <c r="F330" s="11" t="str">
        <f>IF(AND(OR(E122 = "Option A (Basic Module only)", E122 = "Option B (Basic Module and Comprehensive Module)"), E330 = ""),
    template_label_missing_value,
    IF(E122 = "", "", template_label_ok))</f>
        <v/>
      </c>
    </row>
    <row r="331" spans="1:7" ht="14.4" customHeight="1" thickBot="1" x14ac:dyDescent="0.35">
      <c r="A331" s="460" t="s">
        <v>3736</v>
      </c>
      <c r="B331" s="482" t="s">
        <v>5641</v>
      </c>
      <c r="C331" s="641" t="str">
        <f>template_label_country_of_primary_operations_and_location_of_significant_asset</f>
        <v>Country of primary operations and location of significant asset(s)</v>
      </c>
      <c r="D331" s="642"/>
      <c r="E331" s="65"/>
      <c r="F331" s="11" t="str">
        <f>IF(AND(OR(E122 = "Option A (Basic Module only)", E122 = "Option B (Basic Module and Comprehensive Module)"), E331 = ""),
    template_label_missing_value,
    IF(E122 = "", "", template_label_ok))</f>
        <v/>
      </c>
    </row>
    <row r="332" spans="1:7" ht="15" thickBot="1" x14ac:dyDescent="0.35">
      <c r="A332" s="247"/>
      <c r="B332" s="483"/>
    </row>
    <row r="333" spans="1:7" ht="14.4" customHeight="1" x14ac:dyDescent="0.3">
      <c r="A333" s="88"/>
      <c r="B333" s="88"/>
      <c r="C333" s="579" t="str">
        <f xml:space="preserve"> template_label_b1_list_of_subsidiaries &amp; " " &amp; template_label_from &amp; " " &amp; template_starting_date_display &amp; " " &amp; template_label_to &amp; " " &amp; template_ending_date_display &amp; " " &amp; template_label_if_applicable</f>
        <v>B1 - List of subsidiaries from - to - [If applicable]</v>
      </c>
      <c r="D333" s="580"/>
      <c r="E333" s="581"/>
    </row>
    <row r="334" spans="1:7" ht="14.4" customHeight="1" x14ac:dyDescent="0.3">
      <c r="A334" s="88"/>
      <c r="B334" s="88"/>
      <c r="C334" s="576" t="s">
        <v>3737</v>
      </c>
      <c r="D334" s="577"/>
      <c r="E334" s="578"/>
      <c r="F334" s="94"/>
    </row>
    <row r="335" spans="1:7" ht="14.4" customHeight="1" x14ac:dyDescent="0.3">
      <c r="A335" s="88"/>
      <c r="B335" s="88"/>
      <c r="C335" s="4" t="str">
        <f>template_label_id</f>
        <v>ID</v>
      </c>
      <c r="D335" t="str">
        <f>template_label_name</f>
        <v>Name</v>
      </c>
      <c r="E335" s="436" t="str">
        <f>template_label_registered_address</f>
        <v>Registered Address</v>
      </c>
    </row>
    <row r="336" spans="1:7" ht="14.4" customHeight="1" x14ac:dyDescent="0.3">
      <c r="A336" s="88"/>
      <c r="B336" s="88"/>
      <c r="C336" s="231">
        <v>1</v>
      </c>
      <c r="D336" s="489"/>
      <c r="E336" s="70"/>
      <c r="F336" s="11" t="str">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
      </c>
      <c r="G336" t="str">
        <f>template_label_additional_rows_warning</f>
        <v>ℹ️  Lists can be expanded using the little [+] button on the left.  If the number of rows is not sufficient, those can be added by right clicking the second row and selecting "Insert row".</v>
      </c>
    </row>
    <row r="337" spans="1:6" ht="14.4" customHeight="1" x14ac:dyDescent="0.3">
      <c r="A337" s="88"/>
      <c r="B337" s="88"/>
      <c r="C337" s="382">
        <v>2</v>
      </c>
      <c r="D337" s="67"/>
      <c r="E337" s="68"/>
      <c r="F337" s="86" t="str">
        <f t="shared" ref="F337:F435" si="9">IF(AND(D337&lt;&gt;"",E337=""), template_label_missing_value,
IF(AND(D337&lt;&gt;"",E337&lt;&gt;""), template_label_ok,
IF(AND(D337="",E337=""), "", template_label_missing_value)))</f>
        <v/>
      </c>
    </row>
    <row r="338" spans="1:6" ht="14.4" customHeight="1" thickBot="1" x14ac:dyDescent="0.35">
      <c r="C338" s="233">
        <v>3</v>
      </c>
      <c r="D338" s="71"/>
      <c r="E338" s="66"/>
      <c r="F338" s="86" t="str">
        <f t="shared" si="9"/>
        <v/>
      </c>
    </row>
    <row r="339" spans="1:6" ht="14.4" hidden="1" customHeight="1" outlineLevel="1" x14ac:dyDescent="0.3">
      <c r="C339" s="232">
        <v>4</v>
      </c>
      <c r="D339" s="67"/>
      <c r="E339" s="68"/>
      <c r="F339" s="86" t="str">
        <f t="shared" si="9"/>
        <v/>
      </c>
    </row>
    <row r="340" spans="1:6" ht="14.4" hidden="1" customHeight="1" outlineLevel="1" x14ac:dyDescent="0.3">
      <c r="C340" s="232">
        <v>5</v>
      </c>
      <c r="D340" s="69"/>
      <c r="E340" s="70"/>
      <c r="F340" s="86" t="str">
        <f t="shared" si="9"/>
        <v/>
      </c>
    </row>
    <row r="341" spans="1:6" ht="14.4" hidden="1" customHeight="1" outlineLevel="1" x14ac:dyDescent="0.3">
      <c r="C341" s="231">
        <v>6</v>
      </c>
      <c r="D341" s="69"/>
      <c r="E341" s="70"/>
      <c r="F341" s="86" t="str">
        <f t="shared" si="9"/>
        <v/>
      </c>
    </row>
    <row r="342" spans="1:6" ht="14.4" hidden="1" customHeight="1" outlineLevel="1" x14ac:dyDescent="0.3">
      <c r="C342" s="231">
        <v>7</v>
      </c>
      <c r="D342" s="69"/>
      <c r="E342" s="70"/>
      <c r="F342" s="86" t="str">
        <f t="shared" si="9"/>
        <v/>
      </c>
    </row>
    <row r="343" spans="1:6" ht="14.4" hidden="1" customHeight="1" outlineLevel="1" x14ac:dyDescent="0.3">
      <c r="C343" s="232">
        <v>8</v>
      </c>
      <c r="D343" s="69"/>
      <c r="E343" s="70"/>
      <c r="F343" s="86" t="str">
        <f t="shared" si="9"/>
        <v/>
      </c>
    </row>
    <row r="344" spans="1:6" ht="14.4" hidden="1" customHeight="1" outlineLevel="1" x14ac:dyDescent="0.3">
      <c r="C344" s="231">
        <v>9</v>
      </c>
      <c r="D344" s="69"/>
      <c r="E344" s="70"/>
      <c r="F344" s="86" t="str">
        <f t="shared" si="9"/>
        <v/>
      </c>
    </row>
    <row r="345" spans="1:6" ht="14.4" hidden="1" customHeight="1" outlineLevel="1" x14ac:dyDescent="0.3">
      <c r="C345" s="231">
        <v>10</v>
      </c>
      <c r="D345" s="69"/>
      <c r="E345" s="70"/>
      <c r="F345" s="86" t="str">
        <f t="shared" si="9"/>
        <v/>
      </c>
    </row>
    <row r="346" spans="1:6" ht="14.4" hidden="1" customHeight="1" outlineLevel="1" x14ac:dyDescent="0.3">
      <c r="C346" s="232">
        <v>11</v>
      </c>
      <c r="D346" s="69"/>
      <c r="E346" s="70"/>
      <c r="F346" s="86" t="str">
        <f t="shared" si="9"/>
        <v/>
      </c>
    </row>
    <row r="347" spans="1:6" ht="14.4" hidden="1" customHeight="1" outlineLevel="1" x14ac:dyDescent="0.3">
      <c r="C347" s="231">
        <v>12</v>
      </c>
      <c r="D347" s="69"/>
      <c r="E347" s="70"/>
      <c r="F347" s="86" t="str">
        <f t="shared" si="9"/>
        <v/>
      </c>
    </row>
    <row r="348" spans="1:6" ht="14.4" hidden="1" customHeight="1" outlineLevel="1" x14ac:dyDescent="0.3">
      <c r="C348" s="231">
        <v>13</v>
      </c>
      <c r="D348" s="69"/>
      <c r="E348" s="70"/>
      <c r="F348" s="86" t="str">
        <f t="shared" si="9"/>
        <v/>
      </c>
    </row>
    <row r="349" spans="1:6" ht="14.4" hidden="1" customHeight="1" outlineLevel="1" x14ac:dyDescent="0.3">
      <c r="C349" s="232">
        <v>14</v>
      </c>
      <c r="D349" s="69"/>
      <c r="E349" s="70"/>
      <c r="F349" s="86" t="str">
        <f t="shared" si="9"/>
        <v/>
      </c>
    </row>
    <row r="350" spans="1:6" ht="14.4" hidden="1" customHeight="1" outlineLevel="1" x14ac:dyDescent="0.3">
      <c r="C350" s="231">
        <v>15</v>
      </c>
      <c r="D350" s="69"/>
      <c r="E350" s="70"/>
      <c r="F350" s="86" t="str">
        <f t="shared" si="9"/>
        <v/>
      </c>
    </row>
    <row r="351" spans="1:6" ht="14.4" hidden="1" customHeight="1" outlineLevel="1" x14ac:dyDescent="0.3">
      <c r="C351" s="231">
        <v>16</v>
      </c>
      <c r="D351" s="69"/>
      <c r="E351" s="70"/>
      <c r="F351" s="86" t="str">
        <f t="shared" si="9"/>
        <v/>
      </c>
    </row>
    <row r="352" spans="1:6" ht="14.4" hidden="1" customHeight="1" outlineLevel="1" x14ac:dyDescent="0.3">
      <c r="C352" s="232">
        <v>17</v>
      </c>
      <c r="D352" s="69"/>
      <c r="E352" s="70"/>
      <c r="F352" s="86" t="str">
        <f t="shared" si="9"/>
        <v/>
      </c>
    </row>
    <row r="353" spans="3:6" ht="14.4" hidden="1" customHeight="1" outlineLevel="1" x14ac:dyDescent="0.3">
      <c r="C353" s="231">
        <v>18</v>
      </c>
      <c r="D353" s="69"/>
      <c r="E353" s="70"/>
      <c r="F353" s="86" t="str">
        <f t="shared" si="9"/>
        <v/>
      </c>
    </row>
    <row r="354" spans="3:6" ht="14.4" hidden="1" customHeight="1" outlineLevel="1" x14ac:dyDescent="0.3">
      <c r="C354" s="231">
        <v>19</v>
      </c>
      <c r="D354" s="69"/>
      <c r="E354" s="70"/>
      <c r="F354" s="86" t="str">
        <f t="shared" si="9"/>
        <v/>
      </c>
    </row>
    <row r="355" spans="3:6" ht="14.4" hidden="1" customHeight="1" outlineLevel="1" x14ac:dyDescent="0.3">
      <c r="C355" s="232">
        <v>20</v>
      </c>
      <c r="D355" s="69"/>
      <c r="E355" s="70"/>
      <c r="F355" s="86" t="str">
        <f t="shared" si="9"/>
        <v/>
      </c>
    </row>
    <row r="356" spans="3:6" ht="14.4" hidden="1" customHeight="1" outlineLevel="1" x14ac:dyDescent="0.3">
      <c r="C356" s="231">
        <v>21</v>
      </c>
      <c r="D356" s="69"/>
      <c r="E356" s="70"/>
      <c r="F356" s="86" t="str">
        <f t="shared" si="9"/>
        <v/>
      </c>
    </row>
    <row r="357" spans="3:6" ht="14.4" hidden="1" customHeight="1" outlineLevel="1" x14ac:dyDescent="0.3">
      <c r="C357" s="231">
        <v>22</v>
      </c>
      <c r="D357" s="69"/>
      <c r="E357" s="70"/>
      <c r="F357" s="86" t="str">
        <f t="shared" si="9"/>
        <v/>
      </c>
    </row>
    <row r="358" spans="3:6" ht="14.4" hidden="1" customHeight="1" outlineLevel="1" x14ac:dyDescent="0.3">
      <c r="C358" s="232">
        <v>23</v>
      </c>
      <c r="D358" s="69"/>
      <c r="E358" s="70"/>
      <c r="F358" s="86" t="str">
        <f t="shared" si="9"/>
        <v/>
      </c>
    </row>
    <row r="359" spans="3:6" ht="14.4" hidden="1" customHeight="1" outlineLevel="1" x14ac:dyDescent="0.3">
      <c r="C359" s="231">
        <v>24</v>
      </c>
      <c r="D359" s="69"/>
      <c r="E359" s="70"/>
      <c r="F359" s="86" t="str">
        <f t="shared" si="9"/>
        <v/>
      </c>
    </row>
    <row r="360" spans="3:6" ht="14.4" hidden="1" customHeight="1" outlineLevel="1" x14ac:dyDescent="0.3">
      <c r="C360" s="231">
        <v>25</v>
      </c>
      <c r="D360" s="69"/>
      <c r="E360" s="70"/>
      <c r="F360" s="86" t="str">
        <f t="shared" si="9"/>
        <v/>
      </c>
    </row>
    <row r="361" spans="3:6" ht="14.4" hidden="1" customHeight="1" outlineLevel="1" x14ac:dyDescent="0.3">
      <c r="C361" s="232">
        <v>26</v>
      </c>
      <c r="D361" s="69"/>
      <c r="E361" s="70"/>
      <c r="F361" s="86" t="str">
        <f t="shared" si="9"/>
        <v/>
      </c>
    </row>
    <row r="362" spans="3:6" ht="14.4" hidden="1" customHeight="1" outlineLevel="1" x14ac:dyDescent="0.3">
      <c r="C362" s="231">
        <v>27</v>
      </c>
      <c r="D362" s="69"/>
      <c r="E362" s="70"/>
      <c r="F362" s="86" t="str">
        <f t="shared" si="9"/>
        <v/>
      </c>
    </row>
    <row r="363" spans="3:6" ht="14.4" hidden="1" customHeight="1" outlineLevel="1" x14ac:dyDescent="0.3">
      <c r="C363" s="231">
        <v>28</v>
      </c>
      <c r="D363" s="69"/>
      <c r="E363" s="70"/>
      <c r="F363" s="86" t="str">
        <f t="shared" si="9"/>
        <v/>
      </c>
    </row>
    <row r="364" spans="3:6" ht="14.4" hidden="1" customHeight="1" outlineLevel="1" x14ac:dyDescent="0.3">
      <c r="C364" s="232">
        <v>29</v>
      </c>
      <c r="D364" s="69"/>
      <c r="E364" s="70"/>
      <c r="F364" s="86" t="str">
        <f t="shared" si="9"/>
        <v/>
      </c>
    </row>
    <row r="365" spans="3:6" ht="14.4" hidden="1" customHeight="1" outlineLevel="1" x14ac:dyDescent="0.3">
      <c r="C365" s="231">
        <v>30</v>
      </c>
      <c r="D365" s="69"/>
      <c r="E365" s="70"/>
      <c r="F365" s="86" t="str">
        <f t="shared" si="9"/>
        <v/>
      </c>
    </row>
    <row r="366" spans="3:6" ht="14.4" hidden="1" customHeight="1" outlineLevel="1" x14ac:dyDescent="0.3">
      <c r="C366" s="231">
        <v>31</v>
      </c>
      <c r="D366" s="69"/>
      <c r="E366" s="70"/>
      <c r="F366" s="86" t="str">
        <f t="shared" si="9"/>
        <v/>
      </c>
    </row>
    <row r="367" spans="3:6" ht="14.4" hidden="1" customHeight="1" outlineLevel="1" x14ac:dyDescent="0.3">
      <c r="C367" s="232">
        <v>32</v>
      </c>
      <c r="D367" s="69"/>
      <c r="E367" s="70"/>
      <c r="F367" s="86" t="str">
        <f t="shared" si="9"/>
        <v/>
      </c>
    </row>
    <row r="368" spans="3:6" ht="14.4" hidden="1" customHeight="1" outlineLevel="1" x14ac:dyDescent="0.3">
      <c r="C368" s="231">
        <v>33</v>
      </c>
      <c r="D368" s="69"/>
      <c r="E368" s="70"/>
      <c r="F368" s="86" t="str">
        <f t="shared" si="9"/>
        <v/>
      </c>
    </row>
    <row r="369" spans="3:6" ht="14.4" hidden="1" customHeight="1" outlineLevel="1" x14ac:dyDescent="0.3">
      <c r="C369" s="231">
        <v>34</v>
      </c>
      <c r="D369" s="69"/>
      <c r="E369" s="70"/>
      <c r="F369" s="86" t="str">
        <f t="shared" si="9"/>
        <v/>
      </c>
    </row>
    <row r="370" spans="3:6" ht="14.4" hidden="1" customHeight="1" outlineLevel="1" x14ac:dyDescent="0.3">
      <c r="C370" s="232">
        <v>35</v>
      </c>
      <c r="D370" s="69"/>
      <c r="E370" s="70"/>
      <c r="F370" s="86" t="str">
        <f t="shared" si="9"/>
        <v/>
      </c>
    </row>
    <row r="371" spans="3:6" ht="14.4" hidden="1" customHeight="1" outlineLevel="1" x14ac:dyDescent="0.3">
      <c r="C371" s="231">
        <v>36</v>
      </c>
      <c r="D371" s="69"/>
      <c r="E371" s="70"/>
      <c r="F371" s="86" t="str">
        <f t="shared" si="9"/>
        <v/>
      </c>
    </row>
    <row r="372" spans="3:6" ht="14.4" hidden="1" customHeight="1" outlineLevel="1" x14ac:dyDescent="0.3">
      <c r="C372" s="231">
        <v>37</v>
      </c>
      <c r="D372" s="69"/>
      <c r="E372" s="70"/>
      <c r="F372" s="86" t="str">
        <f t="shared" si="9"/>
        <v/>
      </c>
    </row>
    <row r="373" spans="3:6" ht="14.4" hidden="1" customHeight="1" outlineLevel="1" x14ac:dyDescent="0.3">
      <c r="C373" s="232">
        <v>38</v>
      </c>
      <c r="D373" s="69"/>
      <c r="E373" s="70"/>
      <c r="F373" s="86" t="str">
        <f t="shared" si="9"/>
        <v/>
      </c>
    </row>
    <row r="374" spans="3:6" ht="14.4" hidden="1" customHeight="1" outlineLevel="1" x14ac:dyDescent="0.3">
      <c r="C374" s="231">
        <v>39</v>
      </c>
      <c r="D374" s="69"/>
      <c r="E374" s="70"/>
      <c r="F374" s="86" t="str">
        <f t="shared" si="9"/>
        <v/>
      </c>
    </row>
    <row r="375" spans="3:6" ht="14.4" hidden="1" customHeight="1" outlineLevel="1" x14ac:dyDescent="0.3">
      <c r="C375" s="231">
        <v>40</v>
      </c>
      <c r="D375" s="69"/>
      <c r="E375" s="70"/>
      <c r="F375" s="86" t="str">
        <f t="shared" si="9"/>
        <v/>
      </c>
    </row>
    <row r="376" spans="3:6" ht="14.4" hidden="1" customHeight="1" outlineLevel="1" x14ac:dyDescent="0.3">
      <c r="C376" s="232">
        <v>41</v>
      </c>
      <c r="D376" s="69"/>
      <c r="E376" s="70"/>
      <c r="F376" s="86" t="str">
        <f t="shared" si="9"/>
        <v/>
      </c>
    </row>
    <row r="377" spans="3:6" ht="14.4" hidden="1" customHeight="1" outlineLevel="1" x14ac:dyDescent="0.3">
      <c r="C377" s="231">
        <v>42</v>
      </c>
      <c r="D377" s="69"/>
      <c r="E377" s="70"/>
      <c r="F377" s="86" t="str">
        <f t="shared" si="9"/>
        <v/>
      </c>
    </row>
    <row r="378" spans="3:6" ht="14.4" hidden="1" customHeight="1" outlineLevel="1" x14ac:dyDescent="0.3">
      <c r="C378" s="231">
        <v>43</v>
      </c>
      <c r="D378" s="69"/>
      <c r="E378" s="70"/>
      <c r="F378" s="86" t="str">
        <f t="shared" si="9"/>
        <v/>
      </c>
    </row>
    <row r="379" spans="3:6" ht="14.4" hidden="1" customHeight="1" outlineLevel="1" x14ac:dyDescent="0.3">
      <c r="C379" s="232">
        <v>44</v>
      </c>
      <c r="D379" s="69"/>
      <c r="E379" s="70"/>
      <c r="F379" s="86" t="str">
        <f t="shared" si="9"/>
        <v/>
      </c>
    </row>
    <row r="380" spans="3:6" ht="14.4" hidden="1" customHeight="1" outlineLevel="1" x14ac:dyDescent="0.3">
      <c r="C380" s="231">
        <v>45</v>
      </c>
      <c r="D380" s="69"/>
      <c r="E380" s="70"/>
      <c r="F380" s="86" t="str">
        <f t="shared" si="9"/>
        <v/>
      </c>
    </row>
    <row r="381" spans="3:6" ht="14.4" hidden="1" customHeight="1" outlineLevel="1" x14ac:dyDescent="0.3">
      <c r="C381" s="231">
        <v>46</v>
      </c>
      <c r="D381" s="69"/>
      <c r="E381" s="70"/>
      <c r="F381" s="86" t="str">
        <f t="shared" si="9"/>
        <v/>
      </c>
    </row>
    <row r="382" spans="3:6" ht="14.4" hidden="1" customHeight="1" outlineLevel="1" x14ac:dyDescent="0.3">
      <c r="C382" s="232">
        <v>47</v>
      </c>
      <c r="D382" s="69"/>
      <c r="E382" s="70"/>
      <c r="F382" s="86" t="str">
        <f t="shared" si="9"/>
        <v/>
      </c>
    </row>
    <row r="383" spans="3:6" ht="14.4" hidden="1" customHeight="1" outlineLevel="1" x14ac:dyDescent="0.3">
      <c r="C383" s="231">
        <v>48</v>
      </c>
      <c r="D383" s="69"/>
      <c r="E383" s="70"/>
      <c r="F383" s="86" t="str">
        <f t="shared" si="9"/>
        <v/>
      </c>
    </row>
    <row r="384" spans="3:6" ht="14.4" hidden="1" customHeight="1" outlineLevel="1" x14ac:dyDescent="0.3">
      <c r="C384" s="231">
        <v>49</v>
      </c>
      <c r="D384" s="69"/>
      <c r="E384" s="70"/>
      <c r="F384" s="86" t="str">
        <f t="shared" si="9"/>
        <v/>
      </c>
    </row>
    <row r="385" spans="3:6" ht="14.4" hidden="1" customHeight="1" outlineLevel="1" x14ac:dyDescent="0.3">
      <c r="C385" s="232">
        <v>50</v>
      </c>
      <c r="D385" s="69"/>
      <c r="E385" s="70"/>
      <c r="F385" s="86" t="str">
        <f t="shared" si="9"/>
        <v/>
      </c>
    </row>
    <row r="386" spans="3:6" ht="14.4" hidden="1" customHeight="1" outlineLevel="1" x14ac:dyDescent="0.3">
      <c r="C386" s="231">
        <v>51</v>
      </c>
      <c r="D386" s="69"/>
      <c r="E386" s="70"/>
      <c r="F386" s="86" t="str">
        <f t="shared" si="9"/>
        <v/>
      </c>
    </row>
    <row r="387" spans="3:6" ht="14.4" hidden="1" customHeight="1" outlineLevel="1" x14ac:dyDescent="0.3">
      <c r="C387" s="231">
        <v>52</v>
      </c>
      <c r="D387" s="69"/>
      <c r="E387" s="70"/>
      <c r="F387" s="86" t="str">
        <f t="shared" si="9"/>
        <v/>
      </c>
    </row>
    <row r="388" spans="3:6" ht="14.4" hidden="1" customHeight="1" outlineLevel="1" x14ac:dyDescent="0.3">
      <c r="C388" s="232">
        <v>53</v>
      </c>
      <c r="D388" s="69"/>
      <c r="E388" s="70"/>
      <c r="F388" s="86" t="str">
        <f t="shared" si="9"/>
        <v/>
      </c>
    </row>
    <row r="389" spans="3:6" ht="14.4" hidden="1" customHeight="1" outlineLevel="1" x14ac:dyDescent="0.3">
      <c r="C389" s="231">
        <v>54</v>
      </c>
      <c r="D389" s="69"/>
      <c r="E389" s="70"/>
      <c r="F389" s="86" t="str">
        <f t="shared" si="9"/>
        <v/>
      </c>
    </row>
    <row r="390" spans="3:6" ht="14.4" hidden="1" customHeight="1" outlineLevel="1" x14ac:dyDescent="0.3">
      <c r="C390" s="231">
        <v>55</v>
      </c>
      <c r="D390" s="69"/>
      <c r="E390" s="70"/>
      <c r="F390" s="86" t="str">
        <f t="shared" si="9"/>
        <v/>
      </c>
    </row>
    <row r="391" spans="3:6" ht="14.4" hidden="1" customHeight="1" outlineLevel="1" x14ac:dyDescent="0.3">
      <c r="C391" s="232">
        <v>56</v>
      </c>
      <c r="D391" s="69"/>
      <c r="E391" s="70"/>
      <c r="F391" s="86" t="str">
        <f t="shared" si="9"/>
        <v/>
      </c>
    </row>
    <row r="392" spans="3:6" ht="14.4" hidden="1" customHeight="1" outlineLevel="1" x14ac:dyDescent="0.3">
      <c r="C392" s="231">
        <v>57</v>
      </c>
      <c r="D392" s="69"/>
      <c r="E392" s="70"/>
      <c r="F392" s="86" t="str">
        <f t="shared" si="9"/>
        <v/>
      </c>
    </row>
    <row r="393" spans="3:6" ht="14.4" hidden="1" customHeight="1" outlineLevel="1" x14ac:dyDescent="0.3">
      <c r="C393" s="231">
        <v>58</v>
      </c>
      <c r="D393" s="69"/>
      <c r="E393" s="70"/>
      <c r="F393" s="86" t="str">
        <f t="shared" si="9"/>
        <v/>
      </c>
    </row>
    <row r="394" spans="3:6" ht="14.4" hidden="1" customHeight="1" outlineLevel="1" x14ac:dyDescent="0.3">
      <c r="C394" s="232">
        <v>59</v>
      </c>
      <c r="D394" s="69"/>
      <c r="E394" s="70"/>
      <c r="F394" s="86" t="str">
        <f t="shared" si="9"/>
        <v/>
      </c>
    </row>
    <row r="395" spans="3:6" ht="14.4" hidden="1" customHeight="1" outlineLevel="1" x14ac:dyDescent="0.3">
      <c r="C395" s="231">
        <v>60</v>
      </c>
      <c r="D395" s="69"/>
      <c r="E395" s="70"/>
      <c r="F395" s="86" t="str">
        <f t="shared" si="9"/>
        <v/>
      </c>
    </row>
    <row r="396" spans="3:6" ht="14.4" hidden="1" customHeight="1" outlineLevel="1" x14ac:dyDescent="0.3">
      <c r="C396" s="231">
        <v>61</v>
      </c>
      <c r="D396" s="69"/>
      <c r="E396" s="70"/>
      <c r="F396" s="86" t="str">
        <f t="shared" si="9"/>
        <v/>
      </c>
    </row>
    <row r="397" spans="3:6" ht="14.4" hidden="1" customHeight="1" outlineLevel="1" x14ac:dyDescent="0.3">
      <c r="C397" s="232">
        <v>62</v>
      </c>
      <c r="D397" s="69"/>
      <c r="E397" s="70"/>
      <c r="F397" s="86" t="str">
        <f t="shared" si="9"/>
        <v/>
      </c>
    </row>
    <row r="398" spans="3:6" ht="14.4" hidden="1" customHeight="1" outlineLevel="1" x14ac:dyDescent="0.3">
      <c r="C398" s="231">
        <v>63</v>
      </c>
      <c r="D398" s="69"/>
      <c r="E398" s="70"/>
      <c r="F398" s="86" t="str">
        <f t="shared" si="9"/>
        <v/>
      </c>
    </row>
    <row r="399" spans="3:6" ht="14.4" hidden="1" customHeight="1" outlineLevel="1" x14ac:dyDescent="0.3">
      <c r="C399" s="231">
        <v>64</v>
      </c>
      <c r="D399" s="69"/>
      <c r="E399" s="70"/>
      <c r="F399" s="86" t="str">
        <f t="shared" si="9"/>
        <v/>
      </c>
    </row>
    <row r="400" spans="3:6" ht="14.4" hidden="1" customHeight="1" outlineLevel="1" x14ac:dyDescent="0.3">
      <c r="C400" s="232">
        <v>65</v>
      </c>
      <c r="D400" s="69"/>
      <c r="E400" s="70"/>
      <c r="F400" s="86" t="str">
        <f t="shared" si="9"/>
        <v/>
      </c>
    </row>
    <row r="401" spans="3:6" ht="14.4" hidden="1" customHeight="1" outlineLevel="1" x14ac:dyDescent="0.3">
      <c r="C401" s="231">
        <v>66</v>
      </c>
      <c r="D401" s="69"/>
      <c r="E401" s="70"/>
      <c r="F401" s="86" t="str">
        <f t="shared" si="9"/>
        <v/>
      </c>
    </row>
    <row r="402" spans="3:6" ht="14.4" hidden="1" customHeight="1" outlineLevel="1" x14ac:dyDescent="0.3">
      <c r="C402" s="231">
        <v>67</v>
      </c>
      <c r="D402" s="69"/>
      <c r="E402" s="70"/>
      <c r="F402" s="86" t="str">
        <f t="shared" si="9"/>
        <v/>
      </c>
    </row>
    <row r="403" spans="3:6" ht="14.4" hidden="1" customHeight="1" outlineLevel="1" x14ac:dyDescent="0.3">
      <c r="C403" s="232">
        <v>68</v>
      </c>
      <c r="D403" s="69"/>
      <c r="E403" s="70"/>
      <c r="F403" s="86" t="str">
        <f t="shared" si="9"/>
        <v/>
      </c>
    </row>
    <row r="404" spans="3:6" ht="14.4" hidden="1" customHeight="1" outlineLevel="1" x14ac:dyDescent="0.3">
      <c r="C404" s="231">
        <v>69</v>
      </c>
      <c r="D404" s="69"/>
      <c r="E404" s="70"/>
      <c r="F404" s="86" t="str">
        <f t="shared" si="9"/>
        <v/>
      </c>
    </row>
    <row r="405" spans="3:6" ht="14.4" hidden="1" customHeight="1" outlineLevel="1" x14ac:dyDescent="0.3">
      <c r="C405" s="231">
        <v>70</v>
      </c>
      <c r="D405" s="69"/>
      <c r="E405" s="70"/>
      <c r="F405" s="86" t="str">
        <f t="shared" si="9"/>
        <v/>
      </c>
    </row>
    <row r="406" spans="3:6" ht="14.4" hidden="1" customHeight="1" outlineLevel="1" x14ac:dyDescent="0.3">
      <c r="C406" s="232">
        <v>71</v>
      </c>
      <c r="D406" s="69"/>
      <c r="E406" s="70"/>
      <c r="F406" s="86" t="str">
        <f t="shared" si="9"/>
        <v/>
      </c>
    </row>
    <row r="407" spans="3:6" ht="14.4" hidden="1" customHeight="1" outlineLevel="1" x14ac:dyDescent="0.3">
      <c r="C407" s="231">
        <v>72</v>
      </c>
      <c r="D407" s="69"/>
      <c r="E407" s="70"/>
      <c r="F407" s="86" t="str">
        <f t="shared" si="9"/>
        <v/>
      </c>
    </row>
    <row r="408" spans="3:6" ht="14.4" hidden="1" customHeight="1" outlineLevel="1" x14ac:dyDescent="0.3">
      <c r="C408" s="231">
        <v>73</v>
      </c>
      <c r="D408" s="69"/>
      <c r="E408" s="70"/>
      <c r="F408" s="86" t="str">
        <f t="shared" si="9"/>
        <v/>
      </c>
    </row>
    <row r="409" spans="3:6" ht="14.4" hidden="1" customHeight="1" outlineLevel="1" x14ac:dyDescent="0.3">
      <c r="C409" s="232">
        <v>74</v>
      </c>
      <c r="D409" s="69"/>
      <c r="E409" s="70"/>
      <c r="F409" s="86" t="str">
        <f t="shared" si="9"/>
        <v/>
      </c>
    </row>
    <row r="410" spans="3:6" ht="14.4" hidden="1" customHeight="1" outlineLevel="1" x14ac:dyDescent="0.3">
      <c r="C410" s="231">
        <v>75</v>
      </c>
      <c r="D410" s="69"/>
      <c r="E410" s="70"/>
      <c r="F410" s="86" t="str">
        <f t="shared" si="9"/>
        <v/>
      </c>
    </row>
    <row r="411" spans="3:6" ht="14.4" hidden="1" customHeight="1" outlineLevel="1" x14ac:dyDescent="0.3">
      <c r="C411" s="231">
        <v>76</v>
      </c>
      <c r="D411" s="69"/>
      <c r="E411" s="70"/>
      <c r="F411" s="86" t="str">
        <f t="shared" si="9"/>
        <v/>
      </c>
    </row>
    <row r="412" spans="3:6" ht="14.4" hidden="1" customHeight="1" outlineLevel="1" x14ac:dyDescent="0.3">
      <c r="C412" s="232">
        <v>77</v>
      </c>
      <c r="D412" s="69"/>
      <c r="E412" s="70"/>
      <c r="F412" s="86" t="str">
        <f t="shared" si="9"/>
        <v/>
      </c>
    </row>
    <row r="413" spans="3:6" ht="14.4" hidden="1" customHeight="1" outlineLevel="1" x14ac:dyDescent="0.3">
      <c r="C413" s="231">
        <v>78</v>
      </c>
      <c r="D413" s="69"/>
      <c r="E413" s="70"/>
      <c r="F413" s="86" t="str">
        <f t="shared" si="9"/>
        <v/>
      </c>
    </row>
    <row r="414" spans="3:6" ht="14.4" hidden="1" customHeight="1" outlineLevel="1" x14ac:dyDescent="0.3">
      <c r="C414" s="231">
        <v>79</v>
      </c>
      <c r="D414" s="69"/>
      <c r="E414" s="70"/>
      <c r="F414" s="86" t="str">
        <f t="shared" si="9"/>
        <v/>
      </c>
    </row>
    <row r="415" spans="3:6" ht="14.4" hidden="1" customHeight="1" outlineLevel="1" x14ac:dyDescent="0.3">
      <c r="C415" s="232">
        <v>80</v>
      </c>
      <c r="D415" s="69"/>
      <c r="E415" s="70"/>
      <c r="F415" s="86" t="str">
        <f t="shared" si="9"/>
        <v/>
      </c>
    </row>
    <row r="416" spans="3:6" ht="14.4" hidden="1" customHeight="1" outlineLevel="1" x14ac:dyDescent="0.3">
      <c r="C416" s="231">
        <v>81</v>
      </c>
      <c r="D416" s="69"/>
      <c r="E416" s="70"/>
      <c r="F416" s="86" t="str">
        <f t="shared" si="9"/>
        <v/>
      </c>
    </row>
    <row r="417" spans="3:6" ht="14.4" hidden="1" customHeight="1" outlineLevel="1" x14ac:dyDescent="0.3">
      <c r="C417" s="231">
        <v>82</v>
      </c>
      <c r="D417" s="69"/>
      <c r="E417" s="70"/>
      <c r="F417" s="86" t="str">
        <f t="shared" si="9"/>
        <v/>
      </c>
    </row>
    <row r="418" spans="3:6" ht="14.4" hidden="1" customHeight="1" outlineLevel="1" x14ac:dyDescent="0.3">
      <c r="C418" s="232">
        <v>83</v>
      </c>
      <c r="D418" s="69"/>
      <c r="E418" s="70"/>
      <c r="F418" s="86" t="str">
        <f t="shared" si="9"/>
        <v/>
      </c>
    </row>
    <row r="419" spans="3:6" ht="14.4" hidden="1" customHeight="1" outlineLevel="1" x14ac:dyDescent="0.3">
      <c r="C419" s="231">
        <v>84</v>
      </c>
      <c r="D419" s="69"/>
      <c r="E419" s="70"/>
      <c r="F419" s="86" t="str">
        <f t="shared" si="9"/>
        <v/>
      </c>
    </row>
    <row r="420" spans="3:6" ht="14.4" hidden="1" customHeight="1" outlineLevel="1" x14ac:dyDescent="0.3">
      <c r="C420" s="231">
        <v>85</v>
      </c>
      <c r="D420" s="69"/>
      <c r="E420" s="70"/>
      <c r="F420" s="86" t="str">
        <f t="shared" si="9"/>
        <v/>
      </c>
    </row>
    <row r="421" spans="3:6" ht="14.4" hidden="1" customHeight="1" outlineLevel="1" x14ac:dyDescent="0.3">
      <c r="C421" s="232">
        <v>86</v>
      </c>
      <c r="D421" s="69"/>
      <c r="E421" s="70"/>
      <c r="F421" s="86" t="str">
        <f t="shared" si="9"/>
        <v/>
      </c>
    </row>
    <row r="422" spans="3:6" ht="14.4" hidden="1" customHeight="1" outlineLevel="1" x14ac:dyDescent="0.3">
      <c r="C422" s="231">
        <v>87</v>
      </c>
      <c r="D422" s="69"/>
      <c r="E422" s="70"/>
      <c r="F422" s="86" t="str">
        <f>IF(AND(D422&lt;&gt;"",E422=""), template_label_missing_value,
IF(AND(D422&lt;&gt;"",E422&lt;&gt;""), template_label_ok,
IF(AND(D422="",E422=""), "", template_label_missing_value)))</f>
        <v/>
      </c>
    </row>
    <row r="423" spans="3:6" ht="14.4" hidden="1" customHeight="1" outlineLevel="1" x14ac:dyDescent="0.3">
      <c r="C423" s="231">
        <v>88</v>
      </c>
      <c r="D423" s="69"/>
      <c r="E423" s="70"/>
      <c r="F423" s="86" t="str">
        <f t="shared" si="9"/>
        <v/>
      </c>
    </row>
    <row r="424" spans="3:6" ht="14.4" hidden="1" customHeight="1" outlineLevel="1" x14ac:dyDescent="0.3">
      <c r="C424" s="232">
        <v>89</v>
      </c>
      <c r="D424" s="69"/>
      <c r="E424" s="70"/>
      <c r="F424" s="86" t="str">
        <f t="shared" si="9"/>
        <v/>
      </c>
    </row>
    <row r="425" spans="3:6" ht="14.4" hidden="1" customHeight="1" outlineLevel="1" x14ac:dyDescent="0.3">
      <c r="C425" s="231">
        <v>90</v>
      </c>
      <c r="D425" s="69"/>
      <c r="E425" s="70"/>
      <c r="F425" s="86" t="str">
        <f t="shared" si="9"/>
        <v/>
      </c>
    </row>
    <row r="426" spans="3:6" ht="14.4" hidden="1" customHeight="1" outlineLevel="1" x14ac:dyDescent="0.3">
      <c r="C426" s="231">
        <v>91</v>
      </c>
      <c r="D426" s="69"/>
      <c r="E426" s="70"/>
      <c r="F426" s="86" t="str">
        <f t="shared" si="9"/>
        <v/>
      </c>
    </row>
    <row r="427" spans="3:6" ht="14.4" hidden="1" customHeight="1" outlineLevel="1" x14ac:dyDescent="0.3">
      <c r="C427" s="232">
        <v>92</v>
      </c>
      <c r="D427" s="69"/>
      <c r="E427" s="70"/>
      <c r="F427" s="86" t="str">
        <f t="shared" si="9"/>
        <v/>
      </c>
    </row>
    <row r="428" spans="3:6" ht="14.4" hidden="1" customHeight="1" outlineLevel="1" x14ac:dyDescent="0.3">
      <c r="C428" s="231">
        <v>93</v>
      </c>
      <c r="D428" s="69"/>
      <c r="E428" s="70"/>
      <c r="F428" s="86" t="str">
        <f t="shared" si="9"/>
        <v/>
      </c>
    </row>
    <row r="429" spans="3:6" ht="14.4" hidden="1" customHeight="1" outlineLevel="1" x14ac:dyDescent="0.3">
      <c r="C429" s="231">
        <v>94</v>
      </c>
      <c r="D429" s="69"/>
      <c r="E429" s="70"/>
      <c r="F429" s="86" t="str">
        <f t="shared" si="9"/>
        <v/>
      </c>
    </row>
    <row r="430" spans="3:6" ht="14.4" hidden="1" customHeight="1" outlineLevel="1" x14ac:dyDescent="0.3">
      <c r="C430" s="232">
        <v>95</v>
      </c>
      <c r="D430" s="69"/>
      <c r="E430" s="70"/>
      <c r="F430" s="86" t="str">
        <f t="shared" si="9"/>
        <v/>
      </c>
    </row>
    <row r="431" spans="3:6" ht="14.4" hidden="1" customHeight="1" outlineLevel="1" x14ac:dyDescent="0.3">
      <c r="C431" s="231">
        <v>96</v>
      </c>
      <c r="D431" s="69"/>
      <c r="E431" s="70"/>
      <c r="F431" s="86" t="str">
        <f t="shared" si="9"/>
        <v/>
      </c>
    </row>
    <row r="432" spans="3:6" ht="14.4" hidden="1" customHeight="1" outlineLevel="1" x14ac:dyDescent="0.3">
      <c r="C432" s="231">
        <v>97</v>
      </c>
      <c r="D432" s="69"/>
      <c r="E432" s="70"/>
      <c r="F432" s="86" t="str">
        <f t="shared" si="9"/>
        <v/>
      </c>
    </row>
    <row r="433" spans="3:10" ht="14.4" hidden="1" customHeight="1" outlineLevel="1" x14ac:dyDescent="0.3">
      <c r="C433" s="232">
        <v>98</v>
      </c>
      <c r="D433" s="69"/>
      <c r="E433" s="70"/>
      <c r="F433" s="86" t="str">
        <f t="shared" si="9"/>
        <v/>
      </c>
    </row>
    <row r="434" spans="3:10" ht="14.4" hidden="1" customHeight="1" outlineLevel="1" x14ac:dyDescent="0.3">
      <c r="C434" s="231">
        <v>99</v>
      </c>
      <c r="D434" s="69"/>
      <c r="E434" s="70"/>
      <c r="F434" s="86" t="str">
        <f t="shared" si="9"/>
        <v/>
      </c>
    </row>
    <row r="435" spans="3:10" ht="14.4" hidden="1" customHeight="1" outlineLevel="1" thickBot="1" x14ac:dyDescent="0.35">
      <c r="C435" s="233">
        <v>100</v>
      </c>
      <c r="D435" s="71"/>
      <c r="E435" s="66"/>
      <c r="F435" s="86" t="str">
        <f t="shared" si="9"/>
        <v/>
      </c>
    </row>
    <row r="436" spans="3:10" ht="15" collapsed="1" thickBot="1" x14ac:dyDescent="0.35"/>
    <row r="437" spans="3:10" ht="14.4" customHeight="1" x14ac:dyDescent="0.3">
      <c r="C437" s="555"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 to - [If applicable]</v>
      </c>
      <c r="D437" s="556"/>
      <c r="E437" s="556"/>
      <c r="F437" s="556"/>
      <c r="G437" s="556"/>
      <c r="H437" s="557"/>
    </row>
    <row r="438" spans="3:10" ht="14.4" customHeight="1" x14ac:dyDescent="0.3">
      <c r="C438" s="576">
        <v>25</v>
      </c>
      <c r="D438" s="577"/>
      <c r="E438" s="577"/>
      <c r="F438" s="577"/>
      <c r="G438" s="577"/>
      <c r="H438" s="578"/>
    </row>
    <row r="439" spans="3:10" ht="14.4" customHeight="1" x14ac:dyDescent="0.3">
      <c r="C439" s="558">
        <v>13</v>
      </c>
      <c r="D439" s="559"/>
      <c r="E439" s="559"/>
      <c r="F439" s="559"/>
      <c r="G439" s="559"/>
      <c r="H439" s="560"/>
    </row>
    <row r="440" spans="3:10" ht="14.4" customHeight="1" x14ac:dyDescent="0.3">
      <c r="C440" s="568" t="str">
        <f>template_label_has_the_undertaking_obtained_any_sustainability_related_certification_or_label</f>
        <v>Has the undertaking obtained any sustainability-related certification(s) or label(s) ?</v>
      </c>
      <c r="D440" s="569"/>
      <c r="E440" s="570" t="b">
        <v>0</v>
      </c>
      <c r="F440" s="571"/>
      <c r="G440" s="571"/>
      <c r="H440" s="572"/>
    </row>
    <row r="441" spans="3:10" ht="30" customHeight="1" thickBot="1" x14ac:dyDescent="0.35">
      <c r="C441" s="596" t="str">
        <f>template_label_description_of_sustainability_related_certification_or_label</f>
        <v>Description of sustainability-related certification(s) or label(s) including where relevant the issuers of the certification or label date and rating score</v>
      </c>
      <c r="D441" s="597"/>
      <c r="E441" s="675"/>
      <c r="F441" s="676"/>
      <c r="G441" s="676"/>
      <c r="H441" s="677"/>
      <c r="I441" s="16" t="str">
        <f>IF(AND(E440=TRUE,E441=""), template_label_missing_value,
IF(AND(E440=TRUE,E441&lt;&gt;""), template_label_ok, ""))</f>
        <v/>
      </c>
    </row>
    <row r="442" spans="3:10" ht="15" thickBot="1" x14ac:dyDescent="0.35"/>
    <row r="443" spans="3:10" x14ac:dyDescent="0.3">
      <c r="C443" s="579" t="str">
        <f>template_label_b1_list_of_site&amp; " " &amp; template_label_from &amp; " " &amp; template_starting_date_display &amp; " " &amp; template_label_to &amp; " " &amp; template_ending_date_display &amp; " " &amp; template_label_always_to_be_reported</f>
        <v>B1 - List of site(s) from - to - [Always to be reported]</v>
      </c>
      <c r="D443" s="580"/>
      <c r="E443" s="580"/>
      <c r="F443" s="580"/>
      <c r="G443" s="580"/>
      <c r="H443" s="581"/>
    </row>
    <row r="444" spans="3:10" x14ac:dyDescent="0.3">
      <c r="C444" s="576" t="s">
        <v>3738</v>
      </c>
      <c r="D444" s="577"/>
      <c r="E444" s="577"/>
      <c r="F444" s="577"/>
      <c r="G444" s="577"/>
      <c r="H444" s="578"/>
    </row>
    <row r="445" spans="3:10" x14ac:dyDescent="0.3">
      <c r="C445" s="573" t="s">
        <v>5642</v>
      </c>
      <c r="D445" s="574"/>
      <c r="E445" s="574"/>
      <c r="F445" s="574"/>
      <c r="G445" s="574"/>
      <c r="H445" s="575"/>
    </row>
    <row r="446" spans="3:10" x14ac:dyDescent="0.3">
      <c r="C446" s="587" t="str">
        <f>template_label_id</f>
        <v>ID</v>
      </c>
      <c r="D446" s="590" t="str">
        <f>template_label_address</f>
        <v>Address</v>
      </c>
      <c r="E446" s="590" t="str">
        <f>template_label_postal_code</f>
        <v>Postal code</v>
      </c>
      <c r="F446" s="583" t="str">
        <f>template_label_city</f>
        <v>City</v>
      </c>
      <c r="G446" s="590" t="str">
        <f>template_label_country</f>
        <v>Country</v>
      </c>
      <c r="H446" s="216" t="str">
        <f>template_label_gps_coordinates</f>
        <v>GPS Coordinates (geolocation)</v>
      </c>
      <c r="I446" s="95"/>
    </row>
    <row r="447" spans="3:10" ht="78" customHeight="1" x14ac:dyDescent="0.3">
      <c r="C447" s="588"/>
      <c r="D447" s="591"/>
      <c r="E447" s="591"/>
      <c r="F447" s="674"/>
      <c r="G447" s="591"/>
      <c r="H447" s="439"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47" s="95"/>
      <c r="J447" s="2"/>
    </row>
    <row r="448" spans="3:10" ht="53.4" customHeight="1" x14ac:dyDescent="0.3">
      <c r="C448" s="588"/>
      <c r="D448" s="591"/>
      <c r="E448" s="591"/>
      <c r="F448" s="674"/>
      <c r="G448" s="591"/>
      <c r="H448" s="438" t="s">
        <v>4363</v>
      </c>
      <c r="I448" s="437"/>
      <c r="J448" s="2"/>
    </row>
    <row r="449" spans="3:13" x14ac:dyDescent="0.3">
      <c r="C449" s="589"/>
      <c r="D449" s="592"/>
      <c r="E449" s="592"/>
      <c r="F449" s="584"/>
      <c r="G449" s="592"/>
      <c r="H449" s="380" t="b">
        <v>0</v>
      </c>
      <c r="I449" s="95"/>
      <c r="J449" s="342"/>
    </row>
    <row r="450" spans="3:13" x14ac:dyDescent="0.3">
      <c r="C450" s="231">
        <v>1</v>
      </c>
      <c r="D450" s="72"/>
      <c r="E450" s="73"/>
      <c r="F450" s="74"/>
      <c r="G450" s="72"/>
      <c r="H450" s="207" t="str">
        <f>IF(COUNTA(D450:G450)=COLUMNS(D450:G450), IFERROR('Technical Sheet'!G2, "-"), "-")</f>
        <v>-</v>
      </c>
      <c r="I450" s="17" t="str">
        <f>IF(OR(E122="Option A (Basic Module only)", E122="Option B (Basic Module and Comprehensive Module)"),
    IF(AND(D450&lt;&gt;"", E450&lt;&gt;"", F450&lt;&gt;"", G450&lt;&gt;"", H450&lt;&gt;""),
        template_label_ok,
        template_label_missing_value
    ),
    ""
)</f>
        <v/>
      </c>
      <c r="J450" s="215" t="str">
        <f>IF(AND(D450&lt;&gt;"", E450&lt;&gt;"", F450&lt;&gt;"", G450&lt;&gt;""),
    IFERROR(HYPERLINK("https://www.openstreetmap.org/search?lat=" &amp; 'Technical Sheet'!E2 &amp; "&amp;lon=" &amp; 'Technical Sheet'!F2, "OpenStreetMap Link"),
    ""),
"")</f>
        <v/>
      </c>
      <c r="K450" s="96" t="str">
        <f t="shared" ref="K450:K549" si="10">LOWER(SUBSTITUTE(D450," ","+" )) &amp; "+" &amp; LOWER(SUBSTITUTE(E450," ","+" )) &amp; "+" &amp; LOWER(SUBSTITUTE(F450," ","+" )) &amp; "+" &amp; LOWER(SUBSTITUTE(G450," ","+" )) &amp; "+"</f>
        <v>++++</v>
      </c>
      <c r="L450" t="str">
        <f>template_label_geolocalisation_warning</f>
        <v>ℹ️  Please be careful to separate each street number and house number using the slash symbol "/" and not the comma ","</v>
      </c>
      <c r="M450" s="89"/>
    </row>
    <row r="451" spans="3:13" x14ac:dyDescent="0.3">
      <c r="C451" s="232">
        <v>2</v>
      </c>
      <c r="D451" s="75"/>
      <c r="E451" s="76"/>
      <c r="F451" s="77"/>
      <c r="G451" s="72"/>
      <c r="H451" s="207" t="str">
        <f>IF(COUNTA(D451:G451)=COLUMNS(D451:G451), IFERROR('Technical Sheet'!G3, "-"), "-")</f>
        <v>-</v>
      </c>
      <c r="I451" s="17" t="str">
        <f t="shared" ref="I451:I549" si="11">IF(AND(D451&lt;&gt;"", E451&lt;&gt;"", F451&lt;&gt;"", G451&lt;&gt;"", H451&lt;&gt;""), template_label_ok,
    IF(AND(D451="", E451="", F451="", G451="", H451="-"), "",
        template_label_missing_value
    )
)</f>
        <v/>
      </c>
      <c r="J451" s="215" t="str">
        <f>IF(AND(D451&lt;&gt;"", E451&lt;&gt;"", F451&lt;&gt;"", G451&lt;&gt;""),
    IFERROR(HYPERLINK("https://www.openstreetmap.org/search?lat=" &amp; 'Technical Sheet'!E3 &amp; "&amp;lon=" &amp; 'Technical Sheet'!F3, "OpenStreetMap Link"),
    ""),
"")</f>
        <v/>
      </c>
      <c r="K451" s="96" t="str">
        <f>LOWER(SUBSTITUTE(D451," ","+" )) &amp; "+" &amp; LOWER(SUBSTITUTE(E451," ","+" )) &amp; "+" &amp; LOWER(SUBSTITUTE(F451," ","+" )) &amp; "+" &amp; LOWER(SUBSTITUTE(G451," ","+" )) &amp; "+"</f>
        <v>++++</v>
      </c>
    </row>
    <row r="452" spans="3:13" ht="15" thickBot="1" x14ac:dyDescent="0.35">
      <c r="C452" s="233">
        <v>3</v>
      </c>
      <c r="D452" s="78"/>
      <c r="E452" s="79"/>
      <c r="F452" s="80"/>
      <c r="G452" s="78"/>
      <c r="H452" s="208" t="str">
        <f>IF(COUNTA(D452:G452)=COLUMNS(D452:G452), IFERROR('Technical Sheet'!G4, "-"), "-")</f>
        <v>-</v>
      </c>
      <c r="I452" s="17" t="str">
        <f t="shared" si="11"/>
        <v/>
      </c>
      <c r="J452" s="215" t="str">
        <f>IF(AND(D452&lt;&gt;"", E452&lt;&gt;"", F452&lt;&gt;"", G452&lt;&gt;""),
    IFERROR(HYPERLINK("https://www.openstreetmap.org/search?lat=" &amp; 'Technical Sheet'!E4 &amp; "&amp;lon=" &amp; 'Technical Sheet'!F4, "OpenStreetMap Link"),
    ""),
"")</f>
        <v/>
      </c>
      <c r="K452" s="96" t="str">
        <f>LOWER(SUBSTITUTE(D452," ","+" )) &amp; "+" &amp; LOWER(SUBSTITUTE(E452," ","+" )) &amp; "+" &amp; LOWER(SUBSTITUTE(F452," ","+" )) &amp; "+" &amp; LOWER(SUBSTITUTE(G452," ","+" )) &amp; "+"</f>
        <v>++++</v>
      </c>
      <c r="L452" t="str">
        <f>template_label_additional_rows_warning</f>
        <v>ℹ️  Lists can be expanded using the little [+] button on the left.  If the number of rows is not sufficient, those can be added by right clicking the second row and selecting "Insert row".</v>
      </c>
    </row>
    <row r="453" spans="3:13" hidden="1" outlineLevel="1" x14ac:dyDescent="0.3">
      <c r="C453" s="232">
        <v>4</v>
      </c>
      <c r="D453" s="75"/>
      <c r="E453" s="76"/>
      <c r="F453" s="77"/>
      <c r="G453" s="75"/>
      <c r="H453" s="209" t="str">
        <f>IF(COUNTA(D453:G453)=COLUMNS(D453:G453), IFERROR('Technical Sheet'!G5, "-"), "-")</f>
        <v>-</v>
      </c>
      <c r="I453" s="17" t="str">
        <f t="shared" si="11"/>
        <v/>
      </c>
      <c r="J453" s="215" t="str">
        <f>IF(AND(D453&lt;&gt;"", E453&lt;&gt;"", F453&lt;&gt;"", G453&lt;&gt;""),
    IFERROR(HYPERLINK("https://www.openstreetmap.org/search?lat=" &amp; 'Technical Sheet'!E5 &amp; "&amp;lon=" &amp; 'Technical Sheet'!F5, "OpenStreetMap Link"),
    ""),
"")</f>
        <v/>
      </c>
      <c r="K453" s="96" t="str">
        <f t="shared" si="10"/>
        <v>++++</v>
      </c>
    </row>
    <row r="454" spans="3:13" hidden="1" outlineLevel="1" x14ac:dyDescent="0.3">
      <c r="C454" s="232">
        <v>5</v>
      </c>
      <c r="D454" s="72"/>
      <c r="E454" s="73"/>
      <c r="F454" s="74"/>
      <c r="G454" s="72"/>
      <c r="H454" s="207" t="str">
        <f>IF(COUNTA(D454:G454)=COLUMNS(D454:G454), IFERROR('Technical Sheet'!G6, "-"), "-")</f>
        <v>-</v>
      </c>
      <c r="I454" s="17" t="str">
        <f t="shared" si="11"/>
        <v/>
      </c>
      <c r="J454" s="215" t="str">
        <f>IF(AND(D454&lt;&gt;"", E454&lt;&gt;"", F454&lt;&gt;"", G454&lt;&gt;""),
    IFERROR(HYPERLINK("https://www.openstreetmap.org/search?lat=" &amp; 'Technical Sheet'!E6 &amp; "&amp;lon=" &amp; 'Technical Sheet'!F6, "OpenStreetMap Link"),
    ""),
"")</f>
        <v/>
      </c>
      <c r="K454" s="96" t="str">
        <f t="shared" si="10"/>
        <v>++++</v>
      </c>
    </row>
    <row r="455" spans="3:13" hidden="1" outlineLevel="1" x14ac:dyDescent="0.3">
      <c r="C455" s="231">
        <v>6</v>
      </c>
      <c r="D455" s="72"/>
      <c r="E455" s="73"/>
      <c r="F455" s="74"/>
      <c r="G455" s="72"/>
      <c r="H455" s="207" t="str">
        <f>IF(COUNTA(D455:G455)=COLUMNS(D455:G455), IFERROR('Technical Sheet'!G7, "-"), "-")</f>
        <v>-</v>
      </c>
      <c r="I455" s="17" t="str">
        <f t="shared" si="11"/>
        <v/>
      </c>
      <c r="J455" s="215" t="str">
        <f>IF(AND(D455&lt;&gt;"", E455&lt;&gt;"", F455&lt;&gt;"", G455&lt;&gt;""),
    IFERROR(HYPERLINK("https://www.openstreetmap.org/search?lat=" &amp; 'Technical Sheet'!E7 &amp; "&amp;lon=" &amp; 'Technical Sheet'!F7, "OpenStreetMap Link"),
    ""),
"")</f>
        <v/>
      </c>
      <c r="K455" s="96" t="str">
        <f t="shared" si="10"/>
        <v>++++</v>
      </c>
    </row>
    <row r="456" spans="3:13" hidden="1" outlineLevel="1" x14ac:dyDescent="0.3">
      <c r="C456" s="231">
        <v>7</v>
      </c>
      <c r="D456" s="72"/>
      <c r="E456" s="73"/>
      <c r="F456" s="74"/>
      <c r="G456" s="72"/>
      <c r="H456" s="207" t="str">
        <f>IF(COUNTA(D456:G456)=COLUMNS(D456:G456), IFERROR('Technical Sheet'!G8, "-"), "-")</f>
        <v>-</v>
      </c>
      <c r="I456" s="17" t="str">
        <f t="shared" si="11"/>
        <v/>
      </c>
      <c r="J456" s="215" t="str">
        <f>IF(AND(D456&lt;&gt;"", E456&lt;&gt;"", F456&lt;&gt;"", G456&lt;&gt;""),
    IFERROR(HYPERLINK("https://www.openstreetmap.org/search?lat=" &amp; 'Technical Sheet'!E8 &amp; "&amp;lon=" &amp; 'Technical Sheet'!F8, "OpenStreetMap Link"),
    ""),
"")</f>
        <v/>
      </c>
      <c r="K456" s="96" t="str">
        <f t="shared" si="10"/>
        <v>++++</v>
      </c>
    </row>
    <row r="457" spans="3:13" hidden="1" outlineLevel="1" x14ac:dyDescent="0.3">
      <c r="C457" s="232">
        <v>8</v>
      </c>
      <c r="D457" s="72"/>
      <c r="E457" s="73"/>
      <c r="F457" s="74"/>
      <c r="G457" s="72"/>
      <c r="H457" s="207" t="str">
        <f>IF(COUNTA(D457:G457)=COLUMNS(D457:G457), IFERROR('Technical Sheet'!G9, "-"), "-")</f>
        <v>-</v>
      </c>
      <c r="I457" s="17" t="str">
        <f t="shared" si="11"/>
        <v/>
      </c>
      <c r="J457" s="215" t="str">
        <f>IF(AND(D457&lt;&gt;"", E457&lt;&gt;"", F457&lt;&gt;"", G457&lt;&gt;""),
    IFERROR(HYPERLINK("https://www.openstreetmap.org/search?lat=" &amp; 'Technical Sheet'!E9 &amp; "&amp;lon=" &amp; 'Technical Sheet'!F9, "OpenStreetMap Link"),
    ""),
"")</f>
        <v/>
      </c>
      <c r="K457" s="96" t="str">
        <f t="shared" si="10"/>
        <v>++++</v>
      </c>
    </row>
    <row r="458" spans="3:13" hidden="1" outlineLevel="1" x14ac:dyDescent="0.3">
      <c r="C458" s="231">
        <v>9</v>
      </c>
      <c r="D458" s="72"/>
      <c r="E458" s="73"/>
      <c r="F458" s="74"/>
      <c r="G458" s="72"/>
      <c r="H458" s="207" t="str">
        <f>IF(COUNTA(D458:G458)=COLUMNS(D458:G458), IFERROR('Technical Sheet'!G10, "-"), "-")</f>
        <v>-</v>
      </c>
      <c r="I458" s="17" t="str">
        <f t="shared" si="11"/>
        <v/>
      </c>
      <c r="J458" s="215" t="str">
        <f>IF(AND(D458&lt;&gt;"", E458&lt;&gt;"", F458&lt;&gt;"", G458&lt;&gt;""),
    IFERROR(HYPERLINK("https://www.openstreetmap.org/search?lat=" &amp; 'Technical Sheet'!E10 &amp; "&amp;lon=" &amp; 'Technical Sheet'!F10, "OpenStreetMap Link"),
    ""),
"")</f>
        <v/>
      </c>
      <c r="K458" s="96" t="str">
        <f t="shared" si="10"/>
        <v>++++</v>
      </c>
    </row>
    <row r="459" spans="3:13" hidden="1" outlineLevel="1" x14ac:dyDescent="0.3">
      <c r="C459" s="231">
        <v>10</v>
      </c>
      <c r="D459" s="72"/>
      <c r="E459" s="73"/>
      <c r="F459" s="74"/>
      <c r="G459" s="72"/>
      <c r="H459" s="207" t="str">
        <f>IF(COUNTA(D459:G459)=COLUMNS(D459:G459), IFERROR('Technical Sheet'!G11, "-"), "-")</f>
        <v>-</v>
      </c>
      <c r="I459" s="17" t="str">
        <f t="shared" si="11"/>
        <v/>
      </c>
      <c r="J459" s="215" t="str">
        <f>IF(AND(D459&lt;&gt;"", E459&lt;&gt;"", F459&lt;&gt;"", G459&lt;&gt;""),
    IFERROR(HYPERLINK("https://www.openstreetmap.org/search?lat=" &amp; 'Technical Sheet'!E11 &amp; "&amp;lon=" &amp; 'Technical Sheet'!F11, "OpenStreetMap Link"),
    ""),
"")</f>
        <v/>
      </c>
      <c r="K459" s="96" t="str">
        <f t="shared" si="10"/>
        <v>++++</v>
      </c>
    </row>
    <row r="460" spans="3:13" hidden="1" outlineLevel="1" x14ac:dyDescent="0.3">
      <c r="C460" s="232">
        <v>11</v>
      </c>
      <c r="D460" s="72"/>
      <c r="E460" s="73"/>
      <c r="F460" s="74"/>
      <c r="G460" s="72"/>
      <c r="H460" s="207" t="str">
        <f>IF(COUNTA(D460:G460)=COLUMNS(D460:G460), IFERROR('Technical Sheet'!G12, "-"), "-")</f>
        <v>-</v>
      </c>
      <c r="I460" s="17" t="str">
        <f t="shared" si="11"/>
        <v/>
      </c>
      <c r="J460" s="215" t="str">
        <f>IF(AND(D460&lt;&gt;"", E460&lt;&gt;"", F460&lt;&gt;"", G460&lt;&gt;""),
    IFERROR(HYPERLINK("https://www.openstreetmap.org/search?lat=" &amp; 'Technical Sheet'!E12 &amp; "&amp;lon=" &amp; 'Technical Sheet'!F12, "OpenStreetMap Link"),
    ""),
"")</f>
        <v/>
      </c>
      <c r="K460" s="96" t="str">
        <f t="shared" si="10"/>
        <v>++++</v>
      </c>
    </row>
    <row r="461" spans="3:13" hidden="1" outlineLevel="1" x14ac:dyDescent="0.3">
      <c r="C461" s="231">
        <v>12</v>
      </c>
      <c r="D461" s="72"/>
      <c r="E461" s="73"/>
      <c r="F461" s="74"/>
      <c r="G461" s="72"/>
      <c r="H461" s="207" t="str">
        <f>IF(COUNTA(D461:G461)=COLUMNS(D461:G461), IFERROR('Technical Sheet'!G13, "-"), "-")</f>
        <v>-</v>
      </c>
      <c r="I461" s="17" t="str">
        <f t="shared" si="11"/>
        <v/>
      </c>
      <c r="J461" s="215" t="str">
        <f>IF(AND(D461&lt;&gt;"", E461&lt;&gt;"", F461&lt;&gt;"", G461&lt;&gt;""),
    IFERROR(HYPERLINK("https://www.openstreetmap.org/search?lat=" &amp; 'Technical Sheet'!E13 &amp; "&amp;lon=" &amp; 'Technical Sheet'!F13, "OpenStreetMap Link"),
    ""),
"")</f>
        <v/>
      </c>
      <c r="K461" s="96" t="str">
        <f t="shared" si="10"/>
        <v>++++</v>
      </c>
    </row>
    <row r="462" spans="3:13" hidden="1" outlineLevel="1" x14ac:dyDescent="0.3">
      <c r="C462" s="231">
        <v>13</v>
      </c>
      <c r="D462" s="72"/>
      <c r="E462" s="73"/>
      <c r="F462" s="74"/>
      <c r="G462" s="72"/>
      <c r="H462" s="207" t="str">
        <f>IF(COUNTA(D462:G462)=COLUMNS(D462:G462), IFERROR('Technical Sheet'!G14, "-"), "-")</f>
        <v>-</v>
      </c>
      <c r="I462" s="17" t="str">
        <f t="shared" si="11"/>
        <v/>
      </c>
      <c r="J462" s="215" t="str">
        <f>IF(AND(D462&lt;&gt;"", E462&lt;&gt;"", F462&lt;&gt;"", G462&lt;&gt;""),
    IFERROR(HYPERLINK("https://www.openstreetmap.org/search?lat=" &amp; 'Technical Sheet'!E14 &amp; "&amp;lon=" &amp; 'Technical Sheet'!F14, "OpenStreetMap Link"),
    ""),
"")</f>
        <v/>
      </c>
      <c r="K462" s="96" t="str">
        <f t="shared" si="10"/>
        <v>++++</v>
      </c>
    </row>
    <row r="463" spans="3:13" hidden="1" outlineLevel="1" x14ac:dyDescent="0.3">
      <c r="C463" s="232">
        <v>14</v>
      </c>
      <c r="D463" s="72"/>
      <c r="E463" s="73"/>
      <c r="F463" s="74"/>
      <c r="G463" s="72"/>
      <c r="H463" s="207" t="str">
        <f>IF(COUNTA(D463:G463)=COLUMNS(D463:G463), IFERROR('Technical Sheet'!G15, "-"), "-")</f>
        <v>-</v>
      </c>
      <c r="I463" s="17" t="str">
        <f t="shared" si="11"/>
        <v/>
      </c>
      <c r="J463" s="215" t="str">
        <f>IF(AND(D463&lt;&gt;"", E463&lt;&gt;"", F463&lt;&gt;"", G463&lt;&gt;""),
    IFERROR(HYPERLINK("https://www.openstreetmap.org/search?lat=" &amp; 'Technical Sheet'!E15 &amp; "&amp;lon=" &amp; 'Technical Sheet'!F15, "OpenStreetMap Link"),
    ""),
"")</f>
        <v/>
      </c>
      <c r="K463" s="96" t="str">
        <f t="shared" si="10"/>
        <v>++++</v>
      </c>
    </row>
    <row r="464" spans="3:13" hidden="1" outlineLevel="1" x14ac:dyDescent="0.3">
      <c r="C464" s="231">
        <v>15</v>
      </c>
      <c r="D464" s="72"/>
      <c r="E464" s="73"/>
      <c r="F464" s="74"/>
      <c r="G464" s="72"/>
      <c r="H464" s="207" t="str">
        <f>IF(COUNTA(D464:G464)=COLUMNS(D464:G464), IFERROR('Technical Sheet'!G16, "-"), "-")</f>
        <v>-</v>
      </c>
      <c r="I464" s="17" t="str">
        <f t="shared" si="11"/>
        <v/>
      </c>
      <c r="J464" s="215" t="str">
        <f>IF(AND(D464&lt;&gt;"", E464&lt;&gt;"", F464&lt;&gt;"", G464&lt;&gt;""),
    IFERROR(HYPERLINK("https://www.openstreetmap.org/search?lat=" &amp; 'Technical Sheet'!E16 &amp; "&amp;lon=" &amp; 'Technical Sheet'!F16, "OpenStreetMap Link"),
    ""),
"")</f>
        <v/>
      </c>
      <c r="K464" s="96" t="str">
        <f t="shared" si="10"/>
        <v>++++</v>
      </c>
    </row>
    <row r="465" spans="3:11" hidden="1" outlineLevel="1" x14ac:dyDescent="0.3">
      <c r="C465" s="231">
        <v>16</v>
      </c>
      <c r="D465" s="72"/>
      <c r="E465" s="73"/>
      <c r="F465" s="74"/>
      <c r="G465" s="72"/>
      <c r="H465" s="207" t="str">
        <f>IF(COUNTA(D465:G465)=COLUMNS(D465:G465), IFERROR('Technical Sheet'!G17, "-"), "-")</f>
        <v>-</v>
      </c>
      <c r="I465" s="17" t="str">
        <f t="shared" si="11"/>
        <v/>
      </c>
      <c r="J465" s="215" t="str">
        <f>IF(AND(D465&lt;&gt;"", E465&lt;&gt;"", F465&lt;&gt;"", G465&lt;&gt;""),
    IFERROR(HYPERLINK("https://www.openstreetmap.org/search?lat=" &amp; 'Technical Sheet'!E17 &amp; "&amp;lon=" &amp; 'Technical Sheet'!F17, "OpenStreetMap Link"),
    ""),
"")</f>
        <v/>
      </c>
      <c r="K465" s="96" t="str">
        <f t="shared" si="10"/>
        <v>++++</v>
      </c>
    </row>
    <row r="466" spans="3:11" hidden="1" outlineLevel="1" x14ac:dyDescent="0.3">
      <c r="C466" s="232">
        <v>17</v>
      </c>
      <c r="D466" s="72"/>
      <c r="E466" s="73"/>
      <c r="F466" s="74"/>
      <c r="G466" s="72"/>
      <c r="H466" s="207" t="str">
        <f>IF(COUNTA(D466:G466)=COLUMNS(D466:G466), IFERROR('Technical Sheet'!G18, "-"), "-")</f>
        <v>-</v>
      </c>
      <c r="I466" s="17" t="str">
        <f t="shared" si="11"/>
        <v/>
      </c>
      <c r="J466" s="215" t="str">
        <f>IF(AND(D466&lt;&gt;"", E466&lt;&gt;"", F466&lt;&gt;"", G466&lt;&gt;""),
    IFERROR(HYPERLINK("https://www.openstreetmap.org/search?lat=" &amp; 'Technical Sheet'!E18 &amp; "&amp;lon=" &amp; 'Technical Sheet'!F18, "OpenStreetMap Link"),
    ""),
"")</f>
        <v/>
      </c>
      <c r="K466" s="96" t="str">
        <f t="shared" si="10"/>
        <v>++++</v>
      </c>
    </row>
    <row r="467" spans="3:11" hidden="1" outlineLevel="1" x14ac:dyDescent="0.3">
      <c r="C467" s="231">
        <v>18</v>
      </c>
      <c r="D467" s="72"/>
      <c r="E467" s="73"/>
      <c r="F467" s="74"/>
      <c r="G467" s="72"/>
      <c r="H467" s="207" t="str">
        <f>IF(COUNTA(D467:G467)=COLUMNS(D467:G467), IFERROR('Technical Sheet'!G19, "-"), "-")</f>
        <v>-</v>
      </c>
      <c r="I467" s="17" t="str">
        <f t="shared" si="11"/>
        <v/>
      </c>
      <c r="J467" s="215" t="str">
        <f>IF(AND(D467&lt;&gt;"", E467&lt;&gt;"", F467&lt;&gt;"", G467&lt;&gt;""),
    IFERROR(HYPERLINK("https://www.openstreetmap.org/search?lat=" &amp; 'Technical Sheet'!E19 &amp; "&amp;lon=" &amp; 'Technical Sheet'!F19, "OpenStreetMap Link"),
    ""),
"")</f>
        <v/>
      </c>
      <c r="K467" s="96" t="str">
        <f t="shared" si="10"/>
        <v>++++</v>
      </c>
    </row>
    <row r="468" spans="3:11" hidden="1" outlineLevel="1" x14ac:dyDescent="0.3">
      <c r="C468" s="231">
        <v>19</v>
      </c>
      <c r="D468" s="72"/>
      <c r="E468" s="73"/>
      <c r="F468" s="74"/>
      <c r="G468" s="72"/>
      <c r="H468" s="207" t="str">
        <f>IF(COUNTA(D468:G468)=COLUMNS(D468:G468), IFERROR('Technical Sheet'!G20, "-"), "-")</f>
        <v>-</v>
      </c>
      <c r="I468" s="17" t="str">
        <f t="shared" si="11"/>
        <v/>
      </c>
      <c r="J468" s="215" t="str">
        <f>IF(AND(D468&lt;&gt;"", E468&lt;&gt;"", F468&lt;&gt;"", G468&lt;&gt;""),
    IFERROR(HYPERLINK("https://www.openstreetmap.org/search?lat=" &amp; 'Technical Sheet'!E20 &amp; "&amp;lon=" &amp; 'Technical Sheet'!F20, "OpenStreetMap Link"),
    ""),
"")</f>
        <v/>
      </c>
      <c r="K468" s="96" t="str">
        <f t="shared" si="10"/>
        <v>++++</v>
      </c>
    </row>
    <row r="469" spans="3:11" hidden="1" outlineLevel="1" x14ac:dyDescent="0.3">
      <c r="C469" s="232">
        <v>20</v>
      </c>
      <c r="D469" s="72"/>
      <c r="E469" s="73"/>
      <c r="F469" s="74"/>
      <c r="G469" s="72"/>
      <c r="H469" s="207" t="str">
        <f>IF(COUNTA(D469:G469)=COLUMNS(D469:G469), IFERROR('Technical Sheet'!G21, "-"), "-")</f>
        <v>-</v>
      </c>
      <c r="I469" s="17" t="str">
        <f t="shared" si="11"/>
        <v/>
      </c>
      <c r="J469" s="215" t="str">
        <f>IF(AND(D469&lt;&gt;"", E469&lt;&gt;"", F469&lt;&gt;"", G469&lt;&gt;""),
    IFERROR(HYPERLINK("https://www.openstreetmap.org/search?lat=" &amp; 'Technical Sheet'!E21 &amp; "&amp;lon=" &amp; 'Technical Sheet'!F21, "OpenStreetMap Link"),
    ""),
"")</f>
        <v/>
      </c>
      <c r="K469" s="96" t="str">
        <f t="shared" si="10"/>
        <v>++++</v>
      </c>
    </row>
    <row r="470" spans="3:11" hidden="1" outlineLevel="1" x14ac:dyDescent="0.3">
      <c r="C470" s="231">
        <v>21</v>
      </c>
      <c r="D470" s="72"/>
      <c r="E470" s="73"/>
      <c r="F470" s="74"/>
      <c r="G470" s="72"/>
      <c r="H470" s="207" t="str">
        <f>IF(COUNTA(D470:G470)=COLUMNS(D470:G470), IFERROR('Technical Sheet'!G22, "-"), "-")</f>
        <v>-</v>
      </c>
      <c r="I470" s="17" t="str">
        <f t="shared" si="11"/>
        <v/>
      </c>
      <c r="J470" s="215" t="str">
        <f>IF(AND(D470&lt;&gt;"", E470&lt;&gt;"", F470&lt;&gt;"", G470&lt;&gt;""),
    IFERROR(HYPERLINK("https://www.openstreetmap.org/search?lat=" &amp; 'Technical Sheet'!E22 &amp; "&amp;lon=" &amp; 'Technical Sheet'!F22, "OpenStreetMap Link"),
    ""),
"")</f>
        <v/>
      </c>
      <c r="K470" s="96" t="str">
        <f t="shared" si="10"/>
        <v>++++</v>
      </c>
    </row>
    <row r="471" spans="3:11" hidden="1" outlineLevel="1" x14ac:dyDescent="0.3">
      <c r="C471" s="231">
        <v>22</v>
      </c>
      <c r="D471" s="72"/>
      <c r="E471" s="73"/>
      <c r="F471" s="74"/>
      <c r="G471" s="72"/>
      <c r="H471" s="207" t="str">
        <f>IF(COUNTA(D471:G471)=COLUMNS(D471:G471), IFERROR('Technical Sheet'!G23, "-"), "-")</f>
        <v>-</v>
      </c>
      <c r="I471" s="17" t="str">
        <f t="shared" si="11"/>
        <v/>
      </c>
      <c r="J471" s="215" t="str">
        <f>IF(AND(D471&lt;&gt;"", E471&lt;&gt;"", F471&lt;&gt;"", G471&lt;&gt;""),
    IFERROR(HYPERLINK("https://www.openstreetmap.org/search?lat=" &amp; 'Technical Sheet'!E23 &amp; "&amp;lon=" &amp; 'Technical Sheet'!F23, "OpenStreetMap Link"),
    ""),
"")</f>
        <v/>
      </c>
      <c r="K471" s="96" t="str">
        <f t="shared" si="10"/>
        <v>++++</v>
      </c>
    </row>
    <row r="472" spans="3:11" hidden="1" outlineLevel="1" x14ac:dyDescent="0.3">
      <c r="C472" s="232">
        <v>23</v>
      </c>
      <c r="D472" s="72"/>
      <c r="E472" s="73"/>
      <c r="F472" s="74"/>
      <c r="G472" s="72"/>
      <c r="H472" s="207" t="str">
        <f>IF(COUNTA(D472:G472)=COLUMNS(D472:G472), IFERROR('Technical Sheet'!G24, "-"), "-")</f>
        <v>-</v>
      </c>
      <c r="I472" s="17" t="str">
        <f t="shared" si="11"/>
        <v/>
      </c>
      <c r="J472" s="215" t="str">
        <f>IF(AND(D472&lt;&gt;"", E472&lt;&gt;"", F472&lt;&gt;"", G472&lt;&gt;""),
    IFERROR(HYPERLINK("https://www.openstreetmap.org/search?lat=" &amp; 'Technical Sheet'!E24 &amp; "&amp;lon=" &amp; 'Technical Sheet'!F24, "OpenStreetMap Link"),
    ""),
"")</f>
        <v/>
      </c>
      <c r="K472" s="96" t="str">
        <f t="shared" si="10"/>
        <v>++++</v>
      </c>
    </row>
    <row r="473" spans="3:11" hidden="1" outlineLevel="1" x14ac:dyDescent="0.3">
      <c r="C473" s="231">
        <v>24</v>
      </c>
      <c r="D473" s="81"/>
      <c r="E473" s="82"/>
      <c r="F473" s="83"/>
      <c r="G473" s="81"/>
      <c r="H473" s="207" t="str">
        <f>IF(COUNTA(D473:G473)=COLUMNS(D473:G473), IFERROR('Technical Sheet'!G25, "-"), "-")</f>
        <v>-</v>
      </c>
      <c r="I473" s="17" t="str">
        <f t="shared" si="11"/>
        <v/>
      </c>
      <c r="J473" s="215"/>
      <c r="K473" s="96"/>
    </row>
    <row r="474" spans="3:11" hidden="1" outlineLevel="1" x14ac:dyDescent="0.3">
      <c r="C474" s="231">
        <v>25</v>
      </c>
      <c r="D474" s="81"/>
      <c r="E474" s="82"/>
      <c r="F474" s="83"/>
      <c r="G474" s="81"/>
      <c r="H474" s="207" t="str">
        <f>IF(COUNTA(D474:G474)=COLUMNS(D474:G474), IFERROR('Technical Sheet'!G26, "-"), "-")</f>
        <v>-</v>
      </c>
      <c r="I474" s="17" t="str">
        <f t="shared" si="11"/>
        <v/>
      </c>
      <c r="J474" s="215"/>
      <c r="K474" s="96"/>
    </row>
    <row r="475" spans="3:11" hidden="1" outlineLevel="1" x14ac:dyDescent="0.3">
      <c r="C475" s="232">
        <v>26</v>
      </c>
      <c r="D475" s="81"/>
      <c r="E475" s="82"/>
      <c r="F475" s="83"/>
      <c r="G475" s="81"/>
      <c r="H475" s="207" t="str">
        <f>IF(COUNTA(D475:G475)=COLUMNS(D475:G475), IFERROR('Technical Sheet'!G27, "-"), "-")</f>
        <v>-</v>
      </c>
      <c r="I475" s="17" t="str">
        <f t="shared" si="11"/>
        <v/>
      </c>
      <c r="J475" s="215"/>
      <c r="K475" s="96"/>
    </row>
    <row r="476" spans="3:11" hidden="1" outlineLevel="1" x14ac:dyDescent="0.3">
      <c r="C476" s="231">
        <v>27</v>
      </c>
      <c r="D476" s="81"/>
      <c r="E476" s="82"/>
      <c r="F476" s="83"/>
      <c r="G476" s="81"/>
      <c r="H476" s="207" t="str">
        <f>IF(COUNTA(D476:G476)=COLUMNS(D476:G476), IFERROR('Technical Sheet'!G28, "-"), "-")</f>
        <v>-</v>
      </c>
      <c r="I476" s="17" t="str">
        <f t="shared" si="11"/>
        <v/>
      </c>
      <c r="J476" s="215"/>
      <c r="K476" s="96"/>
    </row>
    <row r="477" spans="3:11" hidden="1" outlineLevel="1" x14ac:dyDescent="0.3">
      <c r="C477" s="231">
        <v>28</v>
      </c>
      <c r="D477" s="81"/>
      <c r="E477" s="82"/>
      <c r="F477" s="83"/>
      <c r="G477" s="81"/>
      <c r="H477" s="207" t="str">
        <f>IF(COUNTA(D477:G477)=COLUMNS(D477:G477), IFERROR('Technical Sheet'!G29, "-"), "-")</f>
        <v>-</v>
      </c>
      <c r="I477" s="17" t="str">
        <f t="shared" si="11"/>
        <v/>
      </c>
      <c r="J477" s="215"/>
      <c r="K477" s="96"/>
    </row>
    <row r="478" spans="3:11" hidden="1" outlineLevel="1" x14ac:dyDescent="0.3">
      <c r="C478" s="232">
        <v>29</v>
      </c>
      <c r="D478" s="81"/>
      <c r="E478" s="82"/>
      <c r="F478" s="83"/>
      <c r="G478" s="81"/>
      <c r="H478" s="207" t="str">
        <f>IF(COUNTA(D478:G478)=COLUMNS(D478:G478), IFERROR('Technical Sheet'!G30, "-"), "-")</f>
        <v>-</v>
      </c>
      <c r="I478" s="17" t="str">
        <f t="shared" si="11"/>
        <v/>
      </c>
      <c r="J478" s="215"/>
      <c r="K478" s="96"/>
    </row>
    <row r="479" spans="3:11" hidden="1" outlineLevel="1" x14ac:dyDescent="0.3">
      <c r="C479" s="231">
        <v>30</v>
      </c>
      <c r="D479" s="81"/>
      <c r="E479" s="82"/>
      <c r="F479" s="83"/>
      <c r="G479" s="81"/>
      <c r="H479" s="207" t="str">
        <f>IF(COUNTA(D479:G479)=COLUMNS(D479:G479), IFERROR('Technical Sheet'!G31, "-"), "-")</f>
        <v>-</v>
      </c>
      <c r="I479" s="17" t="str">
        <f t="shared" si="11"/>
        <v/>
      </c>
      <c r="J479" s="215"/>
      <c r="K479" s="96"/>
    </row>
    <row r="480" spans="3:11" hidden="1" outlineLevel="1" x14ac:dyDescent="0.3">
      <c r="C480" s="231">
        <v>31</v>
      </c>
      <c r="D480" s="81"/>
      <c r="E480" s="82"/>
      <c r="F480" s="83"/>
      <c r="G480" s="81"/>
      <c r="H480" s="207" t="str">
        <f>IF(COUNTA(D480:G480)=COLUMNS(D480:G480), IFERROR('Technical Sheet'!G32, "-"), "-")</f>
        <v>-</v>
      </c>
      <c r="I480" s="17" t="str">
        <f t="shared" si="11"/>
        <v/>
      </c>
      <c r="J480" s="215"/>
      <c r="K480" s="96"/>
    </row>
    <row r="481" spans="3:11" hidden="1" outlineLevel="1" x14ac:dyDescent="0.3">
      <c r="C481" s="232">
        <v>32</v>
      </c>
      <c r="D481" s="81"/>
      <c r="E481" s="82"/>
      <c r="F481" s="83"/>
      <c r="G481" s="81"/>
      <c r="H481" s="207" t="str">
        <f>IF(COUNTA(D481:G481)=COLUMNS(D481:G481), IFERROR('Technical Sheet'!G33, "-"), "-")</f>
        <v>-</v>
      </c>
      <c r="I481" s="17" t="str">
        <f t="shared" si="11"/>
        <v/>
      </c>
      <c r="J481" s="215"/>
      <c r="K481" s="96"/>
    </row>
    <row r="482" spans="3:11" hidden="1" outlineLevel="1" x14ac:dyDescent="0.3">
      <c r="C482" s="231">
        <v>33</v>
      </c>
      <c r="D482" s="81"/>
      <c r="E482" s="82"/>
      <c r="F482" s="83"/>
      <c r="G482" s="81"/>
      <c r="H482" s="207" t="str">
        <f>IF(COUNTA(D482:G482)=COLUMNS(D482:G482), IFERROR('Technical Sheet'!G34, "-"), "-")</f>
        <v>-</v>
      </c>
      <c r="I482" s="17" t="str">
        <f t="shared" si="11"/>
        <v/>
      </c>
      <c r="J482" s="215"/>
      <c r="K482" s="96"/>
    </row>
    <row r="483" spans="3:11" hidden="1" outlineLevel="1" x14ac:dyDescent="0.3">
      <c r="C483" s="231">
        <v>34</v>
      </c>
      <c r="D483" s="81"/>
      <c r="E483" s="82"/>
      <c r="F483" s="83"/>
      <c r="G483" s="81"/>
      <c r="H483" s="207" t="str">
        <f>IF(COUNTA(D483:G483)=COLUMNS(D483:G483), IFERROR('Technical Sheet'!G35, "-"), "-")</f>
        <v>-</v>
      </c>
      <c r="I483" s="17" t="str">
        <f t="shared" si="11"/>
        <v/>
      </c>
      <c r="J483" s="215"/>
      <c r="K483" s="96"/>
    </row>
    <row r="484" spans="3:11" hidden="1" outlineLevel="1" x14ac:dyDescent="0.3">
      <c r="C484" s="232">
        <v>35</v>
      </c>
      <c r="D484" s="81"/>
      <c r="E484" s="82"/>
      <c r="F484" s="83"/>
      <c r="G484" s="81"/>
      <c r="H484" s="207" t="str">
        <f>IF(COUNTA(D484:G484)=COLUMNS(D484:G484), IFERROR('Technical Sheet'!G36, "-"), "-")</f>
        <v>-</v>
      </c>
      <c r="I484" s="17" t="str">
        <f t="shared" si="11"/>
        <v/>
      </c>
      <c r="J484" s="215"/>
      <c r="K484" s="96"/>
    </row>
    <row r="485" spans="3:11" hidden="1" outlineLevel="1" x14ac:dyDescent="0.3">
      <c r="C485" s="231">
        <v>36</v>
      </c>
      <c r="D485" s="81"/>
      <c r="E485" s="82"/>
      <c r="F485" s="83"/>
      <c r="G485" s="81"/>
      <c r="H485" s="207" t="str">
        <f>IF(COUNTA(D485:G485)=COLUMNS(D485:G485), IFERROR('Technical Sheet'!G37, "-"), "-")</f>
        <v>-</v>
      </c>
      <c r="I485" s="17" t="str">
        <f t="shared" si="11"/>
        <v/>
      </c>
      <c r="J485" s="215"/>
      <c r="K485" s="96"/>
    </row>
    <row r="486" spans="3:11" hidden="1" outlineLevel="1" x14ac:dyDescent="0.3">
      <c r="C486" s="231">
        <v>37</v>
      </c>
      <c r="D486" s="81"/>
      <c r="E486" s="82"/>
      <c r="F486" s="83"/>
      <c r="G486" s="81"/>
      <c r="H486" s="207" t="str">
        <f>IF(COUNTA(D486:G486)=COLUMNS(D486:G486), IFERROR('Technical Sheet'!G38, "-"), "-")</f>
        <v>-</v>
      </c>
      <c r="I486" s="17" t="str">
        <f t="shared" si="11"/>
        <v/>
      </c>
      <c r="J486" s="215"/>
      <c r="K486" s="96"/>
    </row>
    <row r="487" spans="3:11" hidden="1" outlineLevel="1" x14ac:dyDescent="0.3">
      <c r="C487" s="232">
        <v>38</v>
      </c>
      <c r="D487" s="81"/>
      <c r="E487" s="82"/>
      <c r="F487" s="83"/>
      <c r="G487" s="81"/>
      <c r="H487" s="207" t="str">
        <f>IF(COUNTA(D487:G487)=COLUMNS(D487:G487), IFERROR('Technical Sheet'!G39, "-"), "-")</f>
        <v>-</v>
      </c>
      <c r="I487" s="17" t="str">
        <f t="shared" si="11"/>
        <v/>
      </c>
      <c r="J487" s="215"/>
      <c r="K487" s="96"/>
    </row>
    <row r="488" spans="3:11" hidden="1" outlineLevel="1" x14ac:dyDescent="0.3">
      <c r="C488" s="231">
        <v>39</v>
      </c>
      <c r="D488" s="81"/>
      <c r="E488" s="82"/>
      <c r="F488" s="83"/>
      <c r="G488" s="81"/>
      <c r="H488" s="207" t="str">
        <f>IF(COUNTA(D488:G488)=COLUMNS(D488:G488), IFERROR('Technical Sheet'!G40, "-"), "-")</f>
        <v>-</v>
      </c>
      <c r="I488" s="17" t="str">
        <f t="shared" si="11"/>
        <v/>
      </c>
      <c r="J488" s="215"/>
      <c r="K488" s="96"/>
    </row>
    <row r="489" spans="3:11" hidden="1" outlineLevel="1" x14ac:dyDescent="0.3">
      <c r="C489" s="231">
        <v>40</v>
      </c>
      <c r="D489" s="81"/>
      <c r="E489" s="82"/>
      <c r="F489" s="83"/>
      <c r="G489" s="81"/>
      <c r="H489" s="207" t="str">
        <f>IF(COUNTA(D489:G489)=COLUMNS(D489:G489), IFERROR('Technical Sheet'!G41, "-"), "-")</f>
        <v>-</v>
      </c>
      <c r="I489" s="17" t="str">
        <f t="shared" si="11"/>
        <v/>
      </c>
      <c r="J489" s="215"/>
      <c r="K489" s="96"/>
    </row>
    <row r="490" spans="3:11" hidden="1" outlineLevel="1" x14ac:dyDescent="0.3">
      <c r="C490" s="232">
        <v>41</v>
      </c>
      <c r="D490" s="81"/>
      <c r="E490" s="82"/>
      <c r="F490" s="83"/>
      <c r="G490" s="81"/>
      <c r="H490" s="207" t="str">
        <f>IF(COUNTA(D490:G490)=COLUMNS(D490:G490), IFERROR('Technical Sheet'!G42, "-"), "-")</f>
        <v>-</v>
      </c>
      <c r="I490" s="17" t="str">
        <f t="shared" si="11"/>
        <v/>
      </c>
      <c r="J490" s="215"/>
      <c r="K490" s="96"/>
    </row>
    <row r="491" spans="3:11" hidden="1" outlineLevel="1" x14ac:dyDescent="0.3">
      <c r="C491" s="231">
        <v>42</v>
      </c>
      <c r="D491" s="81"/>
      <c r="E491" s="82"/>
      <c r="F491" s="83"/>
      <c r="G491" s="81"/>
      <c r="H491" s="207" t="str">
        <f>IF(COUNTA(D491:G491)=COLUMNS(D491:G491), IFERROR('Technical Sheet'!G43, "-"), "-")</f>
        <v>-</v>
      </c>
      <c r="I491" s="17" t="str">
        <f t="shared" si="11"/>
        <v/>
      </c>
      <c r="J491" s="215"/>
      <c r="K491" s="96"/>
    </row>
    <row r="492" spans="3:11" hidden="1" outlineLevel="1" x14ac:dyDescent="0.3">
      <c r="C492" s="231">
        <v>43</v>
      </c>
      <c r="D492" s="81"/>
      <c r="E492" s="82"/>
      <c r="F492" s="83"/>
      <c r="G492" s="81"/>
      <c r="H492" s="207" t="str">
        <f>IF(COUNTA(D492:G492)=COLUMNS(D492:G492), IFERROR('Technical Sheet'!G44, "-"), "-")</f>
        <v>-</v>
      </c>
      <c r="I492" s="17" t="str">
        <f t="shared" si="11"/>
        <v/>
      </c>
      <c r="J492" s="215"/>
      <c r="K492" s="96"/>
    </row>
    <row r="493" spans="3:11" hidden="1" outlineLevel="1" x14ac:dyDescent="0.3">
      <c r="C493" s="232">
        <v>44</v>
      </c>
      <c r="D493" s="81"/>
      <c r="E493" s="82"/>
      <c r="F493" s="83"/>
      <c r="G493" s="81"/>
      <c r="H493" s="207" t="str">
        <f>IF(COUNTA(D493:G493)=COLUMNS(D493:G493), IFERROR('Technical Sheet'!G45, "-"), "-")</f>
        <v>-</v>
      </c>
      <c r="I493" s="17" t="str">
        <f t="shared" si="11"/>
        <v/>
      </c>
      <c r="J493" s="215"/>
      <c r="K493" s="96"/>
    </row>
    <row r="494" spans="3:11" hidden="1" outlineLevel="1" x14ac:dyDescent="0.3">
      <c r="C494" s="231">
        <v>45</v>
      </c>
      <c r="D494" s="81"/>
      <c r="E494" s="82"/>
      <c r="F494" s="83"/>
      <c r="G494" s="81"/>
      <c r="H494" s="207" t="str">
        <f>IF(COUNTA(D494:G494)=COLUMNS(D494:G494), IFERROR('Technical Sheet'!G46, "-"), "-")</f>
        <v>-</v>
      </c>
      <c r="I494" s="17" t="str">
        <f t="shared" si="11"/>
        <v/>
      </c>
      <c r="J494" s="215"/>
      <c r="K494" s="96"/>
    </row>
    <row r="495" spans="3:11" hidden="1" outlineLevel="1" x14ac:dyDescent="0.3">
      <c r="C495" s="231">
        <v>46</v>
      </c>
      <c r="D495" s="81"/>
      <c r="E495" s="82"/>
      <c r="F495" s="83"/>
      <c r="G495" s="81"/>
      <c r="H495" s="207" t="str">
        <f>IF(COUNTA(D495:G495)=COLUMNS(D495:G495), IFERROR('Technical Sheet'!G47, "-"), "-")</f>
        <v>-</v>
      </c>
      <c r="I495" s="17" t="str">
        <f t="shared" si="11"/>
        <v/>
      </c>
      <c r="J495" s="215"/>
      <c r="K495" s="96"/>
    </row>
    <row r="496" spans="3:11" hidden="1" outlineLevel="1" x14ac:dyDescent="0.3">
      <c r="C496" s="232">
        <v>47</v>
      </c>
      <c r="D496" s="81"/>
      <c r="E496" s="82"/>
      <c r="F496" s="83"/>
      <c r="G496" s="81"/>
      <c r="H496" s="207" t="str">
        <f>IF(COUNTA(D496:G496)=COLUMNS(D496:G496), IFERROR('Technical Sheet'!G48, "-"), "-")</f>
        <v>-</v>
      </c>
      <c r="I496" s="17" t="str">
        <f t="shared" si="11"/>
        <v/>
      </c>
      <c r="J496" s="215"/>
      <c r="K496" s="96"/>
    </row>
    <row r="497" spans="3:11" hidden="1" outlineLevel="1" x14ac:dyDescent="0.3">
      <c r="C497" s="231">
        <v>48</v>
      </c>
      <c r="D497" s="81"/>
      <c r="E497" s="82"/>
      <c r="F497" s="83"/>
      <c r="G497" s="81"/>
      <c r="H497" s="207" t="str">
        <f>IF(COUNTA(D497:G497)=COLUMNS(D497:G497), IFERROR('Technical Sheet'!G49, "-"), "-")</f>
        <v>-</v>
      </c>
      <c r="I497" s="17" t="str">
        <f t="shared" si="11"/>
        <v/>
      </c>
      <c r="J497" s="215"/>
      <c r="K497" s="96"/>
    </row>
    <row r="498" spans="3:11" hidden="1" outlineLevel="1" x14ac:dyDescent="0.3">
      <c r="C498" s="231">
        <v>49</v>
      </c>
      <c r="D498" s="81"/>
      <c r="E498" s="82"/>
      <c r="F498" s="83"/>
      <c r="G498" s="81"/>
      <c r="H498" s="207" t="str">
        <f>IF(COUNTA(D498:G498)=COLUMNS(D498:G498), IFERROR('Technical Sheet'!G50, "-"), "-")</f>
        <v>-</v>
      </c>
      <c r="I498" s="17" t="str">
        <f t="shared" si="11"/>
        <v/>
      </c>
      <c r="J498" s="215"/>
      <c r="K498" s="96"/>
    </row>
    <row r="499" spans="3:11" hidden="1" outlineLevel="1" x14ac:dyDescent="0.3">
      <c r="C499" s="232">
        <v>50</v>
      </c>
      <c r="D499" s="81"/>
      <c r="E499" s="82"/>
      <c r="F499" s="83"/>
      <c r="G499" s="81"/>
      <c r="H499" s="207" t="str">
        <f>IF(COUNTA(D499:G499)=COLUMNS(D499:G499), IFERROR('Technical Sheet'!G51, "-"), "-")</f>
        <v>-</v>
      </c>
      <c r="I499" s="17" t="str">
        <f t="shared" si="11"/>
        <v/>
      </c>
      <c r="J499" s="215"/>
      <c r="K499" s="96"/>
    </row>
    <row r="500" spans="3:11" hidden="1" outlineLevel="1" x14ac:dyDescent="0.3">
      <c r="C500" s="231">
        <v>51</v>
      </c>
      <c r="D500" s="81"/>
      <c r="E500" s="82"/>
      <c r="F500" s="83"/>
      <c r="G500" s="81"/>
      <c r="H500" s="207" t="str">
        <f>IF(COUNTA(D500:G500)=COLUMNS(D500:G500), IFERROR('Technical Sheet'!G52, "-"), "-")</f>
        <v>-</v>
      </c>
      <c r="I500" s="17" t="str">
        <f t="shared" si="11"/>
        <v/>
      </c>
      <c r="J500" s="215"/>
      <c r="K500" s="96"/>
    </row>
    <row r="501" spans="3:11" hidden="1" outlineLevel="1" x14ac:dyDescent="0.3">
      <c r="C501" s="231">
        <v>52</v>
      </c>
      <c r="D501" s="81"/>
      <c r="E501" s="82"/>
      <c r="F501" s="83"/>
      <c r="G501" s="81"/>
      <c r="H501" s="207" t="str">
        <f>IF(COUNTA(D501:G501)=COLUMNS(D501:G501), IFERROR('Technical Sheet'!G53, "-"), "-")</f>
        <v>-</v>
      </c>
      <c r="I501" s="17" t="str">
        <f t="shared" si="11"/>
        <v/>
      </c>
      <c r="J501" s="215"/>
      <c r="K501" s="96"/>
    </row>
    <row r="502" spans="3:11" hidden="1" outlineLevel="1" x14ac:dyDescent="0.3">
      <c r="C502" s="232">
        <v>53</v>
      </c>
      <c r="D502" s="81"/>
      <c r="E502" s="82"/>
      <c r="F502" s="83"/>
      <c r="G502" s="81"/>
      <c r="H502" s="207" t="str">
        <f>IF(COUNTA(D502:G502)=COLUMNS(D502:G502), IFERROR('Technical Sheet'!G54, "-"), "-")</f>
        <v>-</v>
      </c>
      <c r="I502" s="17" t="str">
        <f t="shared" si="11"/>
        <v/>
      </c>
      <c r="J502" s="215"/>
      <c r="K502" s="96"/>
    </row>
    <row r="503" spans="3:11" hidden="1" outlineLevel="1" x14ac:dyDescent="0.3">
      <c r="C503" s="231">
        <v>54</v>
      </c>
      <c r="D503" s="81"/>
      <c r="E503" s="82"/>
      <c r="F503" s="83"/>
      <c r="G503" s="81"/>
      <c r="H503" s="207" t="str">
        <f>IF(COUNTA(D503:G503)=COLUMNS(D503:G503), IFERROR('Technical Sheet'!G55, "-"), "-")</f>
        <v>-</v>
      </c>
      <c r="I503" s="17" t="str">
        <f t="shared" si="11"/>
        <v/>
      </c>
      <c r="J503" s="215"/>
      <c r="K503" s="96"/>
    </row>
    <row r="504" spans="3:11" hidden="1" outlineLevel="1" x14ac:dyDescent="0.3">
      <c r="C504" s="231">
        <v>55</v>
      </c>
      <c r="D504" s="81"/>
      <c r="E504" s="82"/>
      <c r="F504" s="83"/>
      <c r="G504" s="81"/>
      <c r="H504" s="207" t="str">
        <f>IF(COUNTA(D504:G504)=COLUMNS(D504:G504), IFERROR('Technical Sheet'!G56, "-"), "-")</f>
        <v>-</v>
      </c>
      <c r="I504" s="17" t="str">
        <f t="shared" si="11"/>
        <v/>
      </c>
      <c r="J504" s="215"/>
      <c r="K504" s="96"/>
    </row>
    <row r="505" spans="3:11" hidden="1" outlineLevel="1" x14ac:dyDescent="0.3">
      <c r="C505" s="232">
        <v>56</v>
      </c>
      <c r="D505" s="81"/>
      <c r="E505" s="82"/>
      <c r="F505" s="83"/>
      <c r="G505" s="81"/>
      <c r="H505" s="207" t="str">
        <f>IF(COUNTA(D505:G505)=COLUMNS(D505:G505), IFERROR('Technical Sheet'!G57, "-"), "-")</f>
        <v>-</v>
      </c>
      <c r="I505" s="17" t="str">
        <f t="shared" si="11"/>
        <v/>
      </c>
      <c r="J505" s="215"/>
      <c r="K505" s="96"/>
    </row>
    <row r="506" spans="3:11" hidden="1" outlineLevel="1" x14ac:dyDescent="0.3">
      <c r="C506" s="231">
        <v>57</v>
      </c>
      <c r="D506" s="81"/>
      <c r="E506" s="82"/>
      <c r="F506" s="83"/>
      <c r="G506" s="81"/>
      <c r="H506" s="207" t="str">
        <f>IF(COUNTA(D506:G506)=COLUMNS(D506:G506), IFERROR('Technical Sheet'!G58, "-"), "-")</f>
        <v>-</v>
      </c>
      <c r="I506" s="17" t="str">
        <f t="shared" si="11"/>
        <v/>
      </c>
      <c r="J506" s="215"/>
      <c r="K506" s="96"/>
    </row>
    <row r="507" spans="3:11" hidden="1" outlineLevel="1" x14ac:dyDescent="0.3">
      <c r="C507" s="231">
        <v>58</v>
      </c>
      <c r="D507" s="81"/>
      <c r="E507" s="82"/>
      <c r="F507" s="83"/>
      <c r="G507" s="81"/>
      <c r="H507" s="207" t="str">
        <f>IF(COUNTA(D507:G507)=COLUMNS(D507:G507), IFERROR('Technical Sheet'!G59, "-"), "-")</f>
        <v>-</v>
      </c>
      <c r="I507" s="17" t="str">
        <f t="shared" si="11"/>
        <v/>
      </c>
      <c r="J507" s="215"/>
      <c r="K507" s="96"/>
    </row>
    <row r="508" spans="3:11" hidden="1" outlineLevel="1" x14ac:dyDescent="0.3">
      <c r="C508" s="232">
        <v>59</v>
      </c>
      <c r="D508" s="81"/>
      <c r="E508" s="82"/>
      <c r="F508" s="83"/>
      <c r="G508" s="81"/>
      <c r="H508" s="207" t="str">
        <f>IF(COUNTA(D508:G508)=COLUMNS(D508:G508), IFERROR('Technical Sheet'!G60, "-"), "-")</f>
        <v>-</v>
      </c>
      <c r="I508" s="17" t="str">
        <f t="shared" si="11"/>
        <v/>
      </c>
      <c r="J508" s="215"/>
      <c r="K508" s="96"/>
    </row>
    <row r="509" spans="3:11" hidden="1" outlineLevel="1" x14ac:dyDescent="0.3">
      <c r="C509" s="231">
        <v>60</v>
      </c>
      <c r="D509" s="81"/>
      <c r="E509" s="82"/>
      <c r="F509" s="83"/>
      <c r="G509" s="81"/>
      <c r="H509" s="207" t="str">
        <f>IF(COUNTA(D509:G509)=COLUMNS(D509:G509), IFERROR('Technical Sheet'!G61, "-"), "-")</f>
        <v>-</v>
      </c>
      <c r="I509" s="17" t="str">
        <f t="shared" si="11"/>
        <v/>
      </c>
      <c r="J509" s="215"/>
      <c r="K509" s="96"/>
    </row>
    <row r="510" spans="3:11" hidden="1" outlineLevel="1" x14ac:dyDescent="0.3">
      <c r="C510" s="231">
        <v>61</v>
      </c>
      <c r="D510" s="81"/>
      <c r="E510" s="82"/>
      <c r="F510" s="83"/>
      <c r="G510" s="81"/>
      <c r="H510" s="207" t="str">
        <f>IF(COUNTA(D510:G510)=COLUMNS(D510:G510), IFERROR('Technical Sheet'!G62, "-"), "-")</f>
        <v>-</v>
      </c>
      <c r="I510" s="17" t="str">
        <f t="shared" si="11"/>
        <v/>
      </c>
      <c r="J510" s="215"/>
      <c r="K510" s="96"/>
    </row>
    <row r="511" spans="3:11" hidden="1" outlineLevel="1" x14ac:dyDescent="0.3">
      <c r="C511" s="232">
        <v>62</v>
      </c>
      <c r="D511" s="81"/>
      <c r="E511" s="82"/>
      <c r="F511" s="83"/>
      <c r="G511" s="81"/>
      <c r="H511" s="207" t="str">
        <f>IF(COUNTA(D511:G511)=COLUMNS(D511:G511), IFERROR('Technical Sheet'!G63, "-"), "-")</f>
        <v>-</v>
      </c>
      <c r="I511" s="17" t="str">
        <f t="shared" si="11"/>
        <v/>
      </c>
      <c r="J511" s="215"/>
      <c r="K511" s="96"/>
    </row>
    <row r="512" spans="3:11" hidden="1" outlineLevel="1" x14ac:dyDescent="0.3">
      <c r="C512" s="231">
        <v>63</v>
      </c>
      <c r="D512" s="81"/>
      <c r="E512" s="82"/>
      <c r="F512" s="83"/>
      <c r="G512" s="81"/>
      <c r="H512" s="207" t="str">
        <f>IF(COUNTA(D512:G512)=COLUMNS(D512:G512), IFERROR('Technical Sheet'!G64, "-"), "-")</f>
        <v>-</v>
      </c>
      <c r="I512" s="17" t="str">
        <f t="shared" si="11"/>
        <v/>
      </c>
      <c r="J512" s="215"/>
      <c r="K512" s="96"/>
    </row>
    <row r="513" spans="3:11" hidden="1" outlineLevel="1" x14ac:dyDescent="0.3">
      <c r="C513" s="231">
        <v>64</v>
      </c>
      <c r="D513" s="81"/>
      <c r="E513" s="82"/>
      <c r="F513" s="83"/>
      <c r="G513" s="81"/>
      <c r="H513" s="207" t="str">
        <f>IF(COUNTA(D513:G513)=COLUMNS(D513:G513), IFERROR('Technical Sheet'!G65, "-"), "-")</f>
        <v>-</v>
      </c>
      <c r="I513" s="17" t="str">
        <f t="shared" si="11"/>
        <v/>
      </c>
      <c r="J513" s="215"/>
      <c r="K513" s="96"/>
    </row>
    <row r="514" spans="3:11" hidden="1" outlineLevel="1" x14ac:dyDescent="0.3">
      <c r="C514" s="232">
        <v>65</v>
      </c>
      <c r="D514" s="81"/>
      <c r="E514" s="82"/>
      <c r="F514" s="83"/>
      <c r="G514" s="81"/>
      <c r="H514" s="207" t="str">
        <f>IF(COUNTA(D514:G514)=COLUMNS(D514:G514), IFERROR('Technical Sheet'!G66, "-"), "-")</f>
        <v>-</v>
      </c>
      <c r="I514" s="17" t="str">
        <f t="shared" si="11"/>
        <v/>
      </c>
      <c r="J514" s="215"/>
      <c r="K514" s="96"/>
    </row>
    <row r="515" spans="3:11" hidden="1" outlineLevel="1" x14ac:dyDescent="0.3">
      <c r="C515" s="231">
        <v>66</v>
      </c>
      <c r="D515" s="81"/>
      <c r="E515" s="82"/>
      <c r="F515" s="83"/>
      <c r="G515" s="81"/>
      <c r="H515" s="207" t="str">
        <f>IF(COUNTA(D515:G515)=COLUMNS(D515:G515), IFERROR('Technical Sheet'!G67, "-"), "-")</f>
        <v>-</v>
      </c>
      <c r="I515" s="17" t="str">
        <f t="shared" si="11"/>
        <v/>
      </c>
      <c r="J515" s="215"/>
      <c r="K515" s="96"/>
    </row>
    <row r="516" spans="3:11" hidden="1" outlineLevel="1" x14ac:dyDescent="0.3">
      <c r="C516" s="231">
        <v>67</v>
      </c>
      <c r="D516" s="81"/>
      <c r="E516" s="82"/>
      <c r="F516" s="83"/>
      <c r="G516" s="81"/>
      <c r="H516" s="207" t="str">
        <f>IF(COUNTA(D516:G516)=COLUMNS(D516:G516), IFERROR('Technical Sheet'!G68, "-"), "-")</f>
        <v>-</v>
      </c>
      <c r="I516" s="17" t="str">
        <f t="shared" si="11"/>
        <v/>
      </c>
      <c r="J516" s="215"/>
      <c r="K516" s="96"/>
    </row>
    <row r="517" spans="3:11" hidden="1" outlineLevel="1" x14ac:dyDescent="0.3">
      <c r="C517" s="232">
        <v>68</v>
      </c>
      <c r="D517" s="81"/>
      <c r="E517" s="82"/>
      <c r="F517" s="83"/>
      <c r="G517" s="81"/>
      <c r="H517" s="207" t="str">
        <f>IF(COUNTA(D517:G517)=COLUMNS(D517:G517), IFERROR('Technical Sheet'!G69, "-"), "-")</f>
        <v>-</v>
      </c>
      <c r="I517" s="17" t="str">
        <f t="shared" si="11"/>
        <v/>
      </c>
      <c r="J517" s="215"/>
      <c r="K517" s="96"/>
    </row>
    <row r="518" spans="3:11" hidden="1" outlineLevel="1" x14ac:dyDescent="0.3">
      <c r="C518" s="231">
        <v>69</v>
      </c>
      <c r="D518" s="81"/>
      <c r="E518" s="82"/>
      <c r="F518" s="83"/>
      <c r="G518" s="81"/>
      <c r="H518" s="207" t="str">
        <f>IF(COUNTA(D518:G518)=COLUMNS(D518:G518), IFERROR('Technical Sheet'!G70, "-"), "-")</f>
        <v>-</v>
      </c>
      <c r="I518" s="17" t="str">
        <f t="shared" si="11"/>
        <v/>
      </c>
      <c r="J518" s="215"/>
      <c r="K518" s="96"/>
    </row>
    <row r="519" spans="3:11" hidden="1" outlineLevel="1" x14ac:dyDescent="0.3">
      <c r="C519" s="231">
        <v>70</v>
      </c>
      <c r="D519" s="81"/>
      <c r="E519" s="82"/>
      <c r="F519" s="83"/>
      <c r="G519" s="81"/>
      <c r="H519" s="207" t="str">
        <f>IF(COUNTA(D519:G519)=COLUMNS(D519:G519), IFERROR('Technical Sheet'!G71, "-"), "-")</f>
        <v>-</v>
      </c>
      <c r="I519" s="17" t="str">
        <f t="shared" si="11"/>
        <v/>
      </c>
      <c r="J519" s="215"/>
      <c r="K519" s="96"/>
    </row>
    <row r="520" spans="3:11" hidden="1" outlineLevel="1" x14ac:dyDescent="0.3">
      <c r="C520" s="232">
        <v>71</v>
      </c>
      <c r="D520" s="81"/>
      <c r="E520" s="82"/>
      <c r="F520" s="83"/>
      <c r="G520" s="81"/>
      <c r="H520" s="207" t="str">
        <f>IF(COUNTA(D520:G520)=COLUMNS(D520:G520), IFERROR('Technical Sheet'!G72, "-"), "-")</f>
        <v>-</v>
      </c>
      <c r="I520" s="17" t="str">
        <f t="shared" si="11"/>
        <v/>
      </c>
      <c r="J520" s="215"/>
      <c r="K520" s="96"/>
    </row>
    <row r="521" spans="3:11" hidden="1" outlineLevel="1" x14ac:dyDescent="0.3">
      <c r="C521" s="231">
        <v>72</v>
      </c>
      <c r="D521" s="81"/>
      <c r="E521" s="82"/>
      <c r="F521" s="83"/>
      <c r="G521" s="81"/>
      <c r="H521" s="207" t="str">
        <f>IF(COUNTA(D521:G521)=COLUMNS(D521:G521), IFERROR('Technical Sheet'!G73, "-"), "-")</f>
        <v>-</v>
      </c>
      <c r="I521" s="17" t="str">
        <f t="shared" si="11"/>
        <v/>
      </c>
      <c r="J521" s="215"/>
      <c r="K521" s="96"/>
    </row>
    <row r="522" spans="3:11" hidden="1" outlineLevel="1" x14ac:dyDescent="0.3">
      <c r="C522" s="231">
        <v>73</v>
      </c>
      <c r="D522" s="81"/>
      <c r="E522" s="82"/>
      <c r="F522" s="83"/>
      <c r="G522" s="81"/>
      <c r="H522" s="207" t="str">
        <f>IF(COUNTA(D522:G522)=COLUMNS(D522:G522), IFERROR('Technical Sheet'!G74, "-"), "-")</f>
        <v>-</v>
      </c>
      <c r="I522" s="17" t="str">
        <f t="shared" si="11"/>
        <v/>
      </c>
      <c r="J522" s="215"/>
      <c r="K522" s="96"/>
    </row>
    <row r="523" spans="3:11" hidden="1" outlineLevel="1" x14ac:dyDescent="0.3">
      <c r="C523" s="232">
        <v>74</v>
      </c>
      <c r="D523" s="81"/>
      <c r="E523" s="82"/>
      <c r="F523" s="83"/>
      <c r="G523" s="81"/>
      <c r="H523" s="207" t="str">
        <f>IF(COUNTA(D523:G523)=COLUMNS(D523:G523), IFERROR('Technical Sheet'!G75, "-"), "-")</f>
        <v>-</v>
      </c>
      <c r="I523" s="17" t="str">
        <f t="shared" si="11"/>
        <v/>
      </c>
      <c r="J523" s="215"/>
      <c r="K523" s="96"/>
    </row>
    <row r="524" spans="3:11" hidden="1" outlineLevel="1" x14ac:dyDescent="0.3">
      <c r="C524" s="231">
        <v>75</v>
      </c>
      <c r="D524" s="81"/>
      <c r="E524" s="82"/>
      <c r="F524" s="83"/>
      <c r="G524" s="81"/>
      <c r="H524" s="207" t="str">
        <f>IF(COUNTA(D524:G524)=COLUMNS(D524:G524), IFERROR('Technical Sheet'!G76, "-"), "-")</f>
        <v>-</v>
      </c>
      <c r="I524" s="17" t="str">
        <f t="shared" si="11"/>
        <v/>
      </c>
      <c r="J524" s="215"/>
      <c r="K524" s="96"/>
    </row>
    <row r="525" spans="3:11" hidden="1" outlineLevel="1" x14ac:dyDescent="0.3">
      <c r="C525" s="231">
        <v>76</v>
      </c>
      <c r="D525" s="81"/>
      <c r="E525" s="82"/>
      <c r="F525" s="83"/>
      <c r="G525" s="81"/>
      <c r="H525" s="207" t="str">
        <f>IF(COUNTA(D525:G525)=COLUMNS(D525:G525), IFERROR('Technical Sheet'!G77, "-"), "-")</f>
        <v>-</v>
      </c>
      <c r="I525" s="17" t="str">
        <f t="shared" si="11"/>
        <v/>
      </c>
      <c r="J525" s="215"/>
      <c r="K525" s="96"/>
    </row>
    <row r="526" spans="3:11" hidden="1" outlineLevel="1" x14ac:dyDescent="0.3">
      <c r="C526" s="232">
        <v>77</v>
      </c>
      <c r="D526" s="81"/>
      <c r="E526" s="82"/>
      <c r="F526" s="83"/>
      <c r="G526" s="81"/>
      <c r="H526" s="207" t="str">
        <f>IF(COUNTA(D526:G526)=COLUMNS(D526:G526), IFERROR('Technical Sheet'!G78, "-"), "-")</f>
        <v>-</v>
      </c>
      <c r="I526" s="17" t="str">
        <f t="shared" si="11"/>
        <v/>
      </c>
      <c r="J526" s="215"/>
      <c r="K526" s="96"/>
    </row>
    <row r="527" spans="3:11" hidden="1" outlineLevel="1" x14ac:dyDescent="0.3">
      <c r="C527" s="231">
        <v>78</v>
      </c>
      <c r="D527" s="81"/>
      <c r="E527" s="82"/>
      <c r="F527" s="83"/>
      <c r="G527" s="81"/>
      <c r="H527" s="207" t="str">
        <f>IF(COUNTA(D527:G527)=COLUMNS(D527:G527), IFERROR('Technical Sheet'!G79, "-"), "-")</f>
        <v>-</v>
      </c>
      <c r="I527" s="17" t="str">
        <f t="shared" si="11"/>
        <v/>
      </c>
      <c r="J527" s="215"/>
      <c r="K527" s="96"/>
    </row>
    <row r="528" spans="3:11" hidden="1" outlineLevel="1" x14ac:dyDescent="0.3">
      <c r="C528" s="231">
        <v>79</v>
      </c>
      <c r="D528" s="81"/>
      <c r="E528" s="82"/>
      <c r="F528" s="83"/>
      <c r="G528" s="81"/>
      <c r="H528" s="207" t="str">
        <f>IF(COUNTA(D528:G528)=COLUMNS(D528:G528), IFERROR('Technical Sheet'!G80, "-"), "-")</f>
        <v>-</v>
      </c>
      <c r="I528" s="17" t="str">
        <f t="shared" si="11"/>
        <v/>
      </c>
      <c r="J528" s="215"/>
      <c r="K528" s="96"/>
    </row>
    <row r="529" spans="3:11" hidden="1" outlineLevel="1" x14ac:dyDescent="0.3">
      <c r="C529" s="232">
        <v>80</v>
      </c>
      <c r="D529" s="81"/>
      <c r="E529" s="82"/>
      <c r="F529" s="83"/>
      <c r="G529" s="81"/>
      <c r="H529" s="207" t="str">
        <f>IF(COUNTA(D529:G529)=COLUMNS(D529:G529), IFERROR('Technical Sheet'!G81, "-"), "-")</f>
        <v>-</v>
      </c>
      <c r="I529" s="17" t="str">
        <f t="shared" si="11"/>
        <v/>
      </c>
      <c r="J529" s="215"/>
      <c r="K529" s="96"/>
    </row>
    <row r="530" spans="3:11" hidden="1" outlineLevel="1" x14ac:dyDescent="0.3">
      <c r="C530" s="231">
        <v>81</v>
      </c>
      <c r="D530" s="81"/>
      <c r="E530" s="82"/>
      <c r="F530" s="83"/>
      <c r="G530" s="81"/>
      <c r="H530" s="207" t="str">
        <f>IF(COUNTA(D530:G530)=COLUMNS(D530:G530), IFERROR('Technical Sheet'!G82, "-"), "-")</f>
        <v>-</v>
      </c>
      <c r="I530" s="17" t="str">
        <f t="shared" si="11"/>
        <v/>
      </c>
      <c r="J530" s="215"/>
      <c r="K530" s="96"/>
    </row>
    <row r="531" spans="3:11" hidden="1" outlineLevel="1" x14ac:dyDescent="0.3">
      <c r="C531" s="231">
        <v>82</v>
      </c>
      <c r="D531" s="81"/>
      <c r="E531" s="82"/>
      <c r="F531" s="83"/>
      <c r="G531" s="81"/>
      <c r="H531" s="207" t="str">
        <f>IF(COUNTA(D531:G531)=COLUMNS(D531:G531), IFERROR('Technical Sheet'!G83, "-"), "-")</f>
        <v>-</v>
      </c>
      <c r="I531" s="17" t="str">
        <f t="shared" si="11"/>
        <v/>
      </c>
      <c r="J531" s="215"/>
      <c r="K531" s="96"/>
    </row>
    <row r="532" spans="3:11" hidden="1" outlineLevel="1" x14ac:dyDescent="0.3">
      <c r="C532" s="232">
        <v>83</v>
      </c>
      <c r="D532" s="81"/>
      <c r="E532" s="82"/>
      <c r="F532" s="83"/>
      <c r="G532" s="81"/>
      <c r="H532" s="207" t="str">
        <f>IF(COUNTA(D532:G532)=COLUMNS(D532:G532), IFERROR('Technical Sheet'!G84, "-"), "-")</f>
        <v>-</v>
      </c>
      <c r="I532" s="17" t="str">
        <f t="shared" si="11"/>
        <v/>
      </c>
      <c r="J532" s="215"/>
      <c r="K532" s="96"/>
    </row>
    <row r="533" spans="3:11" hidden="1" outlineLevel="1" x14ac:dyDescent="0.3">
      <c r="C533" s="231">
        <v>84</v>
      </c>
      <c r="D533" s="81"/>
      <c r="E533" s="82"/>
      <c r="F533" s="83"/>
      <c r="G533" s="81"/>
      <c r="H533" s="207" t="str">
        <f>IF(COUNTA(D533:G533)=COLUMNS(D533:G533), IFERROR('Technical Sheet'!G85, "-"), "-")</f>
        <v>-</v>
      </c>
      <c r="I533" s="17" t="str">
        <f t="shared" si="11"/>
        <v/>
      </c>
      <c r="J533" s="215"/>
      <c r="K533" s="96"/>
    </row>
    <row r="534" spans="3:11" hidden="1" outlineLevel="1" x14ac:dyDescent="0.3">
      <c r="C534" s="231">
        <v>85</v>
      </c>
      <c r="D534" s="81"/>
      <c r="E534" s="82"/>
      <c r="F534" s="83"/>
      <c r="G534" s="81"/>
      <c r="H534" s="207" t="str">
        <f>IF(COUNTA(D534:G534)=COLUMNS(D534:G534), IFERROR('Technical Sheet'!G86, "-"), "-")</f>
        <v>-</v>
      </c>
      <c r="I534" s="17" t="str">
        <f t="shared" si="11"/>
        <v/>
      </c>
      <c r="J534" s="215"/>
      <c r="K534" s="96"/>
    </row>
    <row r="535" spans="3:11" hidden="1" outlineLevel="1" x14ac:dyDescent="0.3">
      <c r="C535" s="232">
        <v>86</v>
      </c>
      <c r="D535" s="81"/>
      <c r="E535" s="82"/>
      <c r="F535" s="83"/>
      <c r="G535" s="81"/>
      <c r="H535" s="207" t="str">
        <f>IF(COUNTA(D535:G535)=COLUMNS(D535:G535), IFERROR('Technical Sheet'!G87, "-"), "-")</f>
        <v>-</v>
      </c>
      <c r="I535" s="17" t="str">
        <f t="shared" si="11"/>
        <v/>
      </c>
      <c r="J535" s="215"/>
      <c r="K535" s="96"/>
    </row>
    <row r="536" spans="3:11" hidden="1" outlineLevel="1" x14ac:dyDescent="0.3">
      <c r="C536" s="231">
        <v>87</v>
      </c>
      <c r="D536" s="81"/>
      <c r="E536" s="82"/>
      <c r="F536" s="83"/>
      <c r="G536" s="81"/>
      <c r="H536" s="207" t="str">
        <f>IF(COUNTA(D536:G536)=COLUMNS(D536:G536), IFERROR('Technical Sheet'!G88, "-"), "-")</f>
        <v>-</v>
      </c>
      <c r="I536" s="17" t="str">
        <f t="shared" si="11"/>
        <v/>
      </c>
      <c r="J536" s="215"/>
      <c r="K536" s="96"/>
    </row>
    <row r="537" spans="3:11" hidden="1" outlineLevel="1" x14ac:dyDescent="0.3">
      <c r="C537" s="231">
        <v>88</v>
      </c>
      <c r="D537" s="81"/>
      <c r="E537" s="82"/>
      <c r="F537" s="83"/>
      <c r="G537" s="81"/>
      <c r="H537" s="207" t="str">
        <f>IF(COUNTA(D537:G537)=COLUMNS(D537:G537), IFERROR('Technical Sheet'!G89, "-"), "-")</f>
        <v>-</v>
      </c>
      <c r="I537" s="17" t="str">
        <f t="shared" si="11"/>
        <v/>
      </c>
      <c r="J537" s="215"/>
      <c r="K537" s="96"/>
    </row>
    <row r="538" spans="3:11" hidden="1" outlineLevel="1" x14ac:dyDescent="0.3">
      <c r="C538" s="232">
        <v>89</v>
      </c>
      <c r="D538" s="81"/>
      <c r="E538" s="82"/>
      <c r="F538" s="83"/>
      <c r="G538" s="81"/>
      <c r="H538" s="207" t="str">
        <f>IF(COUNTA(D538:G538)=COLUMNS(D538:G538), IFERROR('Technical Sheet'!G90, "-"), "-")</f>
        <v>-</v>
      </c>
      <c r="I538" s="17" t="str">
        <f t="shared" si="11"/>
        <v/>
      </c>
      <c r="J538" s="215"/>
      <c r="K538" s="96"/>
    </row>
    <row r="539" spans="3:11" hidden="1" outlineLevel="1" x14ac:dyDescent="0.3">
      <c r="C539" s="231">
        <v>90</v>
      </c>
      <c r="D539" s="81"/>
      <c r="E539" s="82"/>
      <c r="F539" s="83"/>
      <c r="G539" s="81"/>
      <c r="H539" s="207" t="str">
        <f>IF(COUNTA(D539:G539)=COLUMNS(D539:G539), IFERROR('Technical Sheet'!G91, "-"), "-")</f>
        <v>-</v>
      </c>
      <c r="I539" s="17" t="str">
        <f t="shared" si="11"/>
        <v/>
      </c>
      <c r="J539" s="215"/>
      <c r="K539" s="96"/>
    </row>
    <row r="540" spans="3:11" hidden="1" outlineLevel="1" x14ac:dyDescent="0.3">
      <c r="C540" s="231">
        <v>91</v>
      </c>
      <c r="D540" s="81"/>
      <c r="E540" s="82"/>
      <c r="F540" s="83"/>
      <c r="G540" s="81"/>
      <c r="H540" s="207" t="str">
        <f>IF(COUNTA(D540:G540)=COLUMNS(D540:G540), IFERROR('Technical Sheet'!G92, "-"), "-")</f>
        <v>-</v>
      </c>
      <c r="I540" s="17" t="str">
        <f t="shared" si="11"/>
        <v/>
      </c>
      <c r="J540" s="215"/>
      <c r="K540" s="96"/>
    </row>
    <row r="541" spans="3:11" hidden="1" outlineLevel="1" x14ac:dyDescent="0.3">
      <c r="C541" s="232">
        <v>92</v>
      </c>
      <c r="D541" s="81"/>
      <c r="E541" s="82"/>
      <c r="F541" s="83"/>
      <c r="G541" s="81"/>
      <c r="H541" s="207" t="str">
        <f>IF(COUNTA(D541:G541)=COLUMNS(D541:G541), IFERROR('Technical Sheet'!G93, "-"), "-")</f>
        <v>-</v>
      </c>
      <c r="I541" s="17" t="str">
        <f t="shared" si="11"/>
        <v/>
      </c>
      <c r="J541" s="215"/>
      <c r="K541" s="96"/>
    </row>
    <row r="542" spans="3:11" hidden="1" outlineLevel="1" x14ac:dyDescent="0.3">
      <c r="C542" s="231">
        <v>93</v>
      </c>
      <c r="D542" s="81"/>
      <c r="E542" s="82"/>
      <c r="F542" s="83"/>
      <c r="G542" s="81"/>
      <c r="H542" s="207" t="str">
        <f>IF(COUNTA(D542:G542)=COLUMNS(D542:G542), IFERROR('Technical Sheet'!G94, "-"), "-")</f>
        <v>-</v>
      </c>
      <c r="I542" s="17" t="str">
        <f t="shared" si="11"/>
        <v/>
      </c>
      <c r="J542" s="215"/>
      <c r="K542" s="96"/>
    </row>
    <row r="543" spans="3:11" hidden="1" outlineLevel="1" x14ac:dyDescent="0.3">
      <c r="C543" s="231">
        <v>94</v>
      </c>
      <c r="D543" s="81"/>
      <c r="E543" s="82"/>
      <c r="F543" s="83"/>
      <c r="G543" s="81"/>
      <c r="H543" s="207" t="str">
        <f>IF(COUNTA(D543:G543)=COLUMNS(D543:G543), IFERROR('Technical Sheet'!G95, "-"), "-")</f>
        <v>-</v>
      </c>
      <c r="I543" s="17" t="str">
        <f t="shared" si="11"/>
        <v/>
      </c>
      <c r="J543" s="215"/>
      <c r="K543" s="96"/>
    </row>
    <row r="544" spans="3:11" hidden="1" outlineLevel="1" x14ac:dyDescent="0.3">
      <c r="C544" s="232">
        <v>95</v>
      </c>
      <c r="D544" s="81"/>
      <c r="E544" s="82"/>
      <c r="F544" s="83"/>
      <c r="G544" s="81"/>
      <c r="H544" s="207" t="str">
        <f>IF(COUNTA(D544:G544)=COLUMNS(D544:G544), IFERROR('Technical Sheet'!G96, "-"), "-")</f>
        <v>-</v>
      </c>
      <c r="I544" s="17" t="str">
        <f t="shared" si="11"/>
        <v/>
      </c>
      <c r="J544" s="215"/>
      <c r="K544" s="96"/>
    </row>
    <row r="545" spans="2:17" hidden="1" outlineLevel="1" x14ac:dyDescent="0.3">
      <c r="C545" s="231">
        <v>96</v>
      </c>
      <c r="D545" s="81"/>
      <c r="E545" s="82"/>
      <c r="F545" s="83"/>
      <c r="G545" s="81"/>
      <c r="H545" s="207" t="str">
        <f>IF(COUNTA(D545:G545)=COLUMNS(D545:G545), IFERROR('Technical Sheet'!G97, "-"), "-")</f>
        <v>-</v>
      </c>
      <c r="I545" s="17" t="str">
        <f t="shared" si="11"/>
        <v/>
      </c>
      <c r="J545" s="215"/>
      <c r="K545" s="96"/>
    </row>
    <row r="546" spans="2:17" hidden="1" outlineLevel="1" x14ac:dyDescent="0.3">
      <c r="C546" s="231">
        <v>97</v>
      </c>
      <c r="D546" s="81"/>
      <c r="E546" s="82"/>
      <c r="F546" s="83"/>
      <c r="G546" s="81"/>
      <c r="H546" s="207" t="str">
        <f>IF(COUNTA(D546:G546)=COLUMNS(D546:G546), IFERROR('Technical Sheet'!G98, "-"), "-")</f>
        <v>-</v>
      </c>
      <c r="I546" s="17" t="str">
        <f t="shared" si="11"/>
        <v/>
      </c>
      <c r="J546" s="215"/>
      <c r="K546" s="96"/>
    </row>
    <row r="547" spans="2:17" hidden="1" outlineLevel="1" x14ac:dyDescent="0.3">
      <c r="C547" s="232">
        <v>98</v>
      </c>
      <c r="D547" s="81"/>
      <c r="E547" s="82"/>
      <c r="F547" s="83"/>
      <c r="G547" s="81"/>
      <c r="H547" s="207" t="str">
        <f>IF(COUNTA(D547:G547)=COLUMNS(D547:G547), IFERROR('Technical Sheet'!G99, "-"), "-")</f>
        <v>-</v>
      </c>
      <c r="I547" s="17" t="str">
        <f t="shared" si="11"/>
        <v/>
      </c>
      <c r="J547" s="215"/>
      <c r="K547" s="96"/>
    </row>
    <row r="548" spans="2:17" hidden="1" outlineLevel="1" x14ac:dyDescent="0.3">
      <c r="C548" s="231">
        <v>99</v>
      </c>
      <c r="D548" s="81"/>
      <c r="E548" s="82"/>
      <c r="F548" s="83"/>
      <c r="G548" s="81"/>
      <c r="H548" s="207" t="str">
        <f>IF(COUNTA(D548:G548)=COLUMNS(D548:G548), IFERROR('Technical Sheet'!G100, "-"), "-")</f>
        <v>-</v>
      </c>
      <c r="I548" s="17" t="str">
        <f t="shared" si="11"/>
        <v/>
      </c>
      <c r="J548" s="215" t="str">
        <f>IF(AND(D548&lt;&gt;"", E548&lt;&gt;"", F548&lt;&gt;"", G548&lt;&gt;""),
    IFERROR(HYPERLINK("https://www.openstreetmap.org/search?lat=" &amp; 'Technical Sheet'!E25 &amp; "&amp;lon=" &amp; 'Technical Sheet'!F25, "OpenStreetMap Link"),
    ""),
"")</f>
        <v/>
      </c>
      <c r="K548" s="96" t="str">
        <f t="shared" si="10"/>
        <v>++++</v>
      </c>
    </row>
    <row r="549" spans="2:17" ht="15" hidden="1" outlineLevel="1" thickBot="1" x14ac:dyDescent="0.35">
      <c r="C549" s="233">
        <v>100</v>
      </c>
      <c r="D549" s="78"/>
      <c r="E549" s="79"/>
      <c r="F549" s="80"/>
      <c r="G549" s="78"/>
      <c r="H549" s="490" t="str">
        <f>IF(COUNTA(D549:G549)=COLUMNS(D549:G549), IFERROR('Technical Sheet'!G101, "-"), "-")</f>
        <v>-</v>
      </c>
      <c r="I549" s="17" t="str">
        <f t="shared" si="11"/>
        <v/>
      </c>
      <c r="J549" s="215" t="str">
        <f>IF(AND(D549&lt;&gt;"", E549&lt;&gt;"", F549&lt;&gt;"", G549&lt;&gt;""),
    IFERROR(HYPERLINK("https://www.openstreetmap.org/search?lat=" &amp; 'Technical Sheet'!E26 &amp; "&amp;lon=" &amp; 'Technical Sheet'!F26, "OpenStreetMap Link"),
    ""),
"")</f>
        <v/>
      </c>
      <c r="K549" s="96" t="str">
        <f t="shared" si="10"/>
        <v>++++</v>
      </c>
    </row>
    <row r="550" spans="2:17" ht="15" customHeight="1" collapsed="1" thickBot="1" x14ac:dyDescent="0.35"/>
    <row r="551" spans="2:17" ht="38.1" customHeight="1" x14ac:dyDescent="0.3">
      <c r="C551" s="678"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 to - [If applicable]</v>
      </c>
      <c r="D551" s="679"/>
      <c r="E551" s="679"/>
      <c r="F551" s="679"/>
      <c r="G551" s="679"/>
      <c r="H551" s="679"/>
      <c r="I551" s="679"/>
      <c r="J551" s="679"/>
      <c r="K551" s="679"/>
      <c r="L551" s="679"/>
      <c r="M551" s="679"/>
      <c r="N551" s="679"/>
      <c r="O551" s="680"/>
    </row>
    <row r="552" spans="2:17" s="10" customFormat="1" x14ac:dyDescent="0.3">
      <c r="C552" s="576" t="s">
        <v>3739</v>
      </c>
      <c r="D552" s="577"/>
      <c r="E552" s="577"/>
      <c r="F552" s="577"/>
      <c r="G552" s="577"/>
      <c r="H552" s="577"/>
      <c r="I552" s="577"/>
      <c r="J552" s="577"/>
      <c r="K552" s="577"/>
      <c r="L552" s="577"/>
      <c r="M552" s="577"/>
      <c r="N552" s="577"/>
      <c r="O552" s="578"/>
      <c r="P552"/>
      <c r="Q552"/>
    </row>
    <row r="553" spans="2:17" x14ac:dyDescent="0.3">
      <c r="C553" s="561" t="s">
        <v>5643</v>
      </c>
      <c r="D553" s="562"/>
      <c r="E553" s="562"/>
      <c r="F553" s="562"/>
      <c r="G553" s="562"/>
      <c r="H553" s="562"/>
      <c r="I553" s="562"/>
      <c r="J553" s="562"/>
      <c r="K553" s="562"/>
      <c r="L553" s="562"/>
      <c r="M553" s="562"/>
      <c r="N553" s="562"/>
      <c r="O553" s="563"/>
    </row>
    <row r="554" spans="2:17" x14ac:dyDescent="0.3">
      <c r="C554" s="566" t="str">
        <f>template_label_has_the_undertaking_put_in_place_specific_practices_policies_and_or_future</f>
        <v>Has the undertaking put in place specific practices policies and or future initiatives for transitioning towards a more sustainable economy?</v>
      </c>
      <c r="D554" s="582" t="str">
        <f>template_label_sustainability_issues_addressed_by_a_practice_policy_and_or_future_initiatives_put_in_place</f>
        <v>Sustainability issues addressed by a practice policy and or future initiatives that the undertaking has put in place</v>
      </c>
      <c r="E554" s="582"/>
      <c r="F554" s="582"/>
      <c r="G554" s="582"/>
      <c r="H554" s="582"/>
      <c r="I554" s="582"/>
      <c r="J554" s="582"/>
      <c r="K554" s="582"/>
      <c r="L554" s="582"/>
      <c r="M554" s="582"/>
      <c r="N554" s="583" t="str">
        <f>template_label_undertaking_has_a_practice_policy_and_or_future_initiative_that_is_publicly_available</f>
        <v>Undertaking has a practice policy and or future initiative that is publicly available</v>
      </c>
      <c r="O554" s="585" t="str">
        <f>template_label_undertaking_has_set_a_target_which_is_related_to_a_policy</f>
        <v>Undertaking has set a target which is related to a policy</v>
      </c>
    </row>
    <row r="555" spans="2:17" ht="41.4" customHeight="1" x14ac:dyDescent="0.3">
      <c r="C555" s="567"/>
      <c r="D555" s="85" t="str">
        <f>template_label_climate_change</f>
        <v>Climate change</v>
      </c>
      <c r="E555" s="85" t="str">
        <f>template_label_pollution</f>
        <v>Pollution</v>
      </c>
      <c r="F555" s="85" t="str">
        <f>template_label_water_and_marine_resources</f>
        <v>Water and marine resources</v>
      </c>
      <c r="G555" s="85" t="str">
        <f>template_label_biodiversity_and_ecosystems</f>
        <v>Biodiversity and ecosystems</v>
      </c>
      <c r="H555" s="85" t="str">
        <f>template_label_circular_economy</f>
        <v>Circular economy</v>
      </c>
      <c r="I555" s="85" t="str">
        <f>template_label_own_workforce</f>
        <v>Own workforce</v>
      </c>
      <c r="J555" s="85" t="str">
        <f>template_label_workers_in_the_value_chain</f>
        <v>Workers in the value chain</v>
      </c>
      <c r="K555" s="85" t="str">
        <f>template_label_affected_communities</f>
        <v>Affected communities</v>
      </c>
      <c r="L555" s="85" t="str">
        <f>template_label_consumers_and_endusers_validation</f>
        <v>Consumers and end-users</v>
      </c>
      <c r="M555" s="85" t="str">
        <f>template_label_business_conduct</f>
        <v>Business conduct</v>
      </c>
      <c r="N555" s="584"/>
      <c r="O555" s="586"/>
    </row>
    <row r="556" spans="2:17" ht="15" thickBot="1" x14ac:dyDescent="0.35">
      <c r="C556" s="206" t="b">
        <v>0</v>
      </c>
      <c r="D556" s="205" t="b">
        <v>0</v>
      </c>
      <c r="E556" s="203" t="b">
        <v>0</v>
      </c>
      <c r="F556" s="203" t="b">
        <v>0</v>
      </c>
      <c r="G556" s="203" t="b">
        <v>0</v>
      </c>
      <c r="H556" s="203" t="b">
        <v>0</v>
      </c>
      <c r="I556" s="203" t="b">
        <v>0</v>
      </c>
      <c r="J556" s="203" t="b">
        <v>0</v>
      </c>
      <c r="K556" s="203" t="b">
        <v>0</v>
      </c>
      <c r="L556" s="203" t="b">
        <v>0</v>
      </c>
      <c r="M556" s="203" t="b">
        <v>0</v>
      </c>
      <c r="N556" s="203" t="b">
        <v>0</v>
      </c>
      <c r="O556" s="204" t="b">
        <v>0</v>
      </c>
      <c r="P556" s="16" t="str">
        <f>IF(C556=TRUE, IF(COUNTIF(D556:M556, TRUE)&gt;0, template_label_ok, template_label_missing_value), "")</f>
        <v/>
      </c>
    </row>
    <row r="557" spans="2:17" ht="57.45" customHeight="1" thickBot="1" x14ac:dyDescent="0.35">
      <c r="F557"/>
    </row>
    <row r="558" spans="2:17" x14ac:dyDescent="0.3">
      <c r="C558" s="553"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 to - [If applicable]</v>
      </c>
      <c r="D558" s="554"/>
      <c r="F558"/>
    </row>
    <row r="559" spans="2:17" x14ac:dyDescent="0.3">
      <c r="C559" s="564">
        <v>15</v>
      </c>
      <c r="D559" s="565"/>
      <c r="F559"/>
    </row>
    <row r="560" spans="2:17" ht="30.6" customHeight="1" x14ac:dyDescent="0.3">
      <c r="B560" s="251"/>
      <c r="C560" s="2" t="str">
        <f>template_label_effective_participation_of_workers_users_or_other_interested_parties_or_communities_in_governance</f>
        <v>Effective participation of workers users or other interested parties or communities in governance</v>
      </c>
      <c r="D560" s="294"/>
      <c r="E560" s="16" t="str">
        <f>IF(AND(D560&lt;&gt;"", UndertakingsLegalForm="cooperative"), template_label_ok, "")</f>
        <v/>
      </c>
      <c r="F560"/>
    </row>
    <row r="561" spans="1:8" ht="57" customHeight="1" x14ac:dyDescent="0.3">
      <c r="B561" s="251"/>
      <c r="C561" s="440" t="str">
        <f>template_label_financial_investment_in_the_capital_or_assets_of_social_economy_entities</f>
        <v>Financial investment in the capital or assets of social economy entities referred to in the Council Recommendation of 29 September 2023 (excluding donations and contributions)</v>
      </c>
      <c r="D561" s="295"/>
      <c r="E561" s="16" t="str">
        <f>IF(AND(D561&lt;&gt;"", UndertakingsLegalForm="cooperative"), template_label_ok, "")</f>
        <v/>
      </c>
      <c r="F561"/>
    </row>
    <row r="562" spans="1:8" ht="47.4" customHeight="1" thickBot="1" x14ac:dyDescent="0.35">
      <c r="B562" s="251"/>
      <c r="C562" s="113" t="str">
        <f>template_label_limits_to_the_distribution_of_profits</f>
        <v>Any limits to the distribution of profits connected to the mutualistic nature or to the nature of the activities consisting in services of general economic interest (SGEI)</v>
      </c>
      <c r="D562" s="296"/>
      <c r="E562" s="16" t="str">
        <f>IF(AND(D562&lt;&gt;"", UndertakingsLegalForm="cooperative"), template_label_ok, "")</f>
        <v/>
      </c>
      <c r="F562"/>
    </row>
    <row r="563" spans="1:8" ht="49.95" customHeight="1" thickBot="1" x14ac:dyDescent="0.35">
      <c r="C563" s="119"/>
      <c r="F563"/>
    </row>
    <row r="564" spans="1:8" x14ac:dyDescent="0.3">
      <c r="C564" s="538"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 to - [If applicable linked with B2]</v>
      </c>
      <c r="D564" s="539"/>
      <c r="E564" s="539"/>
      <c r="F564" s="539"/>
      <c r="G564" s="540"/>
    </row>
    <row r="565" spans="1:8" ht="37.950000000000003" customHeight="1" x14ac:dyDescent="0.3">
      <c r="A565" s="462">
        <v>48</v>
      </c>
      <c r="B565" s="465">
        <v>149</v>
      </c>
      <c r="C565" s="549"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65" s="550"/>
      <c r="E565" s="543"/>
      <c r="F565" s="544"/>
      <c r="G565" s="545"/>
      <c r="H565" s="16" t="str">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
      </c>
    </row>
    <row r="566" spans="1:8" x14ac:dyDescent="0.3">
      <c r="A566" s="250" t="s">
        <v>1</v>
      </c>
      <c r="B566" s="465">
        <v>149</v>
      </c>
      <c r="C566" s="551" t="str">
        <f>template_label_description_of_target_related_to_a_policy</f>
        <v>Description of target related to a policy</v>
      </c>
      <c r="D566" s="552"/>
      <c r="E566" s="543"/>
      <c r="F566" s="544"/>
      <c r="G566" s="545"/>
      <c r="H566" s="16" t="str">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spans="1:8" ht="15" thickBot="1" x14ac:dyDescent="0.35">
      <c r="A567" s="462">
        <v>49</v>
      </c>
      <c r="B567" s="465">
        <v>149</v>
      </c>
      <c r="C567" s="541" t="str">
        <f>template_label_most_senior_level_accountable_for_implementing_practices_policies_and_or_future_initiatives</f>
        <v>Most senior level within its employees that is accountable for implementing the policies when this has been determined by the undertaking</v>
      </c>
      <c r="D567" s="542"/>
      <c r="E567" s="546"/>
      <c r="F567" s="547"/>
      <c r="G567" s="548"/>
      <c r="H567" s="16" t="str">
        <f>IF(AND(BasisForPreparation="Option B (Basic Module and Comprehensive Module)", C556=TRUE, MostSeniorLevelAccountableForImplementationOfPolicies=""), template_label_missing_value,
IF(AND(BasisForPreparation="Option B (Basic Module and Comprehensive Module)", C556=TRUE, MostSeniorLevelAccountableForImplementationOfPolicies&lt;&gt;""), template_label_ok,
IF(AND(BasisForPreparation="Option A (Basic Module only)", E567&lt;&gt;""), template_label_ok, "")))</f>
        <v/>
      </c>
    </row>
    <row r="568" spans="1:8" ht="14.7" customHeight="1" x14ac:dyDescent="0.3">
      <c r="F568"/>
    </row>
    <row r="569" spans="1:8" ht="14.7" customHeight="1" thickBot="1" x14ac:dyDescent="0.35">
      <c r="F569"/>
    </row>
    <row r="570" spans="1:8" ht="14.85" customHeight="1" x14ac:dyDescent="0.3">
      <c r="C570" s="538"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 to - [Always to be reported]</v>
      </c>
      <c r="D570" s="539"/>
      <c r="E570" s="539"/>
      <c r="F570" s="539"/>
      <c r="G570" s="540"/>
    </row>
    <row r="571" spans="1:8" x14ac:dyDescent="0.3">
      <c r="A571" s="460" t="s">
        <v>3740</v>
      </c>
      <c r="B571" s="249" t="s">
        <v>1</v>
      </c>
      <c r="C571" s="670" t="str">
        <f>template_label_description_of_significant_groups_of_products_and_or_services_offered</f>
        <v>Description of significant groups of products and or services offered</v>
      </c>
      <c r="D571" s="671"/>
      <c r="E571" s="659"/>
      <c r="F571" s="660"/>
      <c r="G571" s="661"/>
      <c r="H571" s="16" t="str">
        <f>IF(AND($E$122="Option B (Basic Module and Comprehensive Module)", E571=""), template_label_missing_value,
   IF(AND($E$122="Option A (Basic Module only)", E571&lt;&gt;""), template_label_ok,
   IF(AND($E$122="Option B (Basic Module and Comprehensive Module)", E571&lt;&gt;""), template_label_ok, "")))</f>
        <v/>
      </c>
    </row>
    <row r="572" spans="1:8" x14ac:dyDescent="0.3">
      <c r="A572" s="460" t="s">
        <v>3741</v>
      </c>
      <c r="B572" s="249" t="s">
        <v>1</v>
      </c>
      <c r="C572" s="672" t="str">
        <f>template_label_description_of_significant_market_the_undertaking_operates_in</f>
        <v>Description of significant market(s) the undertaking operates in (e.g. B2B, wholesale, retail, countries)</v>
      </c>
      <c r="D572" s="673"/>
      <c r="E572" s="662"/>
      <c r="F572" s="662"/>
      <c r="G572" s="663"/>
      <c r="H572" s="16" t="str">
        <f>IF(AND($E$122="Option B (Basic Module and Comprehensive Module)", E572=""), template_label_missing_value,
   IF(AND($E$122="Option A (Basic Module only)", E572&lt;&gt;""), template_label_ok,
   IF(AND($E$122="Option B (Basic Module and Comprehensive Module)", E572&lt;&gt;""), template_label_ok, "")))</f>
        <v/>
      </c>
    </row>
    <row r="573" spans="1:8" ht="15" thickBot="1" x14ac:dyDescent="0.35">
      <c r="A573" s="460" t="s">
        <v>3742</v>
      </c>
      <c r="B573" s="463">
        <v>148</v>
      </c>
      <c r="C573" s="668" t="str">
        <f>template_label_description_of_main_business_relationships</f>
        <v>Description of main business relationships (such as key suppliers, customers, distribution channels)</v>
      </c>
      <c r="D573" s="669"/>
      <c r="E573" s="664"/>
      <c r="F573" s="664"/>
      <c r="G573" s="665"/>
      <c r="H573" s="16" t="str">
        <f>IF(AND($E$122="Option B (Basic Module and Comprehensive Module)", E573=""), template_label_missing_value,
   IF(AND($E$122="Option A (Basic Module only)", E573&lt;&gt;""), template_label_ok,
   IF(AND($E$122="Option B (Basic Module and Comprehensive Module)", E573&lt;&gt;""), template_label_ok, "")))</f>
        <v/>
      </c>
    </row>
    <row r="574" spans="1:8" ht="27" customHeight="1" thickBot="1" x14ac:dyDescent="0.35">
      <c r="F574"/>
    </row>
    <row r="575" spans="1:8" ht="14.4" customHeight="1" x14ac:dyDescent="0.3">
      <c r="C575" s="538"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 to - [If applicable]</v>
      </c>
      <c r="D575" s="539"/>
      <c r="E575" s="539"/>
      <c r="F575" s="539"/>
      <c r="G575" s="540"/>
    </row>
    <row r="576" spans="1:8" x14ac:dyDescent="0.3">
      <c r="C576" s="534" t="str">
        <f>template_label_has_the_strategy_key_elements_that_relate_to_or_affect_sustainability_issues</f>
        <v>Has the strategy key elements that relate to or affect sustainability issues?</v>
      </c>
      <c r="D576" s="535"/>
      <c r="E576" s="536" t="b">
        <v>0</v>
      </c>
      <c r="F576" s="536"/>
      <c r="G576" s="537"/>
    </row>
    <row r="577" spans="1:15" ht="15" thickBot="1" x14ac:dyDescent="0.35">
      <c r="A577" s="460" t="s">
        <v>3743</v>
      </c>
      <c r="B577" s="249" t="s">
        <v>1</v>
      </c>
      <c r="C577" s="541" t="str">
        <f>template_label_description_of_those_key_elements_in_the_strategy_that_relate_or_affect_sustainability_issues</f>
        <v>Description of those key elements in the strategy that relate or affect sustainability issues</v>
      </c>
      <c r="D577" s="542"/>
      <c r="E577" s="666"/>
      <c r="F577" s="666"/>
      <c r="G577" s="667"/>
      <c r="H577" s="16" t="str">
        <f>IF(AND($E$122="Option B (Basic Module and Comprehensive Module)", E577="", E576=TRUE), template_label_missing_value,
   IF(AND($E$122="Option A (Basic Module only)", E577&lt;&gt;"", E576=TRUE), template_label_ok,
   IF(AND($E$122="Option B (Basic Module and Comprehensive Module)", E577&lt;&gt;"", E576=TRUE), template_label_ok, "")))</f>
        <v/>
      </c>
    </row>
    <row r="578" spans="1:15" ht="15" thickBot="1" x14ac:dyDescent="0.35"/>
    <row r="579" spans="1:15" ht="14.85" customHeight="1" x14ac:dyDescent="0.3">
      <c r="C579" s="656"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 to - [May (optional)]</v>
      </c>
      <c r="D579" s="657"/>
      <c r="E579" s="657"/>
      <c r="F579" s="657"/>
      <c r="G579" s="657"/>
      <c r="H579" s="658"/>
      <c r="I579" s="10"/>
      <c r="J579" s="10"/>
      <c r="K579" s="10"/>
      <c r="L579" s="10"/>
      <c r="M579" s="10"/>
      <c r="N579" s="10"/>
      <c r="O579" s="10"/>
    </row>
    <row r="580" spans="1:15" ht="14.85" customHeight="1" x14ac:dyDescent="0.3">
      <c r="B580" s="251"/>
      <c r="C580" s="654">
        <v>10</v>
      </c>
      <c r="D580" s="654"/>
      <c r="E580" s="654"/>
      <c r="F580" s="654"/>
      <c r="G580" s="654"/>
      <c r="H580" s="655"/>
      <c r="I580" s="10"/>
      <c r="J580" s="10"/>
      <c r="K580" s="10"/>
      <c r="L580" s="10"/>
      <c r="M580" s="10"/>
      <c r="N580" s="10"/>
      <c r="O580" s="10"/>
    </row>
    <row r="581" spans="1:15" ht="15" thickBot="1" x14ac:dyDescent="0.35">
      <c r="C581" s="650"/>
      <c r="D581" s="651"/>
      <c r="E581" s="651"/>
      <c r="F581" s="651"/>
      <c r="G581" s="651"/>
      <c r="H581" s="651"/>
      <c r="I581" s="87" t="str">
        <f>IF(C581&lt;&gt;"", template_label_ok, "")</f>
        <v/>
      </c>
    </row>
  </sheetData>
  <sheetProtection algorithmName="SHA-512" hashValue="6U87lOuPTnkDXY1aXO10OgdEcg4crc58CNxAuhyiyEDui8V3+NP2PCG1LyqkDd1sFk34F3cI/WDn76UHWWiBIQ==" saltValue="ZXGJPKV7bWYKNccCDIZbgw==" spinCount="100000" sheet="1" formatColumns="0" formatRows="0" insertRows="0"/>
  <mergeCells count="87">
    <mergeCell ref="G10:K12"/>
    <mergeCell ref="C552:O552"/>
    <mergeCell ref="F446:F449"/>
    <mergeCell ref="E446:E449"/>
    <mergeCell ref="D446:D449"/>
    <mergeCell ref="C334:E334"/>
    <mergeCell ref="E441:H441"/>
    <mergeCell ref="C551:O551"/>
    <mergeCell ref="F6:F8"/>
    <mergeCell ref="F10:F12"/>
    <mergeCell ref="D8:E8"/>
    <mergeCell ref="C581:H581"/>
    <mergeCell ref="C119:D119"/>
    <mergeCell ref="C580:H580"/>
    <mergeCell ref="C579:H579"/>
    <mergeCell ref="E571:G571"/>
    <mergeCell ref="E572:G572"/>
    <mergeCell ref="E573:G573"/>
    <mergeCell ref="E577:G577"/>
    <mergeCell ref="C577:D577"/>
    <mergeCell ref="C573:D573"/>
    <mergeCell ref="C571:D571"/>
    <mergeCell ref="C572:D572"/>
    <mergeCell ref="C438:H438"/>
    <mergeCell ref="A226:A325"/>
    <mergeCell ref="B226:B325"/>
    <mergeCell ref="C330:D330"/>
    <mergeCell ref="C331:D331"/>
    <mergeCell ref="C326:D326"/>
    <mergeCell ref="C329:D329"/>
    <mergeCell ref="C226:D325"/>
    <mergeCell ref="A224:A225"/>
    <mergeCell ref="B224:B225"/>
    <mergeCell ref="C225:D225"/>
    <mergeCell ref="C224:D224"/>
    <mergeCell ref="D9:E9"/>
    <mergeCell ref="D10:E10"/>
    <mergeCell ref="D11:E11"/>
    <mergeCell ref="D12:E12"/>
    <mergeCell ref="D13:E13"/>
    <mergeCell ref="C121:E121"/>
    <mergeCell ref="C19:D118"/>
    <mergeCell ref="C123:D222"/>
    <mergeCell ref="B123:B222"/>
    <mergeCell ref="A123:A222"/>
    <mergeCell ref="C564:G564"/>
    <mergeCell ref="C2:E2"/>
    <mergeCell ref="C441:D441"/>
    <mergeCell ref="C16:E16"/>
    <mergeCell ref="C122:D122"/>
    <mergeCell ref="C18:D18"/>
    <mergeCell ref="C327:D327"/>
    <mergeCell ref="C328:D328"/>
    <mergeCell ref="C17:E17"/>
    <mergeCell ref="C223:D223"/>
    <mergeCell ref="C333:E333"/>
    <mergeCell ref="D3:E3"/>
    <mergeCell ref="D5:E5"/>
    <mergeCell ref="D6:E6"/>
    <mergeCell ref="D7:E7"/>
    <mergeCell ref="G6:K8"/>
    <mergeCell ref="C558:D558"/>
    <mergeCell ref="C437:H437"/>
    <mergeCell ref="C439:H439"/>
    <mergeCell ref="C553:O553"/>
    <mergeCell ref="C559:D559"/>
    <mergeCell ref="C554:C555"/>
    <mergeCell ref="C440:D440"/>
    <mergeCell ref="E440:H440"/>
    <mergeCell ref="C445:H445"/>
    <mergeCell ref="C444:H444"/>
    <mergeCell ref="C443:H443"/>
    <mergeCell ref="D554:M554"/>
    <mergeCell ref="N554:N555"/>
    <mergeCell ref="O554:O555"/>
    <mergeCell ref="C446:C449"/>
    <mergeCell ref="G446:G449"/>
    <mergeCell ref="C576:D576"/>
    <mergeCell ref="E576:G576"/>
    <mergeCell ref="C575:G575"/>
    <mergeCell ref="C567:D567"/>
    <mergeCell ref="E565:G565"/>
    <mergeCell ref="E567:G567"/>
    <mergeCell ref="E566:G566"/>
    <mergeCell ref="C565:D565"/>
    <mergeCell ref="C566:D566"/>
    <mergeCell ref="C570:G570"/>
  </mergeCells>
  <phoneticPr fontId="3" type="noConversion"/>
  <conditionalFormatting sqref="C19 E19:E119 C119:D119">
    <cfRule type="expression" dxfId="320" priority="87">
      <formula>$E$18=TRUE</formula>
    </cfRule>
  </conditionalFormatting>
  <conditionalFormatting sqref="C225">
    <cfRule type="expression" dxfId="319" priority="103">
      <formula>$E$224="other (please specify the legal form in the row below)"</formula>
    </cfRule>
  </conditionalFormatting>
  <conditionalFormatting sqref="D560:D562">
    <cfRule type="expression" dxfId="318" priority="8">
      <formula>$E$224="cooperative"</formula>
    </cfRule>
  </conditionalFormatting>
  <conditionalFormatting sqref="D336:E435">
    <cfRule type="expression" dxfId="317" priority="55">
      <formula>$E$223="Sustainability report prepared on a consolidated basis"</formula>
    </cfRule>
  </conditionalFormatting>
  <conditionalFormatting sqref="D556:O556 E565 E567">
    <cfRule type="expression" dxfId="316" priority="17">
      <formula>$C$556=TRUE</formula>
    </cfRule>
  </conditionalFormatting>
  <conditionalFormatting sqref="D556:O556">
    <cfRule type="expression" dxfId="315" priority="27">
      <formula>$C$556=TRUE</formula>
    </cfRule>
  </conditionalFormatting>
  <conditionalFormatting sqref="E19:E118">
    <cfRule type="expression" dxfId="314" priority="141">
      <formula>AND(ISBLANK(#REF!), $E$18=TRUE)</formula>
    </cfRule>
  </conditionalFormatting>
  <conditionalFormatting sqref="E124:E222">
    <cfRule type="expression" dxfId="313" priority="75">
      <formula>$E$18=TRUE</formula>
    </cfRule>
    <cfRule type="expression" dxfId="312" priority="76">
      <formula>AND(ISBLANK(#REF!), $E$18=TRUE)</formula>
    </cfRule>
  </conditionalFormatting>
  <conditionalFormatting sqref="E225">
    <cfRule type="expression" dxfId="311" priority="102">
      <formula>$E$224="other (please specify the legal form in the row below)"</formula>
    </cfRule>
  </conditionalFormatting>
  <conditionalFormatting sqref="E440">
    <cfRule type="expression" dxfId="310" priority="53">
      <formula>$D$347="YES"</formula>
    </cfRule>
  </conditionalFormatting>
  <conditionalFormatting sqref="E560:E562">
    <cfRule type="expression" dxfId="309" priority="11">
      <formula>$E560=template_label_ok</formula>
    </cfRule>
  </conditionalFormatting>
  <conditionalFormatting sqref="E566:G566">
    <cfRule type="expression" dxfId="308" priority="371">
      <formula>AND($C$556=TRUE,$O$556=TRUE)</formula>
    </cfRule>
  </conditionalFormatting>
  <conditionalFormatting sqref="E577:G577">
    <cfRule type="expression" dxfId="307" priority="44">
      <formula>$E$576=TRUE</formula>
    </cfRule>
  </conditionalFormatting>
  <conditionalFormatting sqref="E441:H441">
    <cfRule type="expression" dxfId="306" priority="52">
      <formula>$E$440=TRUE</formula>
    </cfRule>
  </conditionalFormatting>
  <conditionalFormatting sqref="F3:F5 F336:F435">
    <cfRule type="expression" dxfId="305" priority="147">
      <formula>$F3=template_label_missing_value</formula>
    </cfRule>
    <cfRule type="expression" dxfId="304" priority="146">
      <formula>$F3=template_label_ok</formula>
    </cfRule>
  </conditionalFormatting>
  <conditionalFormatting sqref="F6:F8">
    <cfRule type="expression" dxfId="303" priority="2">
      <formula>$F$6=template_label_error</formula>
    </cfRule>
    <cfRule type="expression" dxfId="302" priority="57">
      <formula>$F$6=template_label_value_inconsistency</formula>
    </cfRule>
    <cfRule type="expression" dxfId="301" priority="59">
      <formula>$F$6=template_label_ok</formula>
    </cfRule>
    <cfRule type="expression" dxfId="300" priority="60">
      <formula>$F$6=template_label_missing_value</formula>
    </cfRule>
  </conditionalFormatting>
  <conditionalFormatting sqref="F10">
    <cfRule type="expression" dxfId="299" priority="56">
      <formula>$F$10=template_label_error</formula>
    </cfRule>
    <cfRule type="expression" dxfId="298" priority="61">
      <formula>$F$10=template_label_missing_value</formula>
    </cfRule>
    <cfRule type="expression" dxfId="297" priority="62">
      <formula>$F$10=template_label_value_inconsistency</formula>
    </cfRule>
    <cfRule type="expression" dxfId="296" priority="63">
      <formula>$F$10=template_label_ok</formula>
    </cfRule>
  </conditionalFormatting>
  <conditionalFormatting sqref="F13:F14">
    <cfRule type="expression" dxfId="295" priority="65">
      <formula>$F13="OK"</formula>
    </cfRule>
    <cfRule type="expression" dxfId="294" priority="64">
      <formula>$F13="MISSING VALUE"</formula>
    </cfRule>
  </conditionalFormatting>
  <conditionalFormatting sqref="F18">
    <cfRule type="expression" dxfId="293" priority="88">
      <formula>$F$18=template_label_ok</formula>
    </cfRule>
  </conditionalFormatting>
  <conditionalFormatting sqref="F19:F119">
    <cfRule type="expression" dxfId="292" priority="7">
      <formula>$F19=template_label_value_inconsistency</formula>
    </cfRule>
    <cfRule type="expression" dxfId="291" priority="85">
      <formula>$F19=template_label_missing_value</formula>
    </cfRule>
    <cfRule type="expression" dxfId="290" priority="86">
      <formula>$F19=template_label_ok</formula>
    </cfRule>
  </conditionalFormatting>
  <conditionalFormatting sqref="F119">
    <cfRule type="expression" dxfId="289" priority="12">
      <formula>$F$119=template_label_invalid_url</formula>
    </cfRule>
  </conditionalFormatting>
  <conditionalFormatting sqref="F122">
    <cfRule type="expression" dxfId="288" priority="69">
      <formula>$F122=template_label_ok</formula>
    </cfRule>
    <cfRule type="expression" dxfId="287" priority="68">
      <formula>$F122=template_label_missing_value</formula>
    </cfRule>
  </conditionalFormatting>
  <conditionalFormatting sqref="F123">
    <cfRule type="expression" dxfId="286" priority="119">
      <formula>$F$123=template_label_ok</formula>
    </cfRule>
    <cfRule type="expression" dxfId="285" priority="5">
      <formula>$F$123=template_label_value_inconsistency</formula>
    </cfRule>
    <cfRule type="expression" dxfId="284" priority="118">
      <formula>$F$123=template_label_missing_value</formula>
    </cfRule>
  </conditionalFormatting>
  <conditionalFormatting sqref="F124:F222">
    <cfRule type="expression" dxfId="283" priority="74">
      <formula>$F124="OK"</formula>
    </cfRule>
    <cfRule type="expression" dxfId="282" priority="6">
      <formula>$F124="VALUE INCONSISTENCY"</formula>
    </cfRule>
    <cfRule type="expression" dxfId="281" priority="73">
      <formula>$F124="MISSING VALUE"</formula>
    </cfRule>
  </conditionalFormatting>
  <conditionalFormatting sqref="F223">
    <cfRule type="expression" dxfId="280" priority="128">
      <formula>$F$223=template_label_ok</formula>
    </cfRule>
    <cfRule type="expression" dxfId="279" priority="151">
      <formula>$F$223=template_label_missing_value</formula>
    </cfRule>
  </conditionalFormatting>
  <conditionalFormatting sqref="F224">
    <cfRule type="expression" dxfId="278" priority="127">
      <formula>$F$224=template_label_ok</formula>
    </cfRule>
    <cfRule type="expression" dxfId="277" priority="126">
      <formula>$F$224=template_label_missing_value</formula>
    </cfRule>
  </conditionalFormatting>
  <conditionalFormatting sqref="F225">
    <cfRule type="expression" dxfId="276" priority="89">
      <formula>$F$225=template_label_missing_value</formula>
    </cfRule>
    <cfRule type="expression" dxfId="275" priority="90">
      <formula>$F$225=template_label_ok</formula>
    </cfRule>
  </conditionalFormatting>
  <conditionalFormatting sqref="F226">
    <cfRule type="expression" dxfId="274" priority="4">
      <formula>$F$226=template_label_value_inconsistency</formula>
    </cfRule>
    <cfRule type="expression" dxfId="273" priority="41">
      <formula>$F$226=template_label_error</formula>
    </cfRule>
    <cfRule type="expression" dxfId="272" priority="149">
      <formula>$F$226=template_label_missing_value</formula>
    </cfRule>
    <cfRule type="expression" dxfId="271" priority="148">
      <formula>$F$226=template_label_ok</formula>
    </cfRule>
  </conditionalFormatting>
  <conditionalFormatting sqref="F227:F325">
    <cfRule type="expression" dxfId="270" priority="38">
      <formula>$F227=template_label_missing_value</formula>
    </cfRule>
    <cfRule type="expression" dxfId="269" priority="3">
      <formula>$F227=template_label_value_inconsistency</formula>
    </cfRule>
    <cfRule type="expression" dxfId="268" priority="40">
      <formula>$F227=template_label_error</formula>
    </cfRule>
    <cfRule type="expression" dxfId="267" priority="39">
      <formula>$F227=template_label_ok</formula>
    </cfRule>
  </conditionalFormatting>
  <conditionalFormatting sqref="F326">
    <cfRule type="expression" dxfId="266" priority="135">
      <formula>$F$326=template_label_ok</formula>
    </cfRule>
    <cfRule type="expression" dxfId="265" priority="136">
      <formula>$F$326=template_label_missing_value</formula>
    </cfRule>
  </conditionalFormatting>
  <conditionalFormatting sqref="F327:F331">
    <cfRule type="expression" dxfId="264" priority="133">
      <formula>$F327=template_label_ok</formula>
    </cfRule>
    <cfRule type="expression" dxfId="263" priority="134">
      <formula>$F327=template_label_missing_value</formula>
    </cfRule>
  </conditionalFormatting>
  <conditionalFormatting sqref="F435">
    <cfRule type="expression" dxfId="262" priority="272">
      <formula>$F446="MISSING VALUE"</formula>
    </cfRule>
    <cfRule type="expression" dxfId="261" priority="273">
      <formula>$F446="OK"</formula>
    </cfRule>
  </conditionalFormatting>
  <conditionalFormatting sqref="G224">
    <cfRule type="expression" dxfId="260" priority="132">
      <formula>$G$224="Please specify the legal form in the row below"</formula>
    </cfRule>
  </conditionalFormatting>
  <conditionalFormatting sqref="H450:H549">
    <cfRule type="expression" dxfId="259" priority="13">
      <formula>$H$449=FALSE</formula>
    </cfRule>
  </conditionalFormatting>
  <conditionalFormatting sqref="H565:H567">
    <cfRule type="expression" dxfId="258" priority="15">
      <formula>$H565=template_label_ok</formula>
    </cfRule>
    <cfRule type="expression" dxfId="257" priority="14">
      <formula>$H565=template_label_missing_value</formula>
    </cfRule>
  </conditionalFormatting>
  <conditionalFormatting sqref="H571:H573 H577">
    <cfRule type="expression" dxfId="256" priority="101">
      <formula>$H571=template_label_missing_value</formula>
    </cfRule>
    <cfRule type="expression" dxfId="255" priority="100">
      <formula>$H571=template_label_ok</formula>
    </cfRule>
  </conditionalFormatting>
  <conditionalFormatting sqref="I441">
    <cfRule type="expression" dxfId="254" priority="43">
      <formula>$I$441=template_label_missing_value</formula>
    </cfRule>
    <cfRule type="expression" dxfId="253" priority="84">
      <formula>$I$441=template_label_ok</formula>
    </cfRule>
  </conditionalFormatting>
  <conditionalFormatting sqref="I450:I549">
    <cfRule type="expression" dxfId="252" priority="92">
      <formula>$I450=template_label_missing_value</formula>
    </cfRule>
    <cfRule type="expression" dxfId="251" priority="91">
      <formula>$I450=template_label_ok</formula>
    </cfRule>
  </conditionalFormatting>
  <conditionalFormatting sqref="I581">
    <cfRule type="expression" dxfId="250" priority="83">
      <formula>$I$581=template_label_ok</formula>
    </cfRule>
  </conditionalFormatting>
  <conditionalFormatting sqref="P556">
    <cfRule type="expression" dxfId="249" priority="23">
      <formula>$P$556=template_label_missing_value</formula>
    </cfRule>
    <cfRule type="expression" dxfId="248" priority="24">
      <formula>$P$556=template_label_ok</formula>
    </cfRule>
  </conditionalFormatting>
  <dataValidations xWindow="549" yWindow="696" count="20">
    <dataValidation type="list" allowBlank="1" showInputMessage="1" showErrorMessage="1" sqref="E122" xr:uid="{A2DCDFDB-ADC4-436B-BD6C-4E84E82AE073}">
      <formula1>"Option A (Basic Module only), Option B (Basic Module and Comprehensive Module)"</formula1>
    </dataValidation>
    <dataValidation type="list" allowBlank="1" showInputMessage="1" showErrorMessage="1" sqref="E223" xr:uid="{4F13A5F9-E736-4E05-A233-B9B112EBE6A1}">
      <formula1>"Sustainability report prepared on an individual basis, Sustainability report prepared on a consolidated basis"</formula1>
    </dataValidation>
    <dataValidation type="list" allowBlank="1" showInputMessage="1" showErrorMessage="1" sqref="E330" xr:uid="{1DA6DC5E-36CE-4C4E-942D-7DCF7644718A}">
      <formula1>"Headcount, Full-time equivalent (FTE)"</formula1>
    </dataValidation>
    <dataValidation type="list" allowBlank="1" showInputMessage="1" showErrorMessage="1" sqref="G450:G549" xr:uid="{BE8F6A12-5C78-4D48-9F63-01FCA7AABD87}">
      <formula1>enum_ListCountriesName</formula1>
    </dataValidation>
    <dataValidation type="list" allowBlank="1" showInputMessage="1" showErrorMessage="1" sqref="E19:E118 E124:E222"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122" xr:uid="{4104C250-8FE3-463A-B01E-113FF4011C28}">
      <formula1>E122</formula1>
    </dataValidation>
    <dataValidation type="decimal" operator="equal" allowBlank="1" showInputMessage="1" showErrorMessage="1" sqref="D561 E326:E328" xr:uid="{546D8560-FA10-4E3C-8848-2A7A25B13150}">
      <formula1>D326</formula1>
    </dataValidation>
    <dataValidation type="custom" showInputMessage="1" showErrorMessage="1" sqref="E576 I563:O569 E440 I440 C568:H569 C563:H563 C556:O557 E18 H449"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50"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329" xr:uid="{144F4C96-EADD-4F0D-816D-09334348F775}">
      <formula1>enum_employee_methodology</formula1>
    </dataValidation>
    <dataValidation type="list" allowBlank="1" showInputMessage="1" showErrorMessage="1" sqref="E123" xr:uid="{AC769C83-4CF3-4F4D-8304-CCD442331E8E}">
      <formula1>enum_ListOmittedDisclosuresWithNone</formula1>
    </dataValidation>
    <dataValidation type="custom" showInputMessage="1" showErrorMessage="1" sqref="K450:K549" xr:uid="{87B45667-2565-4DEE-8FB7-7B0AF6539C1C}">
      <formula1>LOWER(SUBSTITUTE(D450," ","+" )) &amp; "+" &amp; LOWER(SUBSTITUTE(E450," ","+" )) &amp; "+" &amp; LOWER(SUBSTITUTE(F450," ","+" )) &amp; "+" &amp; LOWER(SUBSTITUTE(G450,"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226:E325" xr:uid="{EDCACB96-AA7D-42B4-A79D-8DE45409D62B}">
      <formula1>enum_ListNACETechnicalName</formula1>
    </dataValidation>
  </dataValidations>
  <hyperlinks>
    <hyperlink ref="B224" r:id="rId1" location="id-160" display="https://xbrl.efrag.org/e-esrs/2024-12-17-efrag-vsme.xhtml - id-160" xr:uid="{6E35ED44-D9B7-4052-8FB7-A15755AA2F9A}"/>
    <hyperlink ref="B226" r:id="rId2" location="id-166" display="69 - 70" xr:uid="{FA270BAD-2BBA-4F19-A5BF-CB6660F0026F}"/>
    <hyperlink ref="B328" r:id="rId3" xr:uid="{D4D508FB-87F9-401E-995D-187EDEBAA1BE}"/>
    <hyperlink ref="A122" r:id="rId4" xr:uid="{C2B9CAC6-77B0-4EAC-8669-72761233B94E}"/>
    <hyperlink ref="A123" r:id="rId5" xr:uid="{550B4979-0FEB-4358-9C47-F633B3AD029B}"/>
    <hyperlink ref="A223" r:id="rId6" xr:uid="{F8EF2A00-D01F-454A-B219-4512593E4195}"/>
    <hyperlink ref="A226" r:id="rId7" location="id-55" xr:uid="{34C299B3-3BF1-4370-BBCB-6C0B88190DAA}"/>
    <hyperlink ref="A327" r:id="rId8" xr:uid="{720E8189-B604-4A6E-B087-2B36F1DBDA4C}"/>
    <hyperlink ref="A328" r:id="rId9" xr:uid="{D8858E63-1190-459F-86C5-E2BF02C1FB92}"/>
    <hyperlink ref="A331" r:id="rId10" xr:uid="{91A049C2-07F3-45F0-A7D7-EE0EA55C5BC7}"/>
    <hyperlink ref="C438" r:id="rId11" location="id-61" display="https://xbrl.efrag.org/e-esrs/2024-12-17-efrag-vsme.xhtml - id-61" xr:uid="{DFAA86FF-296C-45FD-AFBE-90C8E90045EB}"/>
    <hyperlink ref="C445" r:id="rId12" location="id-170" display="73 -77" xr:uid="{8ABC957E-1EBE-4A8D-863F-E7583DD2AC76}"/>
    <hyperlink ref="C17" r:id="rId13" location="id-36" display="https://xbrl.efrag.org/e-esrs/2024-12-17-efrag-vsme.xhtml - id-36" xr:uid="{19CB59E3-AADC-498C-AF52-20D4994CF242}"/>
    <hyperlink ref="C439" r:id="rId14" location="id-174" display="https://xbrl.efrag.org/e-esrs/2024-12-17-efrag-vsme.xhtml - id-174" xr:uid="{C5A15A7C-043F-4781-AFDF-10B6996439A7}"/>
    <hyperlink ref="C580" r:id="rId15" location="id-30" display="https://xbrl.efrag.org/e-esrs/2024-12-17-efrag-vsme.xhtml - id-30" xr:uid="{76D42933-A7B6-4201-BBAA-C4F0D44A8C21}"/>
    <hyperlink ref="A577" r:id="rId16" xr:uid="{E97D4368-4682-47AC-B32E-7B38F4BB397A}"/>
    <hyperlink ref="C444" r:id="rId17" location="id-60" xr:uid="{A4AF9C3B-B0B9-4070-AABC-C04C5FA2EE60}"/>
    <hyperlink ref="B573" r:id="rId18" display="https://xbrl.efrag.org/eng/interactive/vsme/vsme-guidance-annex-ii/2025-07-30-ec-rec/148" xr:uid="{5CB57F72-A4D3-4052-85C2-F2ACBE8A0625}"/>
    <hyperlink ref="A573" r:id="rId19" xr:uid="{BC12DD63-6EEA-4437-B6AB-A88936D421E8}"/>
    <hyperlink ref="A571" r:id="rId20" xr:uid="{20731D9F-75F2-48D9-BBE1-5734A2AEF5B8}"/>
    <hyperlink ref="C334:E334" r:id="rId21" display="24(d)" xr:uid="{FE76555F-2718-48D9-B35B-738DCDA0476C}"/>
    <hyperlink ref="A326" r:id="rId22" xr:uid="{785C6C18-5546-41D1-A9CA-4896BC8E24DF}"/>
    <hyperlink ref="A572" r:id="rId23" xr:uid="{671D2E36-4142-4CDA-8EBC-2663BBA303BE}"/>
    <hyperlink ref="C552" r:id="rId24" location="id-62" display="Paragraph 26" xr:uid="{1422AC39-BA25-4CD7-940C-725F3655BB72}"/>
    <hyperlink ref="C553" r:id="rId25" location="id-175" display="78-80" xr:uid="{29217F16-5FD6-42B1-908F-0D6E08E76BBB}"/>
    <hyperlink ref="A565:B565" r:id="rId26" location="id-110" display="https://xbrl.efrag.org/e-esrs/2024-12-17-efrag-vsme.xhtml - id-110" xr:uid="{4CDC38AF-269F-44A9-8E58-C12060FF2342}"/>
    <hyperlink ref="A567" r:id="rId27" display="https://xbrl.efrag.org/eng/interactive/vsme/vsme-standard-annex-i/2025-07-30-ec-rec/49" xr:uid="{D30D55EA-0736-4AA0-9B56-68C3D904FFDE}"/>
    <hyperlink ref="C559:D559" r:id="rId28" display="https://xbrl.efrag.org/eng/interactive/vsme/vsme-guidance-annex-ii/2025-07-30-ec-rec/15" xr:uid="{57C93BA6-29CE-468C-8E78-67130131E33C}"/>
    <hyperlink ref="A224" r:id="rId29" location="id-54" xr:uid="{4D61DA22-7170-4B6E-B717-DB0522673FDD}"/>
    <hyperlink ref="A224:A225" r:id="rId30" display="24(e)(i)" xr:uid="{72955AD9-15B0-4E93-A887-B2AE5AE34125}"/>
    <hyperlink ref="A226:A325" r:id="rId31" display="24(e)(ii)" xr:uid="{63CDEE42-35EF-4F82-9479-44131CA090AD}"/>
    <hyperlink ref="C438:H438" r:id="rId32" display="https://xbrl.efrag.org/eng/interactive/vsme/vsme-standard-annex-i/2025-07-30-ec-rec/25" xr:uid="{8EB8478F-6CBB-42E3-B5BB-21A4D0415C38}"/>
    <hyperlink ref="C444:H444" r:id="rId33" display="24(e)(vii)" xr:uid="{C6042EE5-CA3B-4737-B838-E6FF23A0BB7E}"/>
    <hyperlink ref="C552:O552" r:id="rId34" display="26-28" xr:uid="{21BF77BD-962D-4692-8F8C-8E643BF2A2FA}"/>
    <hyperlink ref="A565"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224:B225" r:id="rId37" display="https://xbrl.efrag.org/eng/interactive/vsme/vsme-guidance-annex-ii/2025-07-30-ec-rec/4" xr:uid="{821F1107-DFCF-4075-8811-6950EDDD41AC}"/>
    <hyperlink ref="B226:B325" r:id="rId38" display="5-6" xr:uid="{820D3D54-AE35-4C9F-9F05-D9C65601D449}"/>
    <hyperlink ref="C439:H439" r:id="rId39" display="https://xbrl.efrag.org/eng/interactive/vsme/vsme-guidance-annex-ii/2025-07-30-ec-rec/13" xr:uid="{34CC0771-7A7A-4256-8604-3C6AC612CB8F}"/>
    <hyperlink ref="C445:H445" r:id="rId40" display=" 9-12" xr:uid="{8CFBD353-B0BE-4B92-B429-4A0F2EEADF94}"/>
    <hyperlink ref="C553:O553" r:id="rId41" display="14-16" xr:uid="{CF2D0EF1-31E3-4957-95F3-15807A0951DF}"/>
    <hyperlink ref="B565" r:id="rId42" display="https://xbrl.efrag.org/eng/interactive/vsme/vsme-guidance-annex-ii/2025-07-30-ec-rec/149" xr:uid="{3F21BED7-A3D8-4283-A715-0AF86BBD95CA}"/>
    <hyperlink ref="C580:H580" r:id="rId43" display="https://xbrl.efrag.org/eng/interactive/vsme/vsme-standard-annex-i/2025-07-30-ec-rec/10" xr:uid="{819CBA6C-8654-4D09-AB1C-01A45B1548B4}"/>
    <hyperlink ref="A329" r:id="rId44" xr:uid="{1CA670AC-AE61-4EBA-A48F-DD1755DDE711}"/>
    <hyperlink ref="A330" r:id="rId45" xr:uid="{38AD638B-9309-43D3-9974-DDAD89DD3A81}"/>
    <hyperlink ref="B566" r:id="rId46" location="id-110" display="https://xbrl.efrag.org/e-esrs/2024-12-17-efrag-vsme.xhtml - id-110" xr:uid="{768AD984-0FDA-4B83-81D3-76F2D106DD02}"/>
    <hyperlink ref="B567" r:id="rId47" location="id-110" display="https://xbrl.efrag.org/e-esrs/2024-12-17-efrag-vsme.xhtml - id-110" xr:uid="{35D0CFFA-65BC-428F-A344-02A0AEC99B37}"/>
    <hyperlink ref="B329" r:id="rId48" xr:uid="{574F6B8E-0C3C-4751-88CB-1E069AEA907A}"/>
    <hyperlink ref="B330" r:id="rId49" xr:uid="{9B3A4583-A796-4E9D-B618-7D963786DEA3}"/>
    <hyperlink ref="B331"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E331</xm:sqref>
        </x14:dataValidation>
        <x14:dataValidation type="list" allowBlank="1" showInputMessage="1" showErrorMessage="1" xr:uid="{386E27C7-13F7-4F0C-8DF1-6A82CC469E13}">
          <x14:formula1>
            <xm:f>'Enumeration Lists'!$L$2:$L$6</xm:f>
          </x14:formula1>
          <xm:sqref>E224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zoomScaleNormal="100" workbookViewId="0"/>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57" t="str">
        <f>template_label_paragraph_reference</f>
        <v>Paragraph Reference</v>
      </c>
      <c r="B1" s="257" t="str">
        <f>template_label_paragraph_guidance_reference</f>
        <v>Paragraph Guidance Reference</v>
      </c>
    </row>
    <row r="2" spans="1:13" x14ac:dyDescent="0.3">
      <c r="C2" s="555" t="str">
        <f>template_label_b3_total_energy_consumption&amp;" "&amp;template_label_from&amp;" "&amp;template_starting_date_display&amp;" "&amp;template_label_to&amp;" "&amp;template_ending_date_display&amp;" "&amp;template_label_always_to_be_reported</f>
        <v>B3 - Total Energy Consumption (in MWh) from - to - [Always to be reported]</v>
      </c>
      <c r="D2" s="556"/>
      <c r="E2" s="556"/>
      <c r="F2" s="556"/>
      <c r="G2" s="556"/>
      <c r="H2" s="556"/>
      <c r="I2" s="556"/>
      <c r="J2" s="556"/>
      <c r="K2" s="557"/>
    </row>
    <row r="3" spans="1:13" x14ac:dyDescent="0.3">
      <c r="C3" s="576">
        <v>29</v>
      </c>
      <c r="D3" s="577"/>
      <c r="E3" s="577"/>
      <c r="F3" s="577"/>
      <c r="G3" s="577"/>
      <c r="H3" s="577"/>
      <c r="I3" s="577"/>
      <c r="J3" s="577"/>
      <c r="K3" s="578"/>
    </row>
    <row r="4" spans="1:13" x14ac:dyDescent="0.3">
      <c r="C4" s="750" t="s">
        <v>5644</v>
      </c>
      <c r="D4" s="751"/>
      <c r="E4" s="751"/>
      <c r="F4" s="751"/>
      <c r="G4" s="751"/>
      <c r="H4" s="751"/>
      <c r="I4" s="751"/>
      <c r="J4" s="751"/>
      <c r="K4" s="752"/>
    </row>
    <row r="5" spans="1:13" ht="15" thickBot="1" x14ac:dyDescent="0.35">
      <c r="C5" s="895" t="str">
        <f>template_label_total_energy_consumption</f>
        <v>Total Energy Consumption</v>
      </c>
      <c r="D5" s="896"/>
      <c r="E5" s="896"/>
      <c r="F5" s="897"/>
      <c r="G5" s="911"/>
      <c r="H5" s="912"/>
      <c r="I5" s="912"/>
      <c r="J5" s="912"/>
      <c r="K5" s="913"/>
      <c r="L5" s="16" t="str">
        <f>IF(AND(OR('General Information'!E122="Option A (Basic Module only)", 'General Information'!E122="Option B (Basic Module and Comprehensive Module)"), G5=""), template_label_missing_value, IF('General Information'!E122="", "", template_label_ok))</f>
        <v/>
      </c>
    </row>
    <row r="6" spans="1:13" ht="15" thickBot="1" x14ac:dyDescent="0.35"/>
    <row r="7" spans="1:13" x14ac:dyDescent="0.3">
      <c r="C7" s="555" t="str">
        <f>template_label_b3_breakdown_of_energy_consumption&amp;" "&amp;template_label_from&amp;" "&amp;template_starting_date_display&amp;" "&amp;template_label_to&amp;" "&amp;template_ending_date_display&amp;" "&amp;template_label_if_applicable</f>
        <v>B3 - Breakdown of energy consumption (in MWh) from - to - [If applicable]</v>
      </c>
      <c r="D7" s="556"/>
      <c r="E7" s="556"/>
      <c r="F7" s="556"/>
      <c r="G7" s="556"/>
      <c r="H7" s="556"/>
      <c r="I7" s="556"/>
      <c r="J7" s="556"/>
      <c r="K7" s="557"/>
    </row>
    <row r="8" spans="1:13" x14ac:dyDescent="0.3">
      <c r="C8" s="576">
        <v>29</v>
      </c>
      <c r="D8" s="577"/>
      <c r="E8" s="577"/>
      <c r="F8" s="577"/>
      <c r="G8" s="577"/>
      <c r="H8" s="577"/>
      <c r="I8" s="577"/>
      <c r="J8" s="577"/>
      <c r="K8" s="578"/>
    </row>
    <row r="9" spans="1:13" x14ac:dyDescent="0.3">
      <c r="C9" s="750" t="s">
        <v>5644</v>
      </c>
      <c r="D9" s="751"/>
      <c r="E9" s="751"/>
      <c r="F9" s="751"/>
      <c r="G9" s="751"/>
      <c r="H9" s="751"/>
      <c r="I9" s="751"/>
      <c r="J9" s="751"/>
      <c r="K9" s="752"/>
    </row>
    <row r="10" spans="1:13" x14ac:dyDescent="0.3">
      <c r="C10" s="843" t="str">
        <f>template_label_has_the_undertaking_obtained_the_necessary_information_to_provide_an_energy_consumption_breakdown</f>
        <v>Has the undertaking obtained the necessary information to provide an energy consumption breakdown?</v>
      </c>
      <c r="D10" s="844"/>
      <c r="E10" s="844"/>
      <c r="F10" s="844"/>
      <c r="G10" s="536" t="b">
        <v>0</v>
      </c>
      <c r="H10" s="536"/>
      <c r="I10" s="536"/>
      <c r="J10" s="536"/>
      <c r="K10" s="537"/>
    </row>
    <row r="11" spans="1:13" ht="38.700000000000003" customHeight="1" x14ac:dyDescent="0.3">
      <c r="C11" s="864"/>
      <c r="D11" s="865"/>
      <c r="E11" s="865"/>
      <c r="F11" s="865"/>
      <c r="G11" s="909" t="str">
        <f>template_label_renewable</f>
        <v>Renewable</v>
      </c>
      <c r="H11" s="910"/>
      <c r="I11" s="910"/>
      <c r="J11" s="102" t="str">
        <f>template_label_non_renewable</f>
        <v>Non-renewable</v>
      </c>
      <c r="K11" s="103" t="str">
        <f>template_label_total_renewable_and_nonrenewable</f>
        <v>Total renewable and non-renewable</v>
      </c>
      <c r="L11" s="16"/>
    </row>
    <row r="12" spans="1:13" x14ac:dyDescent="0.3">
      <c r="C12" s="898" t="str">
        <f>template_label_electricity</f>
        <v>Electricity (as reflected in utility billings)</v>
      </c>
      <c r="D12" s="899"/>
      <c r="E12" s="899"/>
      <c r="F12" s="900"/>
      <c r="G12" s="904"/>
      <c r="H12" s="905"/>
      <c r="I12" s="825"/>
      <c r="J12" s="260"/>
      <c r="K12" s="297" t="str">
        <f>IF(AND(G12="",J12=""),"-",SUM(G12:J12))</f>
        <v>-</v>
      </c>
      <c r="L12" s="914" t="str" cm="1">
        <f t="array" ref="L12">IF(G10=TRUE,
    IF(SUMPRODUCT(--(G12:J14&lt;&gt;"-"), --(G12:J14&lt;&gt;""))&gt;0,
        IF(SUM(G12:J14) &gt; TotalEnergyConsumption, template_label_value_inconsistency, template_label_ok),
        template_label_missing_value),
"")</f>
        <v/>
      </c>
    </row>
    <row r="13" spans="1:13" x14ac:dyDescent="0.3">
      <c r="C13" s="901" t="str">
        <f>template_label_selfgenerated_electricity</f>
        <v>Self-generated electricity</v>
      </c>
      <c r="D13" s="902"/>
      <c r="E13" s="902"/>
      <c r="F13" s="903"/>
      <c r="G13" s="904"/>
      <c r="H13" s="905"/>
      <c r="I13" s="825"/>
      <c r="J13" s="260"/>
      <c r="K13" s="297" t="str">
        <f>IF(AND(G13="",J13=""),"-",SUM(G13:J13))</f>
        <v>-</v>
      </c>
      <c r="L13" s="914"/>
    </row>
    <row r="14" spans="1:13" ht="15" thickBot="1" x14ac:dyDescent="0.35">
      <c r="C14" s="866" t="str">
        <f>template_label_fuels</f>
        <v>Fuels (see Fuel Converter on Fuels worksheet)</v>
      </c>
      <c r="D14" s="867"/>
      <c r="E14" s="867"/>
      <c r="F14" s="868"/>
      <c r="G14" s="906" t="str">
        <f>IF('Fuel Converter'!D23=TRUE, 'Fuel Converter'!A32, "-")</f>
        <v>-</v>
      </c>
      <c r="H14" s="907"/>
      <c r="I14" s="908"/>
      <c r="J14" s="261" t="str">
        <f>IF('Fuel Converter'!D23=TRUE, 'Fuel Converter'!B32, "-")</f>
        <v>-</v>
      </c>
      <c r="K14" s="298" t="str">
        <f>IF(AND(G14="-",J14="-"),"-",SUM(G14:J14))</f>
        <v>-</v>
      </c>
      <c r="L14" s="914"/>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x14ac:dyDescent="0.3">
      <c r="C16" s="689" t="str">
        <f>template_label_b3_estimated_greenhouse_gas_emissions&amp; " "&amp;template_label_always_to_be_reported</f>
        <v>B3 - Estimated Greenhouse Gas Emissions considering the GHG Protocol Version 2004 (in tCO2e) [Always to be reported]</v>
      </c>
      <c r="D16" s="690"/>
      <c r="E16" s="690"/>
      <c r="F16" s="691"/>
      <c r="G16" s="892" t="str">
        <f>template_label_c3_ghg_reduction_targets&amp;" "&amp;template_label_if_applicable</f>
        <v>C3 - GHG reduction targets (in tC02e) [If applicable]</v>
      </c>
      <c r="H16" s="893"/>
      <c r="I16" s="893"/>
      <c r="J16" s="893"/>
      <c r="K16" s="894"/>
    </row>
    <row r="17" spans="1:21" x14ac:dyDescent="0.3">
      <c r="C17" s="692">
        <v>30</v>
      </c>
      <c r="D17" s="693"/>
      <c r="E17" s="693"/>
      <c r="F17" s="694"/>
      <c r="G17" s="692" t="s">
        <v>3744</v>
      </c>
      <c r="H17" s="693"/>
      <c r="I17" s="693"/>
      <c r="J17" s="466" t="s">
        <v>3745</v>
      </c>
      <c r="K17" s="467" t="s">
        <v>3746</v>
      </c>
    </row>
    <row r="18" spans="1:21" ht="15" thickBot="1" x14ac:dyDescent="0.35">
      <c r="C18" s="252" t="s">
        <v>1</v>
      </c>
      <c r="D18" s="615" t="s">
        <v>5645</v>
      </c>
      <c r="E18" s="615"/>
      <c r="F18" s="891"/>
      <c r="G18" s="686" t="s">
        <v>5646</v>
      </c>
      <c r="H18" s="687"/>
      <c r="I18" s="687"/>
      <c r="J18" s="460" t="s">
        <v>5646</v>
      </c>
      <c r="K18" s="469" t="s">
        <v>5646</v>
      </c>
    </row>
    <row r="19" spans="1:21" ht="30" customHeight="1" x14ac:dyDescent="0.3">
      <c r="C19" s="869"/>
      <c r="D19" s="870"/>
      <c r="E19" s="870"/>
      <c r="F19" s="871"/>
      <c r="G19" s="915" t="str">
        <f>template_label_has_the_undertaking_has_established_ghg_emission_reduction_targets</f>
        <v>Has  the undertaking has established GHG emission reduction targets?</v>
      </c>
      <c r="H19" s="915"/>
      <c r="I19" s="915"/>
      <c r="J19" s="174" t="b">
        <v>0</v>
      </c>
      <c r="K19" s="105"/>
    </row>
    <row r="20" spans="1:21" ht="28.8" x14ac:dyDescent="0.3">
      <c r="C20" s="106"/>
      <c r="D20" s="822" t="str">
        <f>template_label_current_reporting_period</f>
        <v>Current Reporting Period</v>
      </c>
      <c r="E20" s="822"/>
      <c r="F20" s="875"/>
      <c r="G20" s="821" t="str">
        <f>template_label_base_year</f>
        <v>Base Year</v>
      </c>
      <c r="H20" s="822"/>
      <c r="I20" s="822"/>
      <c r="J20" s="6" t="str">
        <f>template_label_target_year</f>
        <v>Target Year</v>
      </c>
      <c r="K20" s="53" t="str">
        <f>template_label_percentage_reduction_from_base_year</f>
        <v>Percentage reduction from base year</v>
      </c>
    </row>
    <row r="21" spans="1:21" x14ac:dyDescent="0.3">
      <c r="A21" s="927" t="str">
        <f>template_label_GHG_calculator</f>
        <v>ℹ️ Check EFRAG website for a non-exhaustive list of GHG calculators.</v>
      </c>
      <c r="B21" s="928"/>
      <c r="C21" s="55" t="str">
        <f>template_label_year_date</f>
        <v>Year (date)</v>
      </c>
      <c r="D21" s="876" t="str">
        <f>IF('General Information'!$D$9="", "-", 'General Information'!$D$9) &amp; "  -  " &amp; IF('General Information'!$D$13="", "-", 'General Information'!$D$13)</f>
        <v>-  -  -</v>
      </c>
      <c r="E21" s="876"/>
      <c r="F21" s="877"/>
      <c r="G21" s="823"/>
      <c r="H21" s="824"/>
      <c r="I21" s="824"/>
      <c r="J21" s="144"/>
      <c r="K21" s="108"/>
      <c r="L21" s="16" t="str">
        <f>IF(AND(J19=TRUE, G21&lt;&gt;"", J21&lt;&gt;""), template_label_ok,
IF(AND(J19=TRUE, G21="", J21=""), template_label_missing_value,
IF(AND(J19=FALSE, G21="", J21=""), "",
IF(AND(J19=TRUE, OR(G21="", J21="")), template_label_missing_value, ""))))</f>
        <v/>
      </c>
    </row>
    <row r="22" spans="1:21" x14ac:dyDescent="0.3">
      <c r="A22" s="927"/>
      <c r="B22" s="928"/>
      <c r="C22" s="4" t="str">
        <f>template_label_gross_scope_1_ghg_emissions</f>
        <v>Gross Scope 1 GHG Emissions</v>
      </c>
      <c r="D22" s="815"/>
      <c r="E22" s="815"/>
      <c r="F22" s="816"/>
      <c r="G22" s="825"/>
      <c r="H22" s="826"/>
      <c r="I22" s="826"/>
      <c r="J22" s="260"/>
      <c r="K22" s="109" t="str">
        <f>IF(AND(G22="", J22=""), "-", IFERROR(-(1 - (J22 / G22)), "-"))</f>
        <v>-</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
      </c>
    </row>
    <row r="23" spans="1:21" x14ac:dyDescent="0.3">
      <c r="A23" s="927"/>
      <c r="B23" s="928"/>
      <c r="C23" s="4" t="str">
        <f>template_label_gross_scope_2_location_based_ghg_emissions</f>
        <v>Gross Scope 2 location-based GHG Emissions</v>
      </c>
      <c r="D23" s="924"/>
      <c r="E23" s="925"/>
      <c r="F23" s="926"/>
      <c r="G23" s="825"/>
      <c r="H23" s="826"/>
      <c r="I23" s="826"/>
      <c r="J23" s="260"/>
      <c r="K23" s="109" t="str">
        <f t="shared" ref="K23:K26" si="0">IF(AND(G23="", J23=""), "-", IFERROR(-(1 - (J23 / G23)), "-"))</f>
        <v>-</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
      </c>
    </row>
    <row r="24" spans="1:21" x14ac:dyDescent="0.3">
      <c r="A24" s="927"/>
      <c r="B24" s="928"/>
      <c r="C24" s="4" t="str">
        <f>template_label_gross_scope_2_market_based_ghg_emissions &amp; " - " &amp; template_label_may_not_headline</f>
        <v>Gross scope 2 market-based GHG Emissions - May (optional)</v>
      </c>
      <c r="D24" s="815"/>
      <c r="E24" s="815"/>
      <c r="F24" s="816"/>
      <c r="G24" s="825"/>
      <c r="H24" s="826"/>
      <c r="I24" s="826"/>
      <c r="J24" s="260"/>
      <c r="K24" s="109" t="str">
        <f t="shared" si="0"/>
        <v>-</v>
      </c>
      <c r="L24" s="16" t="str">
        <f>IF(D24&lt;&gt;"",
    IF(AND(G24="", J24=""), template_label_ok,
       IF(AND(G24&lt;&gt;"", J24=""), template_label_missing_value, template_label_ok)
    ),
"")</f>
        <v/>
      </c>
    </row>
    <row r="25" spans="1:21" x14ac:dyDescent="0.3">
      <c r="A25" s="927"/>
      <c r="B25" s="928"/>
      <c r="C25" s="13" t="str">
        <f>template_label_total_scope_1_and_scope_2_ghg_emissions_location_based</f>
        <v>Total Scope 1 and Scope 2 GHG Emissions (location-based)</v>
      </c>
      <c r="D25" s="759" t="str">
        <f>IF(AND(D22="",D23=""),"-",SUM(D22,D23))</f>
        <v>-</v>
      </c>
      <c r="E25" s="759"/>
      <c r="F25" s="777"/>
      <c r="G25" s="758" t="str">
        <f>IF(AND(G22="",G23=""),"-",SUM(G22,G23))</f>
        <v>-</v>
      </c>
      <c r="H25" s="759"/>
      <c r="I25" s="759"/>
      <c r="J25" s="263" t="str">
        <f>IF(AND(J22="",J23=""),"-",SUM(J22,J23))</f>
        <v>-</v>
      </c>
      <c r="K25" s="109" t="str">
        <f t="shared" si="0"/>
        <v>-</v>
      </c>
    </row>
    <row r="26" spans="1:21" ht="15" thickBot="1" x14ac:dyDescent="0.35">
      <c r="A26" s="927"/>
      <c r="B26" s="928"/>
      <c r="C26" s="5" t="str">
        <f>template_label_total_scope_1_and_scope_2_ghg_emissions_market_based &amp; " - " &amp; template_label_may_not_headline</f>
        <v>Total Scope 1 and Scope 2 GHG emissions  (market-based) - May (optional)</v>
      </c>
      <c r="D26" s="791" t="str">
        <f>IF(OR(D22="",D24=""),"-",SUM(D22,D24))</f>
        <v>-</v>
      </c>
      <c r="E26" s="760"/>
      <c r="F26" s="792"/>
      <c r="G26" s="760" t="str">
        <f>IF(OR(G22="",G24=""),"-",SUM(G22,G24))</f>
        <v>-</v>
      </c>
      <c r="H26" s="760"/>
      <c r="I26" s="761"/>
      <c r="J26" s="264" t="str">
        <f>IF(OR(J22="",J24=""),"-",SUM(J22,J24))</f>
        <v>-</v>
      </c>
      <c r="K26" s="109" t="str">
        <f t="shared" si="0"/>
        <v>-</v>
      </c>
    </row>
    <row r="27" spans="1:21" x14ac:dyDescent="0.3">
      <c r="C27" s="818" t="s">
        <v>3747</v>
      </c>
      <c r="D27" s="819"/>
      <c r="E27" s="819"/>
      <c r="F27" s="819"/>
      <c r="G27" s="819">
        <v>54</v>
      </c>
      <c r="H27" s="819"/>
      <c r="I27" s="819"/>
      <c r="J27" s="819"/>
      <c r="K27" s="110"/>
    </row>
    <row r="28" spans="1:21" ht="15" thickBot="1" x14ac:dyDescent="0.35">
      <c r="C28" s="252" t="s">
        <v>1</v>
      </c>
      <c r="D28" s="615" t="s">
        <v>5647</v>
      </c>
      <c r="E28" s="615"/>
      <c r="F28" s="615"/>
      <c r="G28" s="830" t="s">
        <v>1</v>
      </c>
      <c r="H28" s="830"/>
      <c r="I28" s="830"/>
      <c r="J28" s="253" t="s">
        <v>1</v>
      </c>
      <c r="K28" s="111"/>
    </row>
    <row r="29" spans="1:21" ht="22.2" customHeight="1" x14ac:dyDescent="0.3">
      <c r="C29" s="872" t="str">
        <f>template_label_is_the_undertaking_disclosing_entity_specific_information_on_scope_3_emissions</f>
        <v>Is the undertaking disclosing entity-specific information on Scope 3 emissions (in tCO2e)?</v>
      </c>
      <c r="D29" s="873"/>
      <c r="E29" s="873"/>
      <c r="F29" s="874"/>
      <c r="G29" s="827" t="b">
        <v>0</v>
      </c>
      <c r="H29" s="828"/>
      <c r="I29" s="828"/>
      <c r="J29" s="828"/>
      <c r="K29" s="829"/>
    </row>
    <row r="30" spans="1:21" ht="14.55" customHeight="1" x14ac:dyDescent="0.3">
      <c r="C30" s="101" t="str">
        <f>template_label_1_purchased_goods_and_services</f>
        <v>1. Purchased Goods and Services</v>
      </c>
      <c r="D30" s="812"/>
      <c r="E30" s="813"/>
      <c r="F30" s="814"/>
      <c r="G30" s="820"/>
      <c r="H30" s="685"/>
      <c r="I30" s="685"/>
      <c r="J30" s="265"/>
      <c r="K30" s="292" t="str">
        <f>IF(OR(G30="", J30=""), "-", IFERROR(-(1 - (J30 / G30)), "-"))</f>
        <v>-</v>
      </c>
      <c r="L30" s="715" t="str" cm="1">
        <f t="array" ref="L30">IF(
   OR(
      SUMPRODUCT((G30:G44&lt;&gt;"")*(J30:J44="")) &gt; 0,
      SUMPRODUCT((J30:J44&lt;&gt;"")*(G30:G44="")) &gt; 0
   ),
   template_label_missing_value,
   IF(
      AND(G29=TRUE, COUNTA(D30:F44)=0),
      template_label_missing_value,
      IF(G29=FALSE, "", template_label_ok)
   )
)</f>
        <v/>
      </c>
      <c r="M30" s="929"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929"/>
      <c r="O30" s="929"/>
      <c r="P30" s="929"/>
      <c r="Q30" s="929"/>
      <c r="R30" s="929"/>
      <c r="S30" s="929"/>
      <c r="T30" s="929"/>
      <c r="U30" s="929"/>
    </row>
    <row r="31" spans="1:21" x14ac:dyDescent="0.3">
      <c r="C31" s="101" t="str">
        <f>template_label_2_capital_goods</f>
        <v>2. Capital Goods</v>
      </c>
      <c r="D31" s="812"/>
      <c r="E31" s="813"/>
      <c r="F31" s="814"/>
      <c r="G31" s="820"/>
      <c r="H31" s="685"/>
      <c r="I31" s="685"/>
      <c r="J31" s="265"/>
      <c r="K31" s="292" t="str">
        <f t="shared" ref="K31:K44" si="1">IF(OR(G31="", J31=""), "-", IFERROR(-(1 - (J31 / G31)), "-"))</f>
        <v>-</v>
      </c>
      <c r="L31" s="715"/>
      <c r="M31" s="929"/>
      <c r="N31" s="929"/>
      <c r="O31" s="929"/>
      <c r="P31" s="929"/>
      <c r="Q31" s="929"/>
      <c r="R31" s="929"/>
      <c r="S31" s="929"/>
      <c r="T31" s="929"/>
      <c r="U31" s="929"/>
    </row>
    <row r="32" spans="1:21" x14ac:dyDescent="0.3">
      <c r="C32" s="101" t="str">
        <f>template_label_3_fuel__and_energy_related_activities</f>
        <v>3. Fuel- and Energy-Related Activities (Not Included in Scope 1 or Scope 2)</v>
      </c>
      <c r="D32" s="812"/>
      <c r="E32" s="813"/>
      <c r="F32" s="814"/>
      <c r="G32" s="820"/>
      <c r="H32" s="685"/>
      <c r="I32" s="685"/>
      <c r="J32" s="265"/>
      <c r="K32" s="292" t="str">
        <f t="shared" si="1"/>
        <v>-</v>
      </c>
      <c r="L32" s="715"/>
      <c r="M32" s="929"/>
      <c r="N32" s="929"/>
      <c r="O32" s="929"/>
      <c r="P32" s="929"/>
      <c r="Q32" s="929"/>
      <c r="R32" s="929"/>
      <c r="S32" s="929"/>
      <c r="T32" s="929"/>
      <c r="U32" s="929"/>
    </row>
    <row r="33" spans="3:21" x14ac:dyDescent="0.3">
      <c r="C33" s="101" t="str">
        <f>template_label_4_upstream_transportation_and_distribution</f>
        <v>4. Upstream Transportation and Distribution</v>
      </c>
      <c r="D33" s="812"/>
      <c r="E33" s="813"/>
      <c r="F33" s="814"/>
      <c r="G33" s="820"/>
      <c r="H33" s="685"/>
      <c r="I33" s="685"/>
      <c r="J33" s="265"/>
      <c r="K33" s="292" t="str">
        <f t="shared" si="1"/>
        <v>-</v>
      </c>
      <c r="L33" s="715"/>
      <c r="M33" s="929"/>
      <c r="N33" s="929"/>
      <c r="O33" s="929"/>
      <c r="P33" s="929"/>
      <c r="Q33" s="929"/>
      <c r="R33" s="929"/>
      <c r="S33" s="929"/>
      <c r="T33" s="929"/>
      <c r="U33" s="929"/>
    </row>
    <row r="34" spans="3:21" x14ac:dyDescent="0.3">
      <c r="C34" s="101" t="str">
        <f>template_label_5_waste_generated_in_operations</f>
        <v>5. Waste Generated in Operations</v>
      </c>
      <c r="D34" s="812"/>
      <c r="E34" s="813"/>
      <c r="F34" s="814"/>
      <c r="G34" s="820"/>
      <c r="H34" s="685"/>
      <c r="I34" s="685"/>
      <c r="J34" s="265"/>
      <c r="K34" s="292" t="str">
        <f t="shared" si="1"/>
        <v>-</v>
      </c>
      <c r="L34" s="715"/>
      <c r="M34" s="929"/>
      <c r="N34" s="929"/>
      <c r="O34" s="929"/>
      <c r="P34" s="929"/>
      <c r="Q34" s="929"/>
      <c r="R34" s="929"/>
      <c r="S34" s="929"/>
      <c r="T34" s="929"/>
      <c r="U34" s="929"/>
    </row>
    <row r="35" spans="3:21" x14ac:dyDescent="0.3">
      <c r="C35" s="101" t="str">
        <f>template_label_6_business_travel</f>
        <v>6. Business Travel</v>
      </c>
      <c r="D35" s="812"/>
      <c r="E35" s="813"/>
      <c r="F35" s="814"/>
      <c r="G35" s="820"/>
      <c r="H35" s="685"/>
      <c r="I35" s="685"/>
      <c r="J35" s="265"/>
      <c r="K35" s="292" t="str">
        <f t="shared" si="1"/>
        <v>-</v>
      </c>
      <c r="L35" s="715"/>
      <c r="M35" s="929"/>
      <c r="N35" s="929"/>
      <c r="O35" s="929"/>
      <c r="P35" s="929"/>
      <c r="Q35" s="929"/>
      <c r="R35" s="929"/>
      <c r="S35" s="929"/>
      <c r="T35" s="929"/>
      <c r="U35" s="929"/>
    </row>
    <row r="36" spans="3:21" x14ac:dyDescent="0.3">
      <c r="C36" s="101" t="str">
        <f>template_label_7_employee_commuting</f>
        <v>7. Employee Commuting</v>
      </c>
      <c r="D36" s="812"/>
      <c r="E36" s="813"/>
      <c r="F36" s="814"/>
      <c r="G36" s="820"/>
      <c r="H36" s="685"/>
      <c r="I36" s="685"/>
      <c r="J36" s="265"/>
      <c r="K36" s="292" t="str">
        <f t="shared" si="1"/>
        <v>-</v>
      </c>
      <c r="L36" s="715"/>
      <c r="M36" s="929"/>
      <c r="N36" s="929"/>
      <c r="O36" s="929"/>
      <c r="P36" s="929"/>
      <c r="Q36" s="929"/>
      <c r="R36" s="929"/>
      <c r="S36" s="929"/>
      <c r="T36" s="929"/>
      <c r="U36" s="929"/>
    </row>
    <row r="37" spans="3:21" x14ac:dyDescent="0.3">
      <c r="C37" s="101" t="str">
        <f>template_label_8_upstream_leased_assets</f>
        <v>8. Upstream Leased Assets</v>
      </c>
      <c r="D37" s="812"/>
      <c r="E37" s="813"/>
      <c r="F37" s="814"/>
      <c r="G37" s="820"/>
      <c r="H37" s="685"/>
      <c r="I37" s="685"/>
      <c r="J37" s="265"/>
      <c r="K37" s="292" t="str">
        <f t="shared" si="1"/>
        <v>-</v>
      </c>
      <c r="L37" s="715"/>
      <c r="M37" s="929"/>
      <c r="N37" s="929"/>
      <c r="O37" s="929"/>
      <c r="P37" s="929"/>
      <c r="Q37" s="929"/>
      <c r="R37" s="929"/>
      <c r="S37" s="929"/>
      <c r="T37" s="929"/>
      <c r="U37" s="929"/>
    </row>
    <row r="38" spans="3:21" x14ac:dyDescent="0.3">
      <c r="C38" s="101" t="str">
        <f>template_label_9_downstream_transportation_and_distribution</f>
        <v>9. Downstream Transportation and Distribution</v>
      </c>
      <c r="D38" s="812"/>
      <c r="E38" s="813"/>
      <c r="F38" s="814"/>
      <c r="G38" s="820"/>
      <c r="H38" s="685"/>
      <c r="I38" s="685"/>
      <c r="J38" s="265"/>
      <c r="K38" s="292" t="str">
        <f t="shared" si="1"/>
        <v>-</v>
      </c>
      <c r="L38" s="715"/>
      <c r="M38" s="929"/>
      <c r="N38" s="929"/>
      <c r="O38" s="929"/>
      <c r="P38" s="929"/>
      <c r="Q38" s="929"/>
      <c r="R38" s="929"/>
      <c r="S38" s="929"/>
      <c r="T38" s="929"/>
      <c r="U38" s="929"/>
    </row>
    <row r="39" spans="3:21" x14ac:dyDescent="0.3">
      <c r="C39" s="101" t="str">
        <f>template_label_10_processing_of_sold_products</f>
        <v>10. Processing of Sold Products</v>
      </c>
      <c r="D39" s="812"/>
      <c r="E39" s="813"/>
      <c r="F39" s="814"/>
      <c r="G39" s="820"/>
      <c r="H39" s="685"/>
      <c r="I39" s="685"/>
      <c r="J39" s="265"/>
      <c r="K39" s="292" t="str">
        <f t="shared" si="1"/>
        <v>-</v>
      </c>
      <c r="L39" s="715"/>
      <c r="M39" s="929"/>
      <c r="N39" s="929"/>
      <c r="O39" s="929"/>
      <c r="P39" s="929"/>
      <c r="Q39" s="929"/>
      <c r="R39" s="929"/>
      <c r="S39" s="929"/>
      <c r="T39" s="929"/>
      <c r="U39" s="929"/>
    </row>
    <row r="40" spans="3:21" x14ac:dyDescent="0.3">
      <c r="C40" s="101" t="str">
        <f>template_label_11_use_of_sold_products</f>
        <v>11. Use of Sold Products</v>
      </c>
      <c r="D40" s="812"/>
      <c r="E40" s="813"/>
      <c r="F40" s="814"/>
      <c r="G40" s="820"/>
      <c r="H40" s="685"/>
      <c r="I40" s="685"/>
      <c r="J40" s="265"/>
      <c r="K40" s="292" t="str">
        <f t="shared" si="1"/>
        <v>-</v>
      </c>
      <c r="L40" s="715"/>
      <c r="M40" s="929"/>
      <c r="N40" s="929"/>
      <c r="O40" s="929"/>
      <c r="P40" s="929"/>
      <c r="Q40" s="929"/>
      <c r="R40" s="929"/>
      <c r="S40" s="929"/>
      <c r="T40" s="929"/>
      <c r="U40" s="929"/>
    </row>
    <row r="41" spans="3:21" x14ac:dyDescent="0.3">
      <c r="C41" s="101" t="str">
        <f>template_label_12_end_of_life_treatment_of_sold_products</f>
        <v>12. End-of-Life Treatment of Sold Products</v>
      </c>
      <c r="D41" s="812"/>
      <c r="E41" s="813"/>
      <c r="F41" s="814"/>
      <c r="G41" s="820"/>
      <c r="H41" s="685"/>
      <c r="I41" s="685"/>
      <c r="J41" s="265"/>
      <c r="K41" s="292" t="str">
        <f t="shared" si="1"/>
        <v>-</v>
      </c>
      <c r="L41" s="715"/>
      <c r="M41" s="929"/>
      <c r="N41" s="929"/>
      <c r="O41" s="929"/>
      <c r="P41" s="929"/>
      <c r="Q41" s="929"/>
      <c r="R41" s="929"/>
      <c r="S41" s="929"/>
      <c r="T41" s="929"/>
      <c r="U41" s="929"/>
    </row>
    <row r="42" spans="3:21" x14ac:dyDescent="0.3">
      <c r="C42" s="101" t="str">
        <f>template_label_13_downstream_leased_assets</f>
        <v>13. Downstream Leased Assets</v>
      </c>
      <c r="D42" s="812"/>
      <c r="E42" s="813"/>
      <c r="F42" s="814"/>
      <c r="G42" s="820"/>
      <c r="H42" s="685"/>
      <c r="I42" s="685"/>
      <c r="J42" s="265"/>
      <c r="K42" s="292" t="str">
        <f t="shared" si="1"/>
        <v>-</v>
      </c>
      <c r="L42" s="715"/>
      <c r="M42" s="929"/>
      <c r="N42" s="929"/>
      <c r="O42" s="929"/>
      <c r="P42" s="929"/>
      <c r="Q42" s="929"/>
      <c r="R42" s="929"/>
      <c r="S42" s="929"/>
      <c r="T42" s="929"/>
      <c r="U42" s="929"/>
    </row>
    <row r="43" spans="3:21" x14ac:dyDescent="0.3">
      <c r="C43" s="101" t="str">
        <f>template_label_14_franchises</f>
        <v>14. Franchises</v>
      </c>
      <c r="D43" s="812"/>
      <c r="E43" s="813"/>
      <c r="F43" s="814"/>
      <c r="G43" s="820"/>
      <c r="H43" s="685"/>
      <c r="I43" s="685"/>
      <c r="J43" s="265"/>
      <c r="K43" s="292" t="str">
        <f t="shared" si="1"/>
        <v>-</v>
      </c>
      <c r="L43" s="715"/>
      <c r="M43" s="929"/>
      <c r="N43" s="929"/>
      <c r="O43" s="929"/>
      <c r="P43" s="929"/>
      <c r="Q43" s="929"/>
      <c r="R43" s="929"/>
      <c r="S43" s="929"/>
      <c r="T43" s="929"/>
      <c r="U43" s="929"/>
    </row>
    <row r="44" spans="3:21" x14ac:dyDescent="0.3">
      <c r="C44" s="101" t="str">
        <f>template_label_15_investments</f>
        <v>15. Investments</v>
      </c>
      <c r="D44" s="812"/>
      <c r="E44" s="813"/>
      <c r="F44" s="814"/>
      <c r="G44" s="820"/>
      <c r="H44" s="685"/>
      <c r="I44" s="685"/>
      <c r="J44" s="265"/>
      <c r="K44" s="292" t="str">
        <f t="shared" si="1"/>
        <v>-</v>
      </c>
      <c r="L44" s="715"/>
      <c r="M44" s="929"/>
      <c r="N44" s="929"/>
      <c r="O44" s="929"/>
      <c r="P44" s="929"/>
      <c r="Q44" s="929"/>
      <c r="R44" s="929"/>
      <c r="S44" s="929"/>
      <c r="T44" s="929"/>
      <c r="U44" s="929"/>
    </row>
    <row r="45" spans="3:21" ht="15" thickBot="1" x14ac:dyDescent="0.35">
      <c r="C45" s="112" t="str">
        <f>template_label_total_scope_3_ghg_emissions</f>
        <v>Total Scope 3 GHG  emissions</v>
      </c>
      <c r="D45" s="724" t="str">
        <f>IF(AND(G29=FALSE, COUNTA(D30:F44)=0), "-", IF(G29=TRUE, IF(SUM(D30:F44)=0, "-", SUM(D30:F44)), "-"))</f>
        <v>-</v>
      </c>
      <c r="E45" s="724"/>
      <c r="F45" s="817"/>
      <c r="G45" s="943" t="str">
        <f>IF(AND(G29=FALSE, COUNTA(G30:I44)=0), "-", IF(G29=TRUE, IF(SUM(G30:I44)=0, "-", SUM(G30:I44)), "-"))</f>
        <v>-</v>
      </c>
      <c r="H45" s="724"/>
      <c r="I45" s="724"/>
      <c r="J45" s="266" t="str">
        <f>IF(AND(G29=FALSE, COUNTA(J30:J44)=0), "-", IF(G29=TRUE, IF(SUM(J30:J44)=0, "-", SUM(J30:J44)), "-"))</f>
        <v>-</v>
      </c>
      <c r="K45" s="229" t="str">
        <f t="shared" ref="K45:K47" si="2">IF(AND(G45="", J45=""), "-", IFERROR(-(1 - (J45 / G45)), "-"))</f>
        <v>-</v>
      </c>
      <c r="L45" s="16"/>
      <c r="M45" s="929"/>
      <c r="N45" s="929"/>
      <c r="O45" s="929"/>
      <c r="P45" s="929"/>
      <c r="Q45" s="929"/>
      <c r="R45" s="929"/>
      <c r="S45" s="929"/>
      <c r="T45" s="929"/>
      <c r="U45" s="929"/>
    </row>
    <row r="46" spans="3:21" x14ac:dyDescent="0.3">
      <c r="C46" s="13" t="str">
        <f>template_label_total_scope_1_scope_2_and_scope_3_ghg_emissions_location_based</f>
        <v>Total Scope 1 Scope 2 and Scope 3 GHG Emissions (location-based)</v>
      </c>
      <c r="D46" s="759" t="str">
        <f>IF(G29=FALSE, "-", IF(AND(D22="", D23="", D45=""), "-", IF(SUM(D22, D23, D45)=0, "-", SUM(D22, D23, D45))))</f>
        <v>-</v>
      </c>
      <c r="E46" s="759"/>
      <c r="F46" s="777"/>
      <c r="G46" s="790" t="str">
        <f>IF(G29=FALSE, "-", IF(AND(G22="", G23="", G45=""), "-", IF(SUM(G22, G23, G45)=0, "-", SUM(G22, G23, G45))))</f>
        <v>-</v>
      </c>
      <c r="H46" s="759"/>
      <c r="I46" s="759"/>
      <c r="J46" s="262" t="str">
        <f>IF(G29=FALSE, "-", IF(AND(J22="", J23="", J45=""), "-", IF(SUM(J22, J23, J45)=0, "-", SUM(J22, J23, J45))))</f>
        <v>-</v>
      </c>
      <c r="K46" s="230" t="str">
        <f t="shared" si="2"/>
        <v>-</v>
      </c>
      <c r="M46" s="474"/>
      <c r="N46" s="474"/>
      <c r="O46" s="474"/>
      <c r="P46" s="474"/>
      <c r="Q46" s="474"/>
      <c r="R46" s="474"/>
      <c r="S46" s="474"/>
      <c r="T46" s="474"/>
    </row>
    <row r="47" spans="3:21" ht="15" thickBot="1" x14ac:dyDescent="0.35">
      <c r="C47" s="113" t="str">
        <f>template_label_total_scope_1_scope_2_and_scope_3_ghg_emissions_market_based &amp; " - " &amp; template_label_may_not_headline</f>
        <v>Total Scope 1 Scope 2 and Scope 3 GHG Emissions (market-based) - May (optional)</v>
      </c>
      <c r="D47" s="791" t="str">
        <f>IF(G29=FALSE,"-",IF(OR(D22="",D24="",D45=""),"-",SUM(D22,D24,D45)))</f>
        <v>-</v>
      </c>
      <c r="E47" s="760"/>
      <c r="F47" s="792"/>
      <c r="G47" s="793" t="str">
        <f>IF(G29=FALSE, "-", IF(OR(G22="", G24="", G45=""), "-", IF(SUM(G22, G24, G45)=0, "-", SUM(G22, G24, G45))))</f>
        <v>-</v>
      </c>
      <c r="H47" s="760"/>
      <c r="I47" s="761"/>
      <c r="J47" s="264" t="str">
        <f>IF(G29=FALSE, "-", IF(OR(J22="", J24="", J45=""), "-", IF(SUM(J22, J24, J45)=0, "-", SUM(J22, J24, J45))))</f>
        <v>-</v>
      </c>
      <c r="K47" s="229" t="str">
        <f t="shared" si="2"/>
        <v>-</v>
      </c>
      <c r="M47" s="474"/>
      <c r="N47" s="474"/>
      <c r="O47" s="474"/>
      <c r="P47" s="474"/>
      <c r="Q47" s="474"/>
      <c r="R47" s="474"/>
      <c r="S47" s="474"/>
      <c r="T47" s="474"/>
    </row>
    <row r="48" spans="3:21" ht="15" thickBot="1" x14ac:dyDescent="0.35">
      <c r="C48" s="114"/>
      <c r="D48" s="114"/>
      <c r="E48" s="114"/>
      <c r="F48" s="114"/>
      <c r="G48" s="114"/>
      <c r="H48" s="114"/>
      <c r="I48" s="114"/>
      <c r="J48" s="114"/>
      <c r="K48" s="114"/>
    </row>
    <row r="49" spans="1:12" x14ac:dyDescent="0.3">
      <c r="C49" s="785"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 to - [If applicable]</v>
      </c>
      <c r="D49" s="785"/>
      <c r="E49" s="785"/>
      <c r="F49" s="785"/>
      <c r="G49" s="785"/>
      <c r="H49" s="785"/>
      <c r="I49" s="785"/>
      <c r="J49" s="785"/>
      <c r="K49" s="786"/>
      <c r="L49" s="8"/>
    </row>
    <row r="50" spans="1:12" x14ac:dyDescent="0.3">
      <c r="C50" s="576" t="s">
        <v>3748</v>
      </c>
      <c r="D50" s="576"/>
      <c r="E50" s="576"/>
      <c r="F50" s="576"/>
      <c r="G50" s="576"/>
      <c r="H50" s="576"/>
      <c r="I50" s="576"/>
      <c r="J50" s="576"/>
      <c r="K50" s="720"/>
    </row>
    <row r="51" spans="1:12" x14ac:dyDescent="0.3">
      <c r="C51" s="750">
        <v>159</v>
      </c>
      <c r="D51" s="750"/>
      <c r="E51" s="750"/>
      <c r="F51" s="750"/>
      <c r="G51" s="750"/>
      <c r="H51" s="750"/>
      <c r="I51" s="750"/>
      <c r="J51" s="750"/>
      <c r="K51" s="750"/>
      <c r="L51" s="8"/>
    </row>
    <row r="52" spans="1:12" ht="15" thickBot="1" x14ac:dyDescent="0.35">
      <c r="C52" s="783"/>
      <c r="D52" s="783"/>
      <c r="E52" s="783"/>
      <c r="F52" s="783"/>
      <c r="G52" s="783"/>
      <c r="H52" s="783"/>
      <c r="I52" s="783"/>
      <c r="J52" s="783"/>
      <c r="K52" s="784"/>
      <c r="L52" s="104" t="str">
        <f>IF(AND(J19=TRUE, C52&lt;&gt;""), template_label_ok, IF(AND(J19=TRUE, C52=""), template_label_missing_value, ""))</f>
        <v/>
      </c>
    </row>
    <row r="54" spans="1:12" ht="15" thickBot="1" x14ac:dyDescent="0.35">
      <c r="C54" s="9"/>
      <c r="D54" s="9"/>
      <c r="E54" s="9"/>
      <c r="F54" s="9"/>
      <c r="G54" s="9"/>
      <c r="H54" s="9"/>
      <c r="I54" s="9"/>
      <c r="J54" s="9"/>
      <c r="K54" s="9"/>
    </row>
    <row r="55" spans="1:12" x14ac:dyDescent="0.3">
      <c r="C55" s="785"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 to - [If applicable]</v>
      </c>
      <c r="D55" s="785"/>
      <c r="E55" s="785"/>
      <c r="F55" s="785"/>
      <c r="G55" s="785"/>
      <c r="H55" s="785"/>
      <c r="I55" s="785"/>
      <c r="J55" s="785"/>
      <c r="K55" s="890"/>
    </row>
    <row r="56" spans="1:12" ht="38.4" customHeight="1" x14ac:dyDescent="0.3">
      <c r="A56" s="460">
        <v>55</v>
      </c>
      <c r="B56" s="463" t="s">
        <v>5648</v>
      </c>
      <c r="C56" s="101" t="str">
        <f>template_label_is_the_undertaking_operating_in_high_impact_sectors</f>
        <v>Is the undertaking operating in high impact sectors?</v>
      </c>
      <c r="D56" s="800" t="b">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0</v>
      </c>
      <c r="E56" s="801"/>
      <c r="F56" s="801"/>
      <c r="G56" s="801"/>
      <c r="H56" s="801"/>
      <c r="I56" s="801"/>
      <c r="J56" s="801"/>
      <c r="K56" s="802"/>
      <c r="L56" s="16"/>
    </row>
    <row r="57" spans="1:12" x14ac:dyDescent="0.3">
      <c r="A57" s="460">
        <v>55</v>
      </c>
      <c r="B57" s="463" t="s">
        <v>5648</v>
      </c>
      <c r="C57" s="101" t="str">
        <f>template_label_status_of_implementation_of_a_transition_plan_in_relation_to_climate_change_mitigation</f>
        <v>Status of implementation of a transition plan in relation to climate change mitigation</v>
      </c>
      <c r="D57" s="778"/>
      <c r="E57" s="779"/>
      <c r="F57" s="779"/>
      <c r="G57" s="779"/>
      <c r="H57" s="779"/>
      <c r="I57" s="779"/>
      <c r="J57" s="779"/>
      <c r="K57" s="780"/>
      <c r="L57" s="16" t="str">
        <f>IF(AND(OR(D57="A transition plan has already been adopted", D57="Adoption of a transition plan is planned in the future"), D56=TRUE),
    template_label_ok,
    IF(AND(BasisForPreparation="Option B (Basic Module and Comprehensive Module)", D57="", D56=TRUE),
       template_label_missing_value,
       ""
    )
)</f>
        <v/>
      </c>
    </row>
    <row r="58" spans="1:12" ht="28.8" x14ac:dyDescent="0.3">
      <c r="A58" s="460">
        <v>55</v>
      </c>
      <c r="B58" s="463" t="s">
        <v>5648</v>
      </c>
      <c r="C58" s="115"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781"/>
      <c r="E58" s="781"/>
      <c r="F58" s="781"/>
      <c r="G58" s="781"/>
      <c r="H58" s="781"/>
      <c r="I58" s="781"/>
      <c r="J58" s="781"/>
      <c r="K58" s="782"/>
      <c r="L58" s="16" t="str">
        <f>IF(AND(D57="A transition plan has already been adopted", DescriptionOfATransitionPlanForClimateChangeMitigationIncludingAnExplanationOfHowItIsContributingToReduceGhgEmissions&lt;&gt;""), template_label_ok, "")</f>
        <v/>
      </c>
    </row>
    <row r="59" spans="1:12" x14ac:dyDescent="0.3">
      <c r="A59" s="930">
        <v>56</v>
      </c>
      <c r="B59" s="891" t="s">
        <v>5648</v>
      </c>
      <c r="C59" s="794" t="str">
        <f>template_label_date_of_foreseen_adoption_of_transition_plan_for_undertaking_not_having_adopted_transition_plan_yet</f>
        <v>Date of foreseen adoption of transition plan for undertaking not having adopted transition plan yet</v>
      </c>
      <c r="D59" s="937" t="str">
        <f>template_label_year</f>
        <v>Year</v>
      </c>
      <c r="E59" s="938"/>
      <c r="F59" s="938"/>
      <c r="G59" s="938"/>
      <c r="H59" s="939"/>
      <c r="I59" s="940"/>
      <c r="J59" s="941"/>
      <c r="K59" s="942"/>
      <c r="L59" s="914"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x14ac:dyDescent="0.3">
      <c r="A60" s="931"/>
      <c r="B60" s="933"/>
      <c r="C60" s="935"/>
      <c r="D60" s="937" t="str">
        <f>template_label_month</f>
        <v>Month</v>
      </c>
      <c r="E60" s="938"/>
      <c r="F60" s="938"/>
      <c r="G60" s="938"/>
      <c r="H60" s="939"/>
      <c r="I60" s="940"/>
      <c r="J60" s="941"/>
      <c r="K60" s="942"/>
      <c r="L60" s="914"/>
    </row>
    <row r="61" spans="1:12" x14ac:dyDescent="0.3">
      <c r="A61" s="931"/>
      <c r="B61" s="933"/>
      <c r="C61" s="935"/>
      <c r="D61" s="937" t="str">
        <f>template_label_day</f>
        <v>Day</v>
      </c>
      <c r="E61" s="938"/>
      <c r="F61" s="938"/>
      <c r="G61" s="938"/>
      <c r="H61" s="939"/>
      <c r="I61" s="940"/>
      <c r="J61" s="941"/>
      <c r="K61" s="942"/>
      <c r="L61" s="914"/>
    </row>
    <row r="62" spans="1:12" ht="15" thickBot="1" x14ac:dyDescent="0.35">
      <c r="A62" s="932"/>
      <c r="B62" s="934"/>
      <c r="C62" s="936"/>
      <c r="D62" s="798" t="str">
        <f>IF(OR(ISBLANK(I59), ISBLANK(I60), ISBLANK(I61)), "-", I59 &amp; "-" &amp; TEXT(I60, "00") &amp; "-" &amp; TEXT(I61, "00"))</f>
        <v>-</v>
      </c>
      <c r="E62" s="798"/>
      <c r="F62" s="798"/>
      <c r="G62" s="798"/>
      <c r="H62" s="798"/>
      <c r="I62" s="798"/>
      <c r="J62" s="798"/>
      <c r="K62" s="799"/>
      <c r="L62" s="381"/>
    </row>
    <row r="63" spans="1:12" ht="15" thickBot="1" x14ac:dyDescent="0.35"/>
    <row r="64" spans="1:12" ht="14.85" customHeight="1" x14ac:dyDescent="0.3">
      <c r="C64" s="579"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 to - [Always to be reported]</v>
      </c>
      <c r="D64" s="579"/>
      <c r="E64" s="579"/>
      <c r="F64" s="579"/>
      <c r="G64" s="579"/>
      <c r="H64" s="579"/>
      <c r="I64" s="579"/>
      <c r="J64" s="579"/>
      <c r="K64" s="889"/>
    </row>
    <row r="65" spans="3:12" ht="14.85" customHeight="1" x14ac:dyDescent="0.3">
      <c r="C65" s="887">
        <v>31</v>
      </c>
      <c r="D65" s="887"/>
      <c r="E65" s="887"/>
      <c r="F65" s="887"/>
      <c r="G65" s="887"/>
      <c r="H65" s="887"/>
      <c r="I65" s="887"/>
      <c r="J65" s="887"/>
      <c r="K65" s="888"/>
    </row>
    <row r="66" spans="3:12" x14ac:dyDescent="0.3">
      <c r="C66" s="549" t="str">
        <f>template_label_scope_1_and_scope_2_ghg_emissions_intensity_location_based</f>
        <v>Scope 1 and Scope 2 GHG Emissions intensity (location-based)</v>
      </c>
      <c r="D66" s="550"/>
      <c r="E66" s="550"/>
      <c r="F66" s="550"/>
      <c r="G66" s="885" t="str">
        <f>IF(G29=TRUE,
   "-",
   IFERROR(
      IF(OR(D25="", Turnover=""), "-", D25/Turnover),
      "-"
   )
)</f>
        <v>-</v>
      </c>
      <c r="H66" s="885"/>
      <c r="I66" s="885"/>
      <c r="J66" s="885"/>
      <c r="K66" s="886"/>
    </row>
    <row r="67" spans="3:12" x14ac:dyDescent="0.3">
      <c r="C67" s="794" t="str">
        <f>template_label_scope_1_and_scope_2_ghg_emissions_intensity_market_based &amp; " - " &amp; template_label_may_not_headline</f>
        <v>Scope 1 and Scope 2 GHG Emissions intensity (market-based) - May (optional)</v>
      </c>
      <c r="D67" s="795"/>
      <c r="E67" s="795"/>
      <c r="F67" s="795"/>
      <c r="G67" s="796" t="str">
        <f>IF(G29=TRUE,
   "-",
   IFERROR(
      IF(OR(D26="", Turnover=""), "-", D26/Turnover),
      "-"
   )
)</f>
        <v>-</v>
      </c>
      <c r="H67" s="796"/>
      <c r="I67" s="796"/>
      <c r="J67" s="796"/>
      <c r="K67" s="797"/>
    </row>
    <row r="68" spans="3:12" x14ac:dyDescent="0.3">
      <c r="C68" s="549" t="str">
        <f>template_label_total_scope_1_scope_2_and_scope_3_ghg_emissions_intensity_location_based</f>
        <v>Total Scope 1 Scope 2 and Scope 3 GHG Emissions intensity (location-based)</v>
      </c>
      <c r="D68" s="550"/>
      <c r="E68" s="550"/>
      <c r="F68" s="878"/>
      <c r="G68" s="787" t="str">
        <f>IF(G29=FALSE,
   "-",
   IFERROR(
      IF(OR(D46="", Turnover=""), "-", D46/Turnover),
      "-"
   )
)</f>
        <v>-</v>
      </c>
      <c r="H68" s="788"/>
      <c r="I68" s="788"/>
      <c r="J68" s="788"/>
      <c r="K68" s="789"/>
    </row>
    <row r="69" spans="3:12" ht="15" thickBot="1" x14ac:dyDescent="0.35">
      <c r="C69" s="541" t="str">
        <f>template_label_total_scope_1_scope_2_and_scope_3_ghg_emissions_intensity_market_based &amp; " - " &amp; template_label_may_not_headline</f>
        <v>Total Scope 1 Scope 2 and Scope 3 GHG Emissions intensity (market-based) - May (optional)</v>
      </c>
      <c r="D69" s="542"/>
      <c r="E69" s="542"/>
      <c r="F69" s="879"/>
      <c r="G69" s="806" t="str">
        <f>IF(G29=FALSE,
   "-",
   IFERROR(
      IF(OR(D47="", Turnover=""), "-", D47/Turnover),
      "-"
   )
)</f>
        <v>-</v>
      </c>
      <c r="H69" s="807"/>
      <c r="I69" s="807"/>
      <c r="J69" s="807"/>
      <c r="K69" s="808"/>
      <c r="L69" s="8"/>
    </row>
    <row r="70" spans="3:12" ht="15" thickBot="1" x14ac:dyDescent="0.35"/>
    <row r="71" spans="3:12" x14ac:dyDescent="0.3">
      <c r="C71" s="689" t="str">
        <f>template_label_b4_pollution_of_air_water_and_soil&amp;" "&amp;template_label_from&amp;" "&amp;template_starting_date_display&amp;" "&amp;template_label_to&amp;" "&amp;template_ending_date_display&amp;" "&amp;template_label_if_applicable</f>
        <v>B4 – Pollution of air water and soil from - to - [If applicable]</v>
      </c>
      <c r="D71" s="690"/>
      <c r="E71" s="690"/>
      <c r="F71" s="690"/>
      <c r="G71" s="690"/>
      <c r="H71" s="690"/>
      <c r="I71" s="690"/>
      <c r="J71" s="690"/>
      <c r="K71" s="691"/>
    </row>
    <row r="72" spans="3:12" x14ac:dyDescent="0.3">
      <c r="C72" s="692">
        <v>32</v>
      </c>
      <c r="D72" s="693"/>
      <c r="E72" s="693"/>
      <c r="F72" s="693"/>
      <c r="G72" s="693"/>
      <c r="H72" s="693"/>
      <c r="I72" s="693"/>
      <c r="J72" s="693"/>
      <c r="K72" s="694"/>
    </row>
    <row r="73" spans="3:12" x14ac:dyDescent="0.3">
      <c r="C73" s="686" t="s">
        <v>5649</v>
      </c>
      <c r="D73" s="687"/>
      <c r="E73" s="687"/>
      <c r="F73" s="687"/>
      <c r="G73" s="687"/>
      <c r="H73" s="687"/>
      <c r="I73" s="687"/>
      <c r="J73" s="687"/>
      <c r="K73" s="688"/>
    </row>
    <row r="74" spans="3:12" ht="30" customHeight="1" x14ac:dyDescent="0.3">
      <c r="C74" s="568"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11"/>
      <c r="E74" s="811"/>
      <c r="F74" s="569"/>
      <c r="G74" s="803" t="b">
        <v>0</v>
      </c>
      <c r="H74" s="804"/>
      <c r="I74" s="804"/>
      <c r="J74" s="804"/>
      <c r="K74" s="805"/>
      <c r="L74" s="16"/>
    </row>
    <row r="75" spans="3:12" x14ac:dyDescent="0.3">
      <c r="C75" s="549" t="str">
        <f>template_label_is_this_disclosure_already_publicly_available</f>
        <v>Is this disclosure already publicly available?</v>
      </c>
      <c r="D75" s="550"/>
      <c r="E75" s="550"/>
      <c r="F75" s="550"/>
      <c r="G75" s="834" t="b">
        <v>0</v>
      </c>
      <c r="H75" s="834"/>
      <c r="I75" s="834"/>
      <c r="J75" s="834"/>
      <c r="K75" s="835"/>
      <c r="L75" s="16" t="str" cm="1">
        <f t="array" ref="L75">IF(AND(G75=TRUE, D80:K179=""),
    template_label_ok,
    IF(AND(OR(D80:K179&lt;&gt;""), G75=TRUE),
       template_label_value_inconsistency,
       ""
    )
)</f>
        <v/>
      </c>
    </row>
    <row r="76" spans="3:12" x14ac:dyDescent="0.3">
      <c r="C76" s="549" t="str">
        <f>template_label_please_provide_the_relevant_url_link_or_hyperlink_of_where_this_information_is_reported</f>
        <v>Please provide the relevant URL link or hyperlink of where this information is reported</v>
      </c>
      <c r="D76" s="550"/>
      <c r="E76" s="550"/>
      <c r="F76" s="550"/>
      <c r="G76" s="809"/>
      <c r="H76" s="681"/>
      <c r="I76" s="681"/>
      <c r="J76" s="681"/>
      <c r="K76" s="810"/>
      <c r="L76" s="16" t="str">
        <f>IF(G75=TRUE,
   IF(G76="",
      template_label_missing_value,
      IF(OR(LEFT(G76,7)="http://", LEFT(G76,8)="https://", LEFT(G76,4)="www."),
         template_label_ok,
         template_label_invalid_url
      )
   ),
"")</f>
        <v/>
      </c>
    </row>
    <row r="77" spans="3:12" x14ac:dyDescent="0.3">
      <c r="C77" s="831" t="str">
        <f>template_label_please_select_the_unit_used_for_reporting_the_amount</f>
        <v>Please select the unit used for reporting the amount (i.e. either kg or tonne)</v>
      </c>
      <c r="D77" s="832"/>
      <c r="E77" s="832"/>
      <c r="F77" s="832"/>
      <c r="G77" s="832"/>
      <c r="H77" s="832"/>
      <c r="I77" s="832"/>
      <c r="J77" s="832"/>
      <c r="K77" s="833"/>
    </row>
    <row r="78" spans="3:12" x14ac:dyDescent="0.3">
      <c r="C78" s="771"/>
      <c r="D78" s="772"/>
      <c r="E78" s="772"/>
      <c r="F78" s="772"/>
      <c r="G78" s="772"/>
      <c r="H78" s="772"/>
      <c r="I78" s="772"/>
      <c r="J78" s="772"/>
      <c r="K78" s="773"/>
      <c r="L78" s="17" t="str" cm="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IF(AND(OR(D80:F179&lt;&gt;"", G80:I179&lt;&gt;"", J80:J179&lt;&gt;"", G296&lt;&gt;"", K80:K179&lt;&gt;""), C78="", G74=TRUE, G75=FALSE),
                    template_label_missing_value,
                    ""
                )
            )
        )
    )
)</f>
        <v/>
      </c>
    </row>
    <row r="79" spans="3:12" x14ac:dyDescent="0.3">
      <c r="C79" s="117" t="str">
        <f>template_label_row_id</f>
        <v>Row ID</v>
      </c>
      <c r="D79" s="822" t="str">
        <f>template_label_pollutant</f>
        <v>Pollutant</v>
      </c>
      <c r="E79" s="822"/>
      <c r="F79" s="822"/>
      <c r="G79" s="822" t="str">
        <f>template_label_emission_to_air</f>
        <v>Emission to air</v>
      </c>
      <c r="H79" s="822"/>
      <c r="I79" s="822"/>
      <c r="J79" s="6" t="str">
        <f>template_label_emission_to_water</f>
        <v>Emission to water</v>
      </c>
      <c r="K79" s="107" t="str">
        <f>template_label_emission_to_soil</f>
        <v>Emission to soil</v>
      </c>
    </row>
    <row r="80" spans="3:12" x14ac:dyDescent="0.3">
      <c r="C80" s="231">
        <v>1</v>
      </c>
      <c r="D80" s="681"/>
      <c r="E80" s="681"/>
      <c r="F80" s="681"/>
      <c r="G80" s="812"/>
      <c r="H80" s="813"/>
      <c r="I80" s="854"/>
      <c r="J80" s="265"/>
      <c r="K80" s="267"/>
      <c r="L80" s="16" t="str">
        <f>IF(AND($G$74=TRUE,$G$75=TRUE,OR(D80&lt;&gt;"",G80&lt;&gt;"",J80&lt;&gt;"",K80&lt;&gt;"")),
    template_label_value_inconsistency,
IF($G$74&lt;&gt;TRUE, "",
IF(AND(D80="", G80="", J80="", K80=""), "",
IF(AND(D80&lt;&gt;"", G80="", J80="", K80=""), template_label_missing_value,
IF(AND(D80&lt;&gt;"", OR(G80&lt;&gt;"", J80&lt;&gt;"", K80&lt;&gt;"")),
    IF(COUNTIF($D$80:$D$179, D80)&gt;1, template_label_value_inconsistency, template_label_ok),
template_label_missing_value)))))</f>
        <v/>
      </c>
    </row>
    <row r="81" spans="3:13" x14ac:dyDescent="0.3">
      <c r="C81" s="231">
        <v>2</v>
      </c>
      <c r="D81" s="681"/>
      <c r="E81" s="681"/>
      <c r="F81" s="681"/>
      <c r="G81" s="812"/>
      <c r="H81" s="813"/>
      <c r="I81" s="854"/>
      <c r="J81" s="265"/>
      <c r="K81" s="267"/>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spans="3:13" ht="15" thickBot="1" x14ac:dyDescent="0.35">
      <c r="C82" s="233">
        <v>3</v>
      </c>
      <c r="D82" s="923"/>
      <c r="E82" s="923"/>
      <c r="F82" s="923"/>
      <c r="G82" s="919"/>
      <c r="H82" s="920"/>
      <c r="I82" s="921"/>
      <c r="J82" s="268"/>
      <c r="K82" s="269"/>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
      <c r="C83" s="232">
        <v>4</v>
      </c>
      <c r="D83" s="836"/>
      <c r="E83" s="836"/>
      <c r="F83" s="836"/>
      <c r="G83" s="922"/>
      <c r="H83" s="922"/>
      <c r="I83" s="922"/>
      <c r="J83" s="270"/>
      <c r="K83" s="271"/>
      <c r="L83" s="16" t="str">
        <f t="shared" si="3"/>
        <v/>
      </c>
    </row>
    <row r="84" spans="3:13" hidden="1" outlineLevel="1" x14ac:dyDescent="0.3">
      <c r="C84" s="231">
        <v>5</v>
      </c>
      <c r="D84" s="681"/>
      <c r="E84" s="681"/>
      <c r="F84" s="681"/>
      <c r="G84" s="685"/>
      <c r="H84" s="685"/>
      <c r="I84" s="685"/>
      <c r="J84" s="265"/>
      <c r="K84" s="267"/>
      <c r="L84" s="16" t="str">
        <f t="shared" si="3"/>
        <v/>
      </c>
    </row>
    <row r="85" spans="3:13" hidden="1" outlineLevel="1" x14ac:dyDescent="0.3">
      <c r="C85" s="231">
        <v>6</v>
      </c>
      <c r="D85" s="681"/>
      <c r="E85" s="681"/>
      <c r="F85" s="681"/>
      <c r="G85" s="685"/>
      <c r="H85" s="685"/>
      <c r="I85" s="685"/>
      <c r="J85" s="265"/>
      <c r="K85" s="267"/>
      <c r="L85" s="16" t="str">
        <f t="shared" si="3"/>
        <v/>
      </c>
    </row>
    <row r="86" spans="3:13" hidden="1" outlineLevel="1" x14ac:dyDescent="0.3">
      <c r="C86" s="231">
        <v>7</v>
      </c>
      <c r="D86" s="681"/>
      <c r="E86" s="681"/>
      <c r="F86" s="681"/>
      <c r="G86" s="685"/>
      <c r="H86" s="685"/>
      <c r="I86" s="685"/>
      <c r="J86" s="265"/>
      <c r="K86" s="267"/>
      <c r="L86" s="16" t="str">
        <f t="shared" si="3"/>
        <v/>
      </c>
    </row>
    <row r="87" spans="3:13" hidden="1" outlineLevel="1" x14ac:dyDescent="0.3">
      <c r="C87" s="231">
        <v>8</v>
      </c>
      <c r="D87" s="681"/>
      <c r="E87" s="681"/>
      <c r="F87" s="681"/>
      <c r="G87" s="685"/>
      <c r="H87" s="685"/>
      <c r="I87" s="685"/>
      <c r="J87" s="265"/>
      <c r="K87" s="267"/>
      <c r="L87" s="16" t="str">
        <f t="shared" si="3"/>
        <v/>
      </c>
    </row>
    <row r="88" spans="3:13" hidden="1" outlineLevel="1" x14ac:dyDescent="0.3">
      <c r="C88" s="231">
        <v>9</v>
      </c>
      <c r="D88" s="681"/>
      <c r="E88" s="681"/>
      <c r="F88" s="681"/>
      <c r="G88" s="685"/>
      <c r="H88" s="685"/>
      <c r="I88" s="685"/>
      <c r="J88" s="265"/>
      <c r="K88" s="267"/>
      <c r="L88" s="16" t="str">
        <f t="shared" si="3"/>
        <v/>
      </c>
    </row>
    <row r="89" spans="3:13" hidden="1" outlineLevel="1" x14ac:dyDescent="0.3">
      <c r="C89" s="231">
        <v>10</v>
      </c>
      <c r="D89" s="681"/>
      <c r="E89" s="681"/>
      <c r="F89" s="681"/>
      <c r="G89" s="685"/>
      <c r="H89" s="685"/>
      <c r="I89" s="685"/>
      <c r="J89" s="265"/>
      <c r="K89" s="267"/>
      <c r="L89" s="16" t="str">
        <f t="shared" si="3"/>
        <v/>
      </c>
    </row>
    <row r="90" spans="3:13" hidden="1" outlineLevel="1" x14ac:dyDescent="0.3">
      <c r="C90" s="231">
        <v>11</v>
      </c>
      <c r="D90" s="681"/>
      <c r="E90" s="681"/>
      <c r="F90" s="681"/>
      <c r="G90" s="685"/>
      <c r="H90" s="685"/>
      <c r="I90" s="685"/>
      <c r="J90" s="265"/>
      <c r="K90" s="267"/>
      <c r="L90" s="16" t="str">
        <f t="shared" si="3"/>
        <v/>
      </c>
    </row>
    <row r="91" spans="3:13" hidden="1" outlineLevel="1" x14ac:dyDescent="0.3">
      <c r="C91" s="231">
        <v>12</v>
      </c>
      <c r="D91" s="681"/>
      <c r="E91" s="681"/>
      <c r="F91" s="681"/>
      <c r="G91" s="685"/>
      <c r="H91" s="685"/>
      <c r="I91" s="685"/>
      <c r="J91" s="265"/>
      <c r="K91" s="267"/>
      <c r="L91" s="16" t="str">
        <f t="shared" si="3"/>
        <v/>
      </c>
    </row>
    <row r="92" spans="3:13" hidden="1" outlineLevel="1" x14ac:dyDescent="0.3">
      <c r="C92" s="231">
        <v>13</v>
      </c>
      <c r="D92" s="681"/>
      <c r="E92" s="681"/>
      <c r="F92" s="681"/>
      <c r="G92" s="685"/>
      <c r="H92" s="685"/>
      <c r="I92" s="685"/>
      <c r="J92" s="265"/>
      <c r="K92" s="267"/>
      <c r="L92" s="16" t="str">
        <f t="shared" si="3"/>
        <v/>
      </c>
    </row>
    <row r="93" spans="3:13" hidden="1" outlineLevel="1" x14ac:dyDescent="0.3">
      <c r="C93" s="231">
        <v>14</v>
      </c>
      <c r="D93" s="681"/>
      <c r="E93" s="681"/>
      <c r="F93" s="681"/>
      <c r="G93" s="685"/>
      <c r="H93" s="685"/>
      <c r="I93" s="685"/>
      <c r="J93" s="265"/>
      <c r="K93" s="267"/>
      <c r="L93" s="16" t="str">
        <f t="shared" si="3"/>
        <v/>
      </c>
    </row>
    <row r="94" spans="3:13" hidden="1" outlineLevel="1" x14ac:dyDescent="0.3">
      <c r="C94" s="231">
        <v>15</v>
      </c>
      <c r="D94" s="681"/>
      <c r="E94" s="681"/>
      <c r="F94" s="681"/>
      <c r="G94" s="685"/>
      <c r="H94" s="685"/>
      <c r="I94" s="685"/>
      <c r="J94" s="265"/>
      <c r="K94" s="267"/>
      <c r="L94" s="16" t="str">
        <f t="shared" si="3"/>
        <v/>
      </c>
    </row>
    <row r="95" spans="3:13" hidden="1" outlineLevel="1" x14ac:dyDescent="0.3">
      <c r="C95" s="231">
        <v>16</v>
      </c>
      <c r="D95" s="681"/>
      <c r="E95" s="681"/>
      <c r="F95" s="681"/>
      <c r="G95" s="685"/>
      <c r="H95" s="685"/>
      <c r="I95" s="685"/>
      <c r="J95" s="265"/>
      <c r="K95" s="267"/>
      <c r="L95" s="16" t="str">
        <f t="shared" si="3"/>
        <v/>
      </c>
    </row>
    <row r="96" spans="3:13" hidden="1" outlineLevel="1" x14ac:dyDescent="0.3">
      <c r="C96" s="231">
        <v>17</v>
      </c>
      <c r="D96" s="681"/>
      <c r="E96" s="681"/>
      <c r="F96" s="681"/>
      <c r="G96" s="685"/>
      <c r="H96" s="685"/>
      <c r="I96" s="685"/>
      <c r="J96" s="265"/>
      <c r="K96" s="267"/>
      <c r="L96" s="16" t="str">
        <f t="shared" si="3"/>
        <v/>
      </c>
    </row>
    <row r="97" spans="3:13" hidden="1" outlineLevel="1" x14ac:dyDescent="0.3">
      <c r="C97" s="231">
        <v>18</v>
      </c>
      <c r="D97" s="681"/>
      <c r="E97" s="681"/>
      <c r="F97" s="681"/>
      <c r="G97" s="685"/>
      <c r="H97" s="685"/>
      <c r="I97" s="685"/>
      <c r="J97" s="265"/>
      <c r="K97" s="267"/>
      <c r="L97" s="16" t="str">
        <f t="shared" si="3"/>
        <v/>
      </c>
    </row>
    <row r="98" spans="3:13" hidden="1" outlineLevel="1" x14ac:dyDescent="0.3">
      <c r="C98" s="231">
        <v>19</v>
      </c>
      <c r="D98" s="681"/>
      <c r="E98" s="681"/>
      <c r="F98" s="681"/>
      <c r="G98" s="685"/>
      <c r="H98" s="685"/>
      <c r="I98" s="685"/>
      <c r="J98" s="265"/>
      <c r="K98" s="267"/>
      <c r="L98" s="16" t="str">
        <f t="shared" si="3"/>
        <v/>
      </c>
    </row>
    <row r="99" spans="3:13" hidden="1" outlineLevel="1" x14ac:dyDescent="0.3">
      <c r="C99" s="231">
        <v>20</v>
      </c>
      <c r="D99" s="681"/>
      <c r="E99" s="681"/>
      <c r="F99" s="681"/>
      <c r="G99" s="685"/>
      <c r="H99" s="685"/>
      <c r="I99" s="685"/>
      <c r="J99" s="265"/>
      <c r="K99" s="267"/>
      <c r="L99" s="16" t="str">
        <f t="shared" si="3"/>
        <v/>
      </c>
    </row>
    <row r="100" spans="3:13" hidden="1" outlineLevel="1" x14ac:dyDescent="0.3">
      <c r="C100" s="231">
        <v>21</v>
      </c>
      <c r="D100" s="681"/>
      <c r="E100" s="681"/>
      <c r="F100" s="681"/>
      <c r="G100" s="685"/>
      <c r="H100" s="685"/>
      <c r="I100" s="685"/>
      <c r="J100" s="265"/>
      <c r="K100" s="267"/>
      <c r="L100" s="16" t="str">
        <f t="shared" si="3"/>
        <v/>
      </c>
    </row>
    <row r="101" spans="3:13" hidden="1" outlineLevel="1" x14ac:dyDescent="0.3">
      <c r="C101" s="231">
        <v>22</v>
      </c>
      <c r="D101" s="681"/>
      <c r="E101" s="681"/>
      <c r="F101" s="681"/>
      <c r="G101" s="685"/>
      <c r="H101" s="685"/>
      <c r="I101" s="685"/>
      <c r="J101" s="265"/>
      <c r="K101" s="267"/>
      <c r="L101" s="16" t="str">
        <f t="shared" si="3"/>
        <v/>
      </c>
    </row>
    <row r="102" spans="3:13" hidden="1" outlineLevel="1" x14ac:dyDescent="0.3">
      <c r="C102" s="231">
        <v>23</v>
      </c>
      <c r="D102" s="681"/>
      <c r="E102" s="681"/>
      <c r="F102" s="681"/>
      <c r="G102" s="685"/>
      <c r="H102" s="685"/>
      <c r="I102" s="685"/>
      <c r="J102" s="265"/>
      <c r="K102" s="267"/>
      <c r="L102" s="16" t="str">
        <f t="shared" si="3"/>
        <v/>
      </c>
    </row>
    <row r="103" spans="3:13" hidden="1" outlineLevel="1" x14ac:dyDescent="0.3">
      <c r="C103" s="231">
        <v>24</v>
      </c>
      <c r="D103" s="681"/>
      <c r="E103" s="681"/>
      <c r="F103" s="681"/>
      <c r="G103" s="685"/>
      <c r="H103" s="685"/>
      <c r="I103" s="685"/>
      <c r="J103" s="265"/>
      <c r="K103" s="267"/>
      <c r="L103" s="16" t="str">
        <f t="shared" si="3"/>
        <v/>
      </c>
    </row>
    <row r="104" spans="3:13" hidden="1" outlineLevel="1" x14ac:dyDescent="0.3">
      <c r="C104" s="231">
        <v>25</v>
      </c>
      <c r="D104" s="681"/>
      <c r="E104" s="681"/>
      <c r="F104" s="681"/>
      <c r="G104" s="685"/>
      <c r="H104" s="685"/>
      <c r="I104" s="685"/>
      <c r="J104" s="265"/>
      <c r="K104" s="267"/>
      <c r="L104" s="16" t="str">
        <f t="shared" si="3"/>
        <v/>
      </c>
    </row>
    <row r="105" spans="3:13" hidden="1" outlineLevel="1" x14ac:dyDescent="0.3">
      <c r="C105" s="231">
        <v>26</v>
      </c>
      <c r="D105" s="681"/>
      <c r="E105" s="681"/>
      <c r="F105" s="681"/>
      <c r="G105" s="685"/>
      <c r="H105" s="685"/>
      <c r="I105" s="685"/>
      <c r="J105" s="265"/>
      <c r="K105" s="267"/>
      <c r="L105" s="16" t="str">
        <f t="shared" si="3"/>
        <v/>
      </c>
    </row>
    <row r="106" spans="3:13" hidden="1" outlineLevel="1" x14ac:dyDescent="0.3">
      <c r="C106" s="231">
        <v>27</v>
      </c>
      <c r="D106" s="681"/>
      <c r="E106" s="681"/>
      <c r="F106" s="681"/>
      <c r="G106" s="685"/>
      <c r="H106" s="685"/>
      <c r="I106" s="685"/>
      <c r="J106" s="265"/>
      <c r="K106" s="267"/>
      <c r="L106" s="16" t="str">
        <f t="shared" si="3"/>
        <v/>
      </c>
    </row>
    <row r="107" spans="3:13" hidden="1" outlineLevel="1" x14ac:dyDescent="0.3">
      <c r="C107" s="231">
        <v>28</v>
      </c>
      <c r="D107" s="681"/>
      <c r="E107" s="681"/>
      <c r="F107" s="681"/>
      <c r="G107" s="685"/>
      <c r="H107" s="685"/>
      <c r="I107" s="685"/>
      <c r="J107" s="265"/>
      <c r="K107" s="267"/>
      <c r="L107" s="16" t="str">
        <f t="shared" si="3"/>
        <v/>
      </c>
    </row>
    <row r="108" spans="3:13" hidden="1" outlineLevel="1" x14ac:dyDescent="0.3">
      <c r="C108" s="231">
        <v>29</v>
      </c>
      <c r="D108" s="681"/>
      <c r="E108" s="681"/>
      <c r="F108" s="681"/>
      <c r="G108" s="685"/>
      <c r="H108" s="685"/>
      <c r="I108" s="685"/>
      <c r="J108" s="265"/>
      <c r="K108" s="267"/>
      <c r="L108" s="16" t="str">
        <f t="shared" si="3"/>
        <v/>
      </c>
      <c r="M108" s="118"/>
    </row>
    <row r="109" spans="3:13" hidden="1" outlineLevel="1" x14ac:dyDescent="0.3">
      <c r="C109" s="231">
        <v>30</v>
      </c>
      <c r="D109" s="681"/>
      <c r="E109" s="681"/>
      <c r="F109" s="681"/>
      <c r="G109" s="685"/>
      <c r="H109" s="685"/>
      <c r="I109" s="685"/>
      <c r="J109" s="265"/>
      <c r="K109" s="267"/>
      <c r="L109" s="16" t="str">
        <f t="shared" si="3"/>
        <v/>
      </c>
    </row>
    <row r="110" spans="3:13" hidden="1" outlineLevel="1" x14ac:dyDescent="0.3">
      <c r="C110" s="231">
        <v>31</v>
      </c>
      <c r="D110" s="681"/>
      <c r="E110" s="681"/>
      <c r="F110" s="681"/>
      <c r="G110" s="685"/>
      <c r="H110" s="685"/>
      <c r="I110" s="685"/>
      <c r="J110" s="265"/>
      <c r="K110" s="267"/>
      <c r="L110" s="16" t="str">
        <f t="shared" si="3"/>
        <v/>
      </c>
    </row>
    <row r="111" spans="3:13" hidden="1" outlineLevel="1" x14ac:dyDescent="0.3">
      <c r="C111" s="231">
        <v>32</v>
      </c>
      <c r="D111" s="681"/>
      <c r="E111" s="681"/>
      <c r="F111" s="681"/>
      <c r="G111" s="685"/>
      <c r="H111" s="685"/>
      <c r="I111" s="685"/>
      <c r="J111" s="265"/>
      <c r="K111" s="267"/>
      <c r="L111" s="16" t="str">
        <f t="shared" si="3"/>
        <v/>
      </c>
    </row>
    <row r="112" spans="3:13" hidden="1" outlineLevel="1" x14ac:dyDescent="0.3">
      <c r="C112" s="231">
        <v>33</v>
      </c>
      <c r="D112" s="681"/>
      <c r="E112" s="681"/>
      <c r="F112" s="681"/>
      <c r="G112" s="685"/>
      <c r="H112" s="685"/>
      <c r="I112" s="685"/>
      <c r="J112" s="265"/>
      <c r="K112" s="267"/>
      <c r="L112" s="16" t="str">
        <f t="shared" si="3"/>
        <v/>
      </c>
    </row>
    <row r="113" spans="3:12" hidden="1" outlineLevel="1" x14ac:dyDescent="0.3">
      <c r="C113" s="231">
        <v>34</v>
      </c>
      <c r="D113" s="681"/>
      <c r="E113" s="681"/>
      <c r="F113" s="681"/>
      <c r="G113" s="685"/>
      <c r="H113" s="685"/>
      <c r="I113" s="685"/>
      <c r="J113" s="265"/>
      <c r="K113" s="267"/>
      <c r="L113" s="16" t="str">
        <f t="shared" si="3"/>
        <v/>
      </c>
    </row>
    <row r="114" spans="3:12" hidden="1" outlineLevel="1" x14ac:dyDescent="0.3">
      <c r="C114" s="231">
        <v>35</v>
      </c>
      <c r="D114" s="681"/>
      <c r="E114" s="681"/>
      <c r="F114" s="681"/>
      <c r="G114" s="685"/>
      <c r="H114" s="685"/>
      <c r="I114" s="685"/>
      <c r="J114" s="265"/>
      <c r="K114" s="267"/>
      <c r="L114" s="16" t="str">
        <f t="shared" si="3"/>
        <v/>
      </c>
    </row>
    <row r="115" spans="3:12" hidden="1" outlineLevel="1" x14ac:dyDescent="0.3">
      <c r="C115" s="231">
        <v>36</v>
      </c>
      <c r="D115" s="681"/>
      <c r="E115" s="681"/>
      <c r="F115" s="681"/>
      <c r="G115" s="685"/>
      <c r="H115" s="685"/>
      <c r="I115" s="685"/>
      <c r="J115" s="265"/>
      <c r="K115" s="267"/>
      <c r="L115" s="16" t="str">
        <f t="shared" si="3"/>
        <v/>
      </c>
    </row>
    <row r="116" spans="3:12" hidden="1" outlineLevel="1" x14ac:dyDescent="0.3">
      <c r="C116" s="231">
        <v>37</v>
      </c>
      <c r="D116" s="681"/>
      <c r="E116" s="681"/>
      <c r="F116" s="681"/>
      <c r="G116" s="685"/>
      <c r="H116" s="685"/>
      <c r="I116" s="685"/>
      <c r="J116" s="265"/>
      <c r="K116" s="267"/>
      <c r="L116" s="16" t="str">
        <f t="shared" si="3"/>
        <v/>
      </c>
    </row>
    <row r="117" spans="3:12" hidden="1" outlineLevel="1" x14ac:dyDescent="0.3">
      <c r="C117" s="231">
        <v>38</v>
      </c>
      <c r="D117" s="681"/>
      <c r="E117" s="681"/>
      <c r="F117" s="681"/>
      <c r="G117" s="685"/>
      <c r="H117" s="685"/>
      <c r="I117" s="685"/>
      <c r="J117" s="265"/>
      <c r="K117" s="267"/>
      <c r="L117" s="16" t="str">
        <f t="shared" si="3"/>
        <v/>
      </c>
    </row>
    <row r="118" spans="3:12" hidden="1" outlineLevel="1" x14ac:dyDescent="0.3">
      <c r="C118" s="231">
        <v>39</v>
      </c>
      <c r="D118" s="681"/>
      <c r="E118" s="681"/>
      <c r="F118" s="681"/>
      <c r="G118" s="685"/>
      <c r="H118" s="685"/>
      <c r="I118" s="685"/>
      <c r="J118" s="265"/>
      <c r="K118" s="267"/>
      <c r="L118" s="16" t="str">
        <f t="shared" si="3"/>
        <v/>
      </c>
    </row>
    <row r="119" spans="3:12" hidden="1" outlineLevel="1" x14ac:dyDescent="0.3">
      <c r="C119" s="231">
        <v>40</v>
      </c>
      <c r="D119" s="681"/>
      <c r="E119" s="681"/>
      <c r="F119" s="681"/>
      <c r="G119" s="685"/>
      <c r="H119" s="685"/>
      <c r="I119" s="685"/>
      <c r="J119" s="265"/>
      <c r="K119" s="267"/>
      <c r="L119" s="16" t="str">
        <f t="shared" si="3"/>
        <v/>
      </c>
    </row>
    <row r="120" spans="3:12" hidden="1" outlineLevel="1" x14ac:dyDescent="0.3">
      <c r="C120" s="231">
        <v>41</v>
      </c>
      <c r="D120" s="681"/>
      <c r="E120" s="681"/>
      <c r="F120" s="681"/>
      <c r="G120" s="685"/>
      <c r="H120" s="685"/>
      <c r="I120" s="685"/>
      <c r="J120" s="265"/>
      <c r="K120" s="267"/>
      <c r="L120" s="16" t="str">
        <f t="shared" si="3"/>
        <v/>
      </c>
    </row>
    <row r="121" spans="3:12" hidden="1" outlineLevel="1" x14ac:dyDescent="0.3">
      <c r="C121" s="231">
        <v>42</v>
      </c>
      <c r="D121" s="681"/>
      <c r="E121" s="681"/>
      <c r="F121" s="681"/>
      <c r="G121" s="685"/>
      <c r="H121" s="685"/>
      <c r="I121" s="685"/>
      <c r="J121" s="265"/>
      <c r="K121" s="267"/>
      <c r="L121" s="16" t="str">
        <f t="shared" si="3"/>
        <v/>
      </c>
    </row>
    <row r="122" spans="3:12" hidden="1" outlineLevel="1" x14ac:dyDescent="0.3">
      <c r="C122" s="231">
        <v>43</v>
      </c>
      <c r="D122" s="681"/>
      <c r="E122" s="681"/>
      <c r="F122" s="681"/>
      <c r="G122" s="685"/>
      <c r="H122" s="685"/>
      <c r="I122" s="685"/>
      <c r="J122" s="265"/>
      <c r="K122" s="267"/>
      <c r="L122" s="16" t="str">
        <f t="shared" si="3"/>
        <v/>
      </c>
    </row>
    <row r="123" spans="3:12" hidden="1" outlineLevel="1" x14ac:dyDescent="0.3">
      <c r="C123" s="231">
        <v>44</v>
      </c>
      <c r="D123" s="681"/>
      <c r="E123" s="681"/>
      <c r="F123" s="681"/>
      <c r="G123" s="685"/>
      <c r="H123" s="685"/>
      <c r="I123" s="685"/>
      <c r="J123" s="265"/>
      <c r="K123" s="267"/>
      <c r="L123" s="16" t="str">
        <f t="shared" si="3"/>
        <v/>
      </c>
    </row>
    <row r="124" spans="3:12" hidden="1" outlineLevel="1" x14ac:dyDescent="0.3">
      <c r="C124" s="231">
        <v>45</v>
      </c>
      <c r="D124" s="681"/>
      <c r="E124" s="681"/>
      <c r="F124" s="681"/>
      <c r="G124" s="685"/>
      <c r="H124" s="685"/>
      <c r="I124" s="685"/>
      <c r="J124" s="265"/>
      <c r="K124" s="267"/>
      <c r="L124" s="16" t="str">
        <f t="shared" si="3"/>
        <v/>
      </c>
    </row>
    <row r="125" spans="3:12" hidden="1" outlineLevel="1" x14ac:dyDescent="0.3">
      <c r="C125" s="231">
        <v>46</v>
      </c>
      <c r="D125" s="681"/>
      <c r="E125" s="681"/>
      <c r="F125" s="681"/>
      <c r="G125" s="685"/>
      <c r="H125" s="685"/>
      <c r="I125" s="685"/>
      <c r="J125" s="265"/>
      <c r="K125" s="267"/>
      <c r="L125" s="16" t="str">
        <f t="shared" si="3"/>
        <v/>
      </c>
    </row>
    <row r="126" spans="3:12" hidden="1" outlineLevel="1" x14ac:dyDescent="0.3">
      <c r="C126" s="231">
        <v>47</v>
      </c>
      <c r="D126" s="681"/>
      <c r="E126" s="681"/>
      <c r="F126" s="681"/>
      <c r="G126" s="685"/>
      <c r="H126" s="685"/>
      <c r="I126" s="685"/>
      <c r="J126" s="265"/>
      <c r="K126" s="267"/>
      <c r="L126" s="16" t="str">
        <f t="shared" si="3"/>
        <v/>
      </c>
    </row>
    <row r="127" spans="3:12" hidden="1" outlineLevel="1" x14ac:dyDescent="0.3">
      <c r="C127" s="231">
        <v>48</v>
      </c>
      <c r="D127" s="681"/>
      <c r="E127" s="681"/>
      <c r="F127" s="681"/>
      <c r="G127" s="685"/>
      <c r="H127" s="685"/>
      <c r="I127" s="685"/>
      <c r="J127" s="265"/>
      <c r="K127" s="267"/>
      <c r="L127" s="16" t="str">
        <f t="shared" si="3"/>
        <v/>
      </c>
    </row>
    <row r="128" spans="3:12" hidden="1" outlineLevel="1" x14ac:dyDescent="0.3">
      <c r="C128" s="231">
        <v>49</v>
      </c>
      <c r="D128" s="681"/>
      <c r="E128" s="681"/>
      <c r="F128" s="681"/>
      <c r="G128" s="685"/>
      <c r="H128" s="685"/>
      <c r="I128" s="685"/>
      <c r="J128" s="265"/>
      <c r="K128" s="267"/>
      <c r="L128" s="16" t="str">
        <f t="shared" si="3"/>
        <v/>
      </c>
    </row>
    <row r="129" spans="3:12" hidden="1" outlineLevel="1" x14ac:dyDescent="0.3">
      <c r="C129" s="231">
        <v>50</v>
      </c>
      <c r="D129" s="681"/>
      <c r="E129" s="681"/>
      <c r="F129" s="681"/>
      <c r="G129" s="685"/>
      <c r="H129" s="685"/>
      <c r="I129" s="685"/>
      <c r="J129" s="265"/>
      <c r="K129" s="267"/>
      <c r="L129" s="16" t="str">
        <f t="shared" si="3"/>
        <v/>
      </c>
    </row>
    <row r="130" spans="3:12" hidden="1" outlineLevel="1" x14ac:dyDescent="0.3">
      <c r="C130" s="231">
        <v>51</v>
      </c>
      <c r="D130" s="681"/>
      <c r="E130" s="681"/>
      <c r="F130" s="681"/>
      <c r="G130" s="685"/>
      <c r="H130" s="685"/>
      <c r="I130" s="685"/>
      <c r="J130" s="265"/>
      <c r="K130" s="267"/>
      <c r="L130" s="16" t="str">
        <f t="shared" si="3"/>
        <v/>
      </c>
    </row>
    <row r="131" spans="3:12" hidden="1" outlineLevel="1" x14ac:dyDescent="0.3">
      <c r="C131" s="231">
        <v>52</v>
      </c>
      <c r="D131" s="681"/>
      <c r="E131" s="681"/>
      <c r="F131" s="681"/>
      <c r="G131" s="685"/>
      <c r="H131" s="685"/>
      <c r="I131" s="685"/>
      <c r="J131" s="265"/>
      <c r="K131" s="267"/>
      <c r="L131" s="16" t="str">
        <f t="shared" si="3"/>
        <v/>
      </c>
    </row>
    <row r="132" spans="3:12" hidden="1" outlineLevel="1" x14ac:dyDescent="0.3">
      <c r="C132" s="231">
        <v>53</v>
      </c>
      <c r="D132" s="681"/>
      <c r="E132" s="681"/>
      <c r="F132" s="681"/>
      <c r="G132" s="685"/>
      <c r="H132" s="685"/>
      <c r="I132" s="685"/>
      <c r="J132" s="265"/>
      <c r="K132" s="267"/>
      <c r="L132" s="16" t="str">
        <f t="shared" si="3"/>
        <v/>
      </c>
    </row>
    <row r="133" spans="3:12" hidden="1" outlineLevel="1" x14ac:dyDescent="0.3">
      <c r="C133" s="231">
        <v>54</v>
      </c>
      <c r="D133" s="681"/>
      <c r="E133" s="681"/>
      <c r="F133" s="681"/>
      <c r="G133" s="685"/>
      <c r="H133" s="685"/>
      <c r="I133" s="685"/>
      <c r="J133" s="265"/>
      <c r="K133" s="267"/>
      <c r="L133" s="16" t="str">
        <f t="shared" si="3"/>
        <v/>
      </c>
    </row>
    <row r="134" spans="3:12" hidden="1" outlineLevel="1" x14ac:dyDescent="0.3">
      <c r="C134" s="231">
        <v>55</v>
      </c>
      <c r="D134" s="681"/>
      <c r="E134" s="681"/>
      <c r="F134" s="681"/>
      <c r="G134" s="685"/>
      <c r="H134" s="685"/>
      <c r="I134" s="685"/>
      <c r="J134" s="265"/>
      <c r="K134" s="267"/>
      <c r="L134" s="16" t="str">
        <f t="shared" si="3"/>
        <v/>
      </c>
    </row>
    <row r="135" spans="3:12" hidden="1" outlineLevel="1" x14ac:dyDescent="0.3">
      <c r="C135" s="231">
        <v>56</v>
      </c>
      <c r="D135" s="681"/>
      <c r="E135" s="681"/>
      <c r="F135" s="681"/>
      <c r="G135" s="685"/>
      <c r="H135" s="685"/>
      <c r="I135" s="685"/>
      <c r="J135" s="265"/>
      <c r="K135" s="267"/>
      <c r="L135" s="16" t="str">
        <f t="shared" si="3"/>
        <v/>
      </c>
    </row>
    <row r="136" spans="3:12" hidden="1" outlineLevel="1" x14ac:dyDescent="0.3">
      <c r="C136" s="231">
        <v>57</v>
      </c>
      <c r="D136" s="681"/>
      <c r="E136" s="681"/>
      <c r="F136" s="681"/>
      <c r="G136" s="685"/>
      <c r="H136" s="685"/>
      <c r="I136" s="685"/>
      <c r="J136" s="265"/>
      <c r="K136" s="267"/>
      <c r="L136" s="16" t="str">
        <f t="shared" si="3"/>
        <v/>
      </c>
    </row>
    <row r="137" spans="3:12" hidden="1" outlineLevel="1" x14ac:dyDescent="0.3">
      <c r="C137" s="231">
        <v>58</v>
      </c>
      <c r="D137" s="681"/>
      <c r="E137" s="681"/>
      <c r="F137" s="681"/>
      <c r="G137" s="685"/>
      <c r="H137" s="685"/>
      <c r="I137" s="685"/>
      <c r="J137" s="265"/>
      <c r="K137" s="267"/>
      <c r="L137" s="16" t="str">
        <f t="shared" si="3"/>
        <v/>
      </c>
    </row>
    <row r="138" spans="3:12" hidden="1" outlineLevel="1" x14ac:dyDescent="0.3">
      <c r="C138" s="231">
        <v>59</v>
      </c>
      <c r="D138" s="681"/>
      <c r="E138" s="681"/>
      <c r="F138" s="681"/>
      <c r="G138" s="685"/>
      <c r="H138" s="685"/>
      <c r="I138" s="685"/>
      <c r="J138" s="265"/>
      <c r="K138" s="267"/>
      <c r="L138" s="16" t="str">
        <f t="shared" si="3"/>
        <v/>
      </c>
    </row>
    <row r="139" spans="3:12" hidden="1" outlineLevel="1" x14ac:dyDescent="0.3">
      <c r="C139" s="231">
        <v>60</v>
      </c>
      <c r="D139" s="681"/>
      <c r="E139" s="681"/>
      <c r="F139" s="681"/>
      <c r="G139" s="685"/>
      <c r="H139" s="685"/>
      <c r="I139" s="685"/>
      <c r="J139" s="265"/>
      <c r="K139" s="267"/>
      <c r="L139" s="16" t="str">
        <f t="shared" si="3"/>
        <v/>
      </c>
    </row>
    <row r="140" spans="3:12" hidden="1" outlineLevel="1" x14ac:dyDescent="0.3">
      <c r="C140" s="231">
        <v>61</v>
      </c>
      <c r="D140" s="681"/>
      <c r="E140" s="681"/>
      <c r="F140" s="681"/>
      <c r="G140" s="685"/>
      <c r="H140" s="685"/>
      <c r="I140" s="685"/>
      <c r="J140" s="265"/>
      <c r="K140" s="267"/>
      <c r="L140" s="16" t="str">
        <f t="shared" si="3"/>
        <v/>
      </c>
    </row>
    <row r="141" spans="3:12" hidden="1" outlineLevel="1" x14ac:dyDescent="0.3">
      <c r="C141" s="231">
        <v>62</v>
      </c>
      <c r="D141" s="681"/>
      <c r="E141" s="681"/>
      <c r="F141" s="681"/>
      <c r="G141" s="685"/>
      <c r="H141" s="685"/>
      <c r="I141" s="685"/>
      <c r="J141" s="265"/>
      <c r="K141" s="267"/>
      <c r="L141" s="16" t="str">
        <f t="shared" si="3"/>
        <v/>
      </c>
    </row>
    <row r="142" spans="3:12" hidden="1" outlineLevel="1" x14ac:dyDescent="0.3">
      <c r="C142" s="231">
        <v>63</v>
      </c>
      <c r="D142" s="681"/>
      <c r="E142" s="681"/>
      <c r="F142" s="681"/>
      <c r="G142" s="685"/>
      <c r="H142" s="685"/>
      <c r="I142" s="685"/>
      <c r="J142" s="265"/>
      <c r="K142" s="267"/>
      <c r="L142" s="16" t="str">
        <f t="shared" si="3"/>
        <v/>
      </c>
    </row>
    <row r="143" spans="3:12" hidden="1" outlineLevel="1" x14ac:dyDescent="0.3">
      <c r="C143" s="231">
        <v>64</v>
      </c>
      <c r="D143" s="681"/>
      <c r="E143" s="681"/>
      <c r="F143" s="681"/>
      <c r="G143" s="685"/>
      <c r="H143" s="685"/>
      <c r="I143" s="685"/>
      <c r="J143" s="265"/>
      <c r="K143" s="267"/>
      <c r="L143" s="16" t="str">
        <f t="shared" si="3"/>
        <v/>
      </c>
    </row>
    <row r="144" spans="3:12" hidden="1" outlineLevel="1" x14ac:dyDescent="0.3">
      <c r="C144" s="231">
        <v>65</v>
      </c>
      <c r="D144" s="681"/>
      <c r="E144" s="681"/>
      <c r="F144" s="681"/>
      <c r="G144" s="685"/>
      <c r="H144" s="685"/>
      <c r="I144" s="685"/>
      <c r="J144" s="265"/>
      <c r="K144" s="267"/>
      <c r="L144" s="16" t="str">
        <f t="shared" si="3"/>
        <v/>
      </c>
    </row>
    <row r="145" spans="3:12" hidden="1" outlineLevel="1" x14ac:dyDescent="0.3">
      <c r="C145" s="231">
        <v>66</v>
      </c>
      <c r="D145" s="681"/>
      <c r="E145" s="681"/>
      <c r="F145" s="681"/>
      <c r="G145" s="685"/>
      <c r="H145" s="685"/>
      <c r="I145" s="685"/>
      <c r="J145" s="265"/>
      <c r="K145" s="267"/>
      <c r="L145" s="16" t="str">
        <f t="shared" si="3"/>
        <v/>
      </c>
    </row>
    <row r="146" spans="3:12" hidden="1" outlineLevel="1" x14ac:dyDescent="0.3">
      <c r="C146" s="231">
        <v>67</v>
      </c>
      <c r="D146" s="681"/>
      <c r="E146" s="681"/>
      <c r="F146" s="681"/>
      <c r="G146" s="685"/>
      <c r="H146" s="685"/>
      <c r="I146" s="685"/>
      <c r="J146" s="265"/>
      <c r="K146" s="267"/>
      <c r="L146" s="16" t="str">
        <f t="shared" si="3"/>
        <v/>
      </c>
    </row>
    <row r="147" spans="3:12" hidden="1" outlineLevel="1" x14ac:dyDescent="0.3">
      <c r="C147" s="231">
        <v>68</v>
      </c>
      <c r="D147" s="681"/>
      <c r="E147" s="681"/>
      <c r="F147" s="681"/>
      <c r="G147" s="685"/>
      <c r="H147" s="685"/>
      <c r="I147" s="685"/>
      <c r="J147" s="265"/>
      <c r="K147" s="267"/>
      <c r="L147" s="16" t="str">
        <f t="shared" si="3"/>
        <v/>
      </c>
    </row>
    <row r="148" spans="3:12" hidden="1" outlineLevel="1" x14ac:dyDescent="0.3">
      <c r="C148" s="231">
        <v>69</v>
      </c>
      <c r="D148" s="681"/>
      <c r="E148" s="681"/>
      <c r="F148" s="681"/>
      <c r="G148" s="685"/>
      <c r="H148" s="685"/>
      <c r="I148" s="685"/>
      <c r="J148" s="265"/>
      <c r="K148" s="267"/>
      <c r="L148" s="16" t="str">
        <f t="shared" si="3"/>
        <v/>
      </c>
    </row>
    <row r="149" spans="3:12" hidden="1" outlineLevel="1" x14ac:dyDescent="0.3">
      <c r="C149" s="231">
        <v>70</v>
      </c>
      <c r="D149" s="681"/>
      <c r="E149" s="681"/>
      <c r="F149" s="681"/>
      <c r="G149" s="685"/>
      <c r="H149" s="685"/>
      <c r="I149" s="685"/>
      <c r="J149" s="265"/>
      <c r="K149" s="267"/>
      <c r="L149" s="16" t="str">
        <f t="shared" si="3"/>
        <v/>
      </c>
    </row>
    <row r="150" spans="3:12" hidden="1" outlineLevel="1" x14ac:dyDescent="0.3">
      <c r="C150" s="231">
        <v>71</v>
      </c>
      <c r="D150" s="681"/>
      <c r="E150" s="681"/>
      <c r="F150" s="681"/>
      <c r="G150" s="685"/>
      <c r="H150" s="685"/>
      <c r="I150" s="685"/>
      <c r="J150" s="265"/>
      <c r="K150" s="267"/>
      <c r="L150" s="16" t="str">
        <f t="shared" si="3"/>
        <v/>
      </c>
    </row>
    <row r="151" spans="3:12" hidden="1" outlineLevel="1" x14ac:dyDescent="0.3">
      <c r="C151" s="231">
        <v>72</v>
      </c>
      <c r="D151" s="681"/>
      <c r="E151" s="681"/>
      <c r="F151" s="681"/>
      <c r="G151" s="685"/>
      <c r="H151" s="685"/>
      <c r="I151" s="685"/>
      <c r="J151" s="265"/>
      <c r="K151" s="267"/>
      <c r="L151" s="16" t="str">
        <f t="shared" si="3"/>
        <v/>
      </c>
    </row>
    <row r="152" spans="3:12" hidden="1" outlineLevel="1" x14ac:dyDescent="0.3">
      <c r="C152" s="231">
        <v>73</v>
      </c>
      <c r="D152" s="681"/>
      <c r="E152" s="681"/>
      <c r="F152" s="681"/>
      <c r="G152" s="685"/>
      <c r="H152" s="685"/>
      <c r="I152" s="685"/>
      <c r="J152" s="265"/>
      <c r="K152" s="267"/>
      <c r="L152" s="16" t="str">
        <f t="shared" si="3"/>
        <v/>
      </c>
    </row>
    <row r="153" spans="3:12" hidden="1" outlineLevel="1" x14ac:dyDescent="0.3">
      <c r="C153" s="231">
        <v>74</v>
      </c>
      <c r="D153" s="681"/>
      <c r="E153" s="681"/>
      <c r="F153" s="681"/>
      <c r="G153" s="685"/>
      <c r="H153" s="685"/>
      <c r="I153" s="685"/>
      <c r="J153" s="265"/>
      <c r="K153" s="267"/>
      <c r="L153" s="16" t="str">
        <f t="shared" si="3"/>
        <v/>
      </c>
    </row>
    <row r="154" spans="3:12" hidden="1" outlineLevel="1" x14ac:dyDescent="0.3">
      <c r="C154" s="231">
        <v>75</v>
      </c>
      <c r="D154" s="681"/>
      <c r="E154" s="681"/>
      <c r="F154" s="681"/>
      <c r="G154" s="685"/>
      <c r="H154" s="685"/>
      <c r="I154" s="685"/>
      <c r="J154" s="265"/>
      <c r="K154" s="267"/>
      <c r="L154" s="16" t="str">
        <f t="shared" si="3"/>
        <v/>
      </c>
    </row>
    <row r="155" spans="3:12" hidden="1" outlineLevel="1" x14ac:dyDescent="0.3">
      <c r="C155" s="231">
        <v>76</v>
      </c>
      <c r="D155" s="681"/>
      <c r="E155" s="681"/>
      <c r="F155" s="681"/>
      <c r="G155" s="685"/>
      <c r="H155" s="685"/>
      <c r="I155" s="685"/>
      <c r="J155" s="265"/>
      <c r="K155" s="267"/>
      <c r="L155" s="16" t="str">
        <f t="shared" si="3"/>
        <v/>
      </c>
    </row>
    <row r="156" spans="3:12" hidden="1" outlineLevel="1" x14ac:dyDescent="0.3">
      <c r="C156" s="231">
        <v>77</v>
      </c>
      <c r="D156" s="681"/>
      <c r="E156" s="681"/>
      <c r="F156" s="681"/>
      <c r="G156" s="685"/>
      <c r="H156" s="685"/>
      <c r="I156" s="685"/>
      <c r="J156" s="265"/>
      <c r="K156" s="267"/>
      <c r="L156" s="16" t="str">
        <f t="shared" si="3"/>
        <v/>
      </c>
    </row>
    <row r="157" spans="3:12" hidden="1" outlineLevel="1" x14ac:dyDescent="0.3">
      <c r="C157" s="231">
        <v>78</v>
      </c>
      <c r="D157" s="681"/>
      <c r="E157" s="681"/>
      <c r="F157" s="681"/>
      <c r="G157" s="685"/>
      <c r="H157" s="685"/>
      <c r="I157" s="685"/>
      <c r="J157" s="265"/>
      <c r="K157" s="267"/>
      <c r="L157" s="16" t="str">
        <f t="shared" si="3"/>
        <v/>
      </c>
    </row>
    <row r="158" spans="3:12" hidden="1" outlineLevel="1" x14ac:dyDescent="0.3">
      <c r="C158" s="231">
        <v>79</v>
      </c>
      <c r="D158" s="681"/>
      <c r="E158" s="681"/>
      <c r="F158" s="681"/>
      <c r="G158" s="685"/>
      <c r="H158" s="685"/>
      <c r="I158" s="685"/>
      <c r="J158" s="265"/>
      <c r="K158" s="267"/>
      <c r="L158" s="16" t="str">
        <f t="shared" si="3"/>
        <v/>
      </c>
    </row>
    <row r="159" spans="3:12" hidden="1" outlineLevel="1" x14ac:dyDescent="0.3">
      <c r="C159" s="231">
        <v>80</v>
      </c>
      <c r="D159" s="681"/>
      <c r="E159" s="681"/>
      <c r="F159" s="681"/>
      <c r="G159" s="685"/>
      <c r="H159" s="685"/>
      <c r="I159" s="685"/>
      <c r="J159" s="265"/>
      <c r="K159" s="267"/>
      <c r="L159" s="16" t="str">
        <f t="shared" si="3"/>
        <v/>
      </c>
    </row>
    <row r="160" spans="3:12" hidden="1" outlineLevel="1" x14ac:dyDescent="0.3">
      <c r="C160" s="231">
        <v>81</v>
      </c>
      <c r="D160" s="681"/>
      <c r="E160" s="681"/>
      <c r="F160" s="681"/>
      <c r="G160" s="685"/>
      <c r="H160" s="685"/>
      <c r="I160" s="685"/>
      <c r="J160" s="265"/>
      <c r="K160" s="267"/>
      <c r="L160" s="16" t="str">
        <f t="shared" si="3"/>
        <v/>
      </c>
    </row>
    <row r="161" spans="3:12" hidden="1" outlineLevel="1" x14ac:dyDescent="0.3">
      <c r="C161" s="231">
        <v>82</v>
      </c>
      <c r="D161" s="681"/>
      <c r="E161" s="681"/>
      <c r="F161" s="681"/>
      <c r="G161" s="685"/>
      <c r="H161" s="685"/>
      <c r="I161" s="685"/>
      <c r="J161" s="265"/>
      <c r="K161" s="267"/>
      <c r="L161" s="16" t="str">
        <f t="shared" si="3"/>
        <v/>
      </c>
    </row>
    <row r="162" spans="3:12" hidden="1" outlineLevel="1" x14ac:dyDescent="0.3">
      <c r="C162" s="231">
        <v>83</v>
      </c>
      <c r="D162" s="681"/>
      <c r="E162" s="681"/>
      <c r="F162" s="681"/>
      <c r="G162" s="685"/>
      <c r="H162" s="685"/>
      <c r="I162" s="685"/>
      <c r="J162" s="265"/>
      <c r="K162" s="267"/>
      <c r="L162" s="16" t="str">
        <f t="shared" si="3"/>
        <v/>
      </c>
    </row>
    <row r="163" spans="3:12" hidden="1" outlineLevel="1" x14ac:dyDescent="0.3">
      <c r="C163" s="231">
        <v>84</v>
      </c>
      <c r="D163" s="681"/>
      <c r="E163" s="681"/>
      <c r="F163" s="681"/>
      <c r="G163" s="685"/>
      <c r="H163" s="685"/>
      <c r="I163" s="685"/>
      <c r="J163" s="265"/>
      <c r="K163" s="267"/>
      <c r="L163" s="16" t="str">
        <f t="shared" si="3"/>
        <v/>
      </c>
    </row>
    <row r="164" spans="3:12" hidden="1" outlineLevel="1" x14ac:dyDescent="0.3">
      <c r="C164" s="231">
        <v>85</v>
      </c>
      <c r="D164" s="681"/>
      <c r="E164" s="681"/>
      <c r="F164" s="681"/>
      <c r="G164" s="685"/>
      <c r="H164" s="685"/>
      <c r="I164" s="685"/>
      <c r="J164" s="265"/>
      <c r="K164" s="267"/>
      <c r="L164" s="16" t="str">
        <f t="shared" si="3"/>
        <v/>
      </c>
    </row>
    <row r="165" spans="3:12" hidden="1" outlineLevel="1" x14ac:dyDescent="0.3">
      <c r="C165" s="231">
        <v>86</v>
      </c>
      <c r="D165" s="681"/>
      <c r="E165" s="681"/>
      <c r="F165" s="681"/>
      <c r="G165" s="685"/>
      <c r="H165" s="685"/>
      <c r="I165" s="685"/>
      <c r="J165" s="265"/>
      <c r="K165" s="267"/>
      <c r="L165" s="16" t="str">
        <f t="shared" si="3"/>
        <v/>
      </c>
    </row>
    <row r="166" spans="3:12" hidden="1" outlineLevel="1" x14ac:dyDescent="0.3">
      <c r="C166" s="231">
        <v>87</v>
      </c>
      <c r="D166" s="681"/>
      <c r="E166" s="681"/>
      <c r="F166" s="681"/>
      <c r="G166" s="685"/>
      <c r="H166" s="685"/>
      <c r="I166" s="685"/>
      <c r="J166" s="265"/>
      <c r="K166" s="267"/>
      <c r="L166" s="16" t="str">
        <f t="shared" si="3"/>
        <v/>
      </c>
    </row>
    <row r="167" spans="3:12" hidden="1" outlineLevel="1" x14ac:dyDescent="0.3">
      <c r="C167" s="231">
        <v>88</v>
      </c>
      <c r="D167" s="681"/>
      <c r="E167" s="681"/>
      <c r="F167" s="681"/>
      <c r="G167" s="685"/>
      <c r="H167" s="685"/>
      <c r="I167" s="685"/>
      <c r="J167" s="265"/>
      <c r="K167" s="267"/>
      <c r="L167" s="16" t="str">
        <f t="shared" si="3"/>
        <v/>
      </c>
    </row>
    <row r="168" spans="3:12" hidden="1" outlineLevel="1" x14ac:dyDescent="0.3">
      <c r="C168" s="231">
        <v>89</v>
      </c>
      <c r="D168" s="681"/>
      <c r="E168" s="681"/>
      <c r="F168" s="681"/>
      <c r="G168" s="685"/>
      <c r="H168" s="685"/>
      <c r="I168" s="685"/>
      <c r="J168" s="265"/>
      <c r="K168" s="267"/>
      <c r="L168" s="16" t="str">
        <f t="shared" si="3"/>
        <v/>
      </c>
    </row>
    <row r="169" spans="3:12" hidden="1" outlineLevel="1" x14ac:dyDescent="0.3">
      <c r="C169" s="231">
        <v>90</v>
      </c>
      <c r="D169" s="681"/>
      <c r="E169" s="681"/>
      <c r="F169" s="681"/>
      <c r="G169" s="685"/>
      <c r="H169" s="685"/>
      <c r="I169" s="685"/>
      <c r="J169" s="265"/>
      <c r="K169" s="267"/>
      <c r="L169" s="16" t="str">
        <f t="shared" si="3"/>
        <v/>
      </c>
    </row>
    <row r="170" spans="3:12" hidden="1" outlineLevel="1" x14ac:dyDescent="0.3">
      <c r="C170" s="231">
        <v>91</v>
      </c>
      <c r="D170" s="681"/>
      <c r="E170" s="681"/>
      <c r="F170" s="681"/>
      <c r="G170" s="685"/>
      <c r="H170" s="685"/>
      <c r="I170" s="685"/>
      <c r="J170" s="265"/>
      <c r="K170" s="267"/>
      <c r="L170" s="16" t="str">
        <f t="shared" si="3"/>
        <v/>
      </c>
    </row>
    <row r="171" spans="3:12" hidden="1" outlineLevel="1" x14ac:dyDescent="0.3">
      <c r="C171" s="231">
        <v>92</v>
      </c>
      <c r="D171" s="681"/>
      <c r="E171" s="681"/>
      <c r="F171" s="681"/>
      <c r="G171" s="685"/>
      <c r="H171" s="685"/>
      <c r="I171" s="685"/>
      <c r="J171" s="265"/>
      <c r="K171" s="267"/>
      <c r="L171" s="16" t="str">
        <f t="shared" si="3"/>
        <v/>
      </c>
    </row>
    <row r="172" spans="3:12" hidden="1" outlineLevel="1" x14ac:dyDescent="0.3">
      <c r="C172" s="231">
        <v>93</v>
      </c>
      <c r="D172" s="681"/>
      <c r="E172" s="681"/>
      <c r="F172" s="681"/>
      <c r="G172" s="685"/>
      <c r="H172" s="685"/>
      <c r="I172" s="685"/>
      <c r="J172" s="265"/>
      <c r="K172" s="267"/>
      <c r="L172" s="16" t="str">
        <f t="shared" si="3"/>
        <v/>
      </c>
    </row>
    <row r="173" spans="3:12" hidden="1" outlineLevel="1" x14ac:dyDescent="0.3">
      <c r="C173" s="231">
        <v>94</v>
      </c>
      <c r="D173" s="681"/>
      <c r="E173" s="681"/>
      <c r="F173" s="681"/>
      <c r="G173" s="685"/>
      <c r="H173" s="685"/>
      <c r="I173" s="685"/>
      <c r="J173" s="265"/>
      <c r="K173" s="267"/>
      <c r="L173" s="16" t="str">
        <f t="shared" si="3"/>
        <v/>
      </c>
    </row>
    <row r="174" spans="3:12" hidden="1" outlineLevel="1" x14ac:dyDescent="0.3">
      <c r="C174" s="231">
        <v>95</v>
      </c>
      <c r="D174" s="681"/>
      <c r="E174" s="681"/>
      <c r="F174" s="681"/>
      <c r="G174" s="685"/>
      <c r="H174" s="685"/>
      <c r="I174" s="685"/>
      <c r="J174" s="265"/>
      <c r="K174" s="267"/>
      <c r="L174" s="16" t="str">
        <f t="shared" si="3"/>
        <v/>
      </c>
    </row>
    <row r="175" spans="3:12" hidden="1" outlineLevel="1" x14ac:dyDescent="0.3">
      <c r="C175" s="231">
        <v>96</v>
      </c>
      <c r="D175" s="681"/>
      <c r="E175" s="681"/>
      <c r="F175" s="681"/>
      <c r="G175" s="685"/>
      <c r="H175" s="685"/>
      <c r="I175" s="685"/>
      <c r="J175" s="265"/>
      <c r="K175" s="267"/>
      <c r="L175" s="16" t="str">
        <f t="shared" si="3"/>
        <v/>
      </c>
    </row>
    <row r="176" spans="3:12" hidden="1" outlineLevel="1" x14ac:dyDescent="0.3">
      <c r="C176" s="231">
        <v>97</v>
      </c>
      <c r="D176" s="681"/>
      <c r="E176" s="681"/>
      <c r="F176" s="681"/>
      <c r="G176" s="685"/>
      <c r="H176" s="685"/>
      <c r="I176" s="685"/>
      <c r="J176" s="265"/>
      <c r="K176" s="267"/>
      <c r="L176" s="16" t="str">
        <f t="shared" si="3"/>
        <v/>
      </c>
    </row>
    <row r="177" spans="3:17" hidden="1" outlineLevel="1" x14ac:dyDescent="0.3">
      <c r="C177" s="231">
        <v>98</v>
      </c>
      <c r="D177" s="681"/>
      <c r="E177" s="681"/>
      <c r="F177" s="681"/>
      <c r="G177" s="685"/>
      <c r="H177" s="685"/>
      <c r="I177" s="685"/>
      <c r="J177" s="265"/>
      <c r="K177" s="267"/>
      <c r="L177" s="16" t="str">
        <f t="shared" si="3"/>
        <v/>
      </c>
    </row>
    <row r="178" spans="3:17" hidden="1" outlineLevel="1" x14ac:dyDescent="0.3">
      <c r="C178" s="231">
        <v>99</v>
      </c>
      <c r="D178" s="681"/>
      <c r="E178" s="681"/>
      <c r="F178" s="681"/>
      <c r="G178" s="685"/>
      <c r="H178" s="685"/>
      <c r="I178" s="685"/>
      <c r="J178" s="265"/>
      <c r="K178" s="267"/>
      <c r="L178" s="16" t="str">
        <f t="shared" si="3"/>
        <v/>
      </c>
    </row>
    <row r="179" spans="3:17" ht="15" hidden="1" outlineLevel="1" thickBot="1" x14ac:dyDescent="0.35">
      <c r="C179" s="231">
        <v>100</v>
      </c>
      <c r="D179" s="681"/>
      <c r="E179" s="681"/>
      <c r="F179" s="681"/>
      <c r="G179" s="770"/>
      <c r="H179" s="770"/>
      <c r="I179" s="770"/>
      <c r="J179" s="268"/>
      <c r="K179" s="272"/>
      <c r="L179" s="16" t="str">
        <f t="shared" si="3"/>
        <v/>
      </c>
    </row>
    <row r="180" spans="3:17" ht="15" collapsed="1" thickBot="1" x14ac:dyDescent="0.35">
      <c r="C180" s="119"/>
      <c r="D180" s="119"/>
      <c r="E180" s="14"/>
      <c r="F180" s="14"/>
      <c r="G180" s="14"/>
      <c r="H180" s="14"/>
      <c r="I180" s="14"/>
      <c r="J180" s="14"/>
      <c r="K180" s="14"/>
    </row>
    <row r="181" spans="3:17" x14ac:dyDescent="0.3">
      <c r="C181" s="837" t="str">
        <f>template_label_b5_sites_in_biodiversity_sensitive_areas&amp;" "&amp;template_label_from&amp;" "&amp;template_starting_date_display&amp;" "&amp;template_label_to&amp;" "&amp;template_ending_date_display&amp;" "&amp;template_label_if_applicable</f>
        <v>B5 - Sites in biodiversity sensitive areas from - to - [If applicable]</v>
      </c>
      <c r="D181" s="837"/>
      <c r="E181" s="837"/>
      <c r="F181" s="837"/>
      <c r="G181" s="837"/>
      <c r="H181" s="837"/>
      <c r="I181" s="837"/>
      <c r="J181" s="837"/>
      <c r="K181" s="838"/>
    </row>
    <row r="182" spans="3:17" x14ac:dyDescent="0.3">
      <c r="C182" s="576">
        <v>33</v>
      </c>
      <c r="D182" s="576"/>
      <c r="E182" s="576"/>
      <c r="F182" s="576"/>
      <c r="G182" s="576"/>
      <c r="H182" s="576"/>
      <c r="I182" s="576"/>
      <c r="J182" s="576"/>
      <c r="K182" s="720"/>
    </row>
    <row r="183" spans="3:17" x14ac:dyDescent="0.3">
      <c r="C183" s="561" t="s">
        <v>5650</v>
      </c>
      <c r="D183" s="561"/>
      <c r="E183" s="561"/>
      <c r="F183" s="561"/>
      <c r="G183" s="561"/>
      <c r="H183" s="561"/>
      <c r="I183" s="561"/>
      <c r="J183" s="561"/>
      <c r="K183" s="721"/>
    </row>
    <row r="184" spans="3:17" x14ac:dyDescent="0.3">
      <c r="C184" s="843" t="str">
        <f>template_label_does_the_undertaking_have_sites_that_are_located_in_or_near_biodiversity_sensitive_areas</f>
        <v>Does the undertaking have sites that are located in or near biodiversity sensitive areas?</v>
      </c>
      <c r="D184" s="844"/>
      <c r="E184" s="844"/>
      <c r="F184" s="844"/>
      <c r="G184" s="744" t="b">
        <v>0</v>
      </c>
      <c r="H184" s="745"/>
      <c r="I184" s="745"/>
      <c r="J184" s="745"/>
      <c r="K184" s="746"/>
    </row>
    <row r="185" spans="3:17" x14ac:dyDescent="0.3">
      <c r="C185" s="747" t="str">
        <f>template_label_please_select_the_unit_used_for_the_area</f>
        <v>Please select the unit used for the area (i.e. either hectares or m²):</v>
      </c>
      <c r="D185" s="748"/>
      <c r="E185" s="748"/>
      <c r="F185" s="748"/>
      <c r="G185" s="748"/>
      <c r="H185" s="748"/>
      <c r="I185" s="748"/>
      <c r="J185" s="748"/>
      <c r="K185" s="749"/>
    </row>
    <row r="186" spans="3:17" ht="15" thickBot="1" x14ac:dyDescent="0.35">
      <c r="C186" s="771"/>
      <c r="D186" s="772"/>
      <c r="E186" s="772"/>
      <c r="F186" s="772"/>
      <c r="G186" s="772"/>
      <c r="H186" s="772"/>
      <c r="I186" s="772"/>
      <c r="J186" s="772"/>
      <c r="K186" s="773"/>
      <c r="L186" s="17" t="str">
        <f>IF(AND(G184=TRUE,C186=""), template_label_missing_value, IF(AND(G184=TRUE,C186&lt;&gt;""), template_label_ok, ""))</f>
        <v/>
      </c>
    </row>
    <row r="187" spans="3:17" ht="57.6" customHeight="1" x14ac:dyDescent="0.3">
      <c r="C187" s="120" t="str">
        <f>template_label_related_site_id</f>
        <v>Related Site ID (select an ID from a site location reported in B1)</v>
      </c>
      <c r="D187" s="767" t="str">
        <f>template_label_site_location_in_near_a_biodiversity_area</f>
        <v>Site Location in near a biodiversity area - auto filled from B1</v>
      </c>
      <c r="E187" s="768"/>
      <c r="F187" s="769"/>
      <c r="G187" s="767" t="str">
        <f>template_label_area_hectares_or_m2</f>
        <v>Area (hectares or m² based on the selection above)</v>
      </c>
      <c r="H187" s="768"/>
      <c r="I187" s="769"/>
      <c r="J187" s="235" t="str">
        <f>template_label_site_located_in_a_biodiversity_sensitive_area</f>
        <v>Site located in a biodiversity sensitive area</v>
      </c>
      <c r="K187" s="236" t="str">
        <f>template_label_site_located_near_a_biodiversity_sensitive_area</f>
        <v>Site located near a biodiversity sensitive area</v>
      </c>
    </row>
    <row r="188" spans="3:17" x14ac:dyDescent="0.3">
      <c r="C188" s="231"/>
      <c r="D188" s="861" t="str">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
      </c>
      <c r="E188" s="862"/>
      <c r="F188" s="863"/>
      <c r="G188" s="709"/>
      <c r="H188" s="710"/>
      <c r="I188" s="710"/>
      <c r="J188" s="240" t="b">
        <v>0</v>
      </c>
      <c r="K188" s="238"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t="str">
        <f>template_label_site_ID_value_inconsistency_warning</f>
        <v>ℹ️  If a validation related to value inconsistency is displayed, please select a site ID that is different from one of those previously selected.</v>
      </c>
    </row>
    <row r="189" spans="3:17" x14ac:dyDescent="0.3">
      <c r="C189" s="231"/>
      <c r="D189" s="706" t="str">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707"/>
      <c r="F189" s="708"/>
      <c r="G189" s="709"/>
      <c r="H189" s="710"/>
      <c r="I189" s="710"/>
      <c r="J189" s="240" t="b">
        <v>0</v>
      </c>
      <c r="K189" s="238" t="b">
        <v>0</v>
      </c>
      <c r="L189" s="17" t="str">
        <f t="shared" si="4"/>
        <v/>
      </c>
    </row>
    <row r="190" spans="3:17" ht="15" thickBot="1" x14ac:dyDescent="0.35">
      <c r="C190" s="233"/>
      <c r="D190" s="880" t="str">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881"/>
      <c r="F190" s="882"/>
      <c r="G190" s="839"/>
      <c r="H190" s="839"/>
      <c r="I190" s="839"/>
      <c r="J190" s="241" t="b">
        <v>0</v>
      </c>
      <c r="K190" s="239"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32"/>
      <c r="D191" s="916" t="str">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917"/>
      <c r="F191" s="918"/>
      <c r="G191" s="840"/>
      <c r="H191" s="841"/>
      <c r="I191" s="842"/>
      <c r="J191" s="242" t="b">
        <v>0</v>
      </c>
      <c r="K191" s="237" t="b">
        <v>0</v>
      </c>
      <c r="L191" s="17" t="str">
        <f t="shared" si="4"/>
        <v/>
      </c>
      <c r="M191" s="10"/>
      <c r="N191" s="10"/>
      <c r="O191" s="10"/>
      <c r="P191" s="10"/>
      <c r="Q191" s="10"/>
    </row>
    <row r="192" spans="3:17" hidden="1" outlineLevel="1" x14ac:dyDescent="0.3">
      <c r="C192" s="232"/>
      <c r="D192" s="706" t="str">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707"/>
      <c r="F192" s="708"/>
      <c r="G192" s="709"/>
      <c r="H192" s="710"/>
      <c r="I192" s="711"/>
      <c r="J192" s="243" t="b">
        <v>0</v>
      </c>
      <c r="K192" s="238" t="b">
        <v>0</v>
      </c>
      <c r="L192" s="17" t="str">
        <f t="shared" si="4"/>
        <v/>
      </c>
      <c r="M192" s="10"/>
      <c r="N192" s="10"/>
      <c r="O192" s="10"/>
      <c r="P192" s="10"/>
      <c r="Q192" s="10"/>
    </row>
    <row r="193" spans="3:17" hidden="1" outlineLevel="1" x14ac:dyDescent="0.3">
      <c r="C193" s="231"/>
      <c r="D193" s="706" t="str">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707"/>
      <c r="F193" s="708"/>
      <c r="G193" s="709"/>
      <c r="H193" s="710"/>
      <c r="I193" s="711"/>
      <c r="J193" s="243" t="b">
        <v>0</v>
      </c>
      <c r="K193" s="238" t="b">
        <v>0</v>
      </c>
      <c r="L193" s="17" t="str">
        <f t="shared" si="4"/>
        <v/>
      </c>
      <c r="M193" s="10"/>
      <c r="N193" s="10"/>
      <c r="O193" s="10"/>
      <c r="P193" s="10"/>
      <c r="Q193" s="10"/>
    </row>
    <row r="194" spans="3:17" hidden="1" outlineLevel="1" x14ac:dyDescent="0.3">
      <c r="C194" s="231"/>
      <c r="D194" s="706" t="str">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707"/>
      <c r="F194" s="708"/>
      <c r="G194" s="709"/>
      <c r="H194" s="710"/>
      <c r="I194" s="711"/>
      <c r="J194" s="243" t="b">
        <v>0</v>
      </c>
      <c r="K194" s="238" t="b">
        <v>0</v>
      </c>
      <c r="L194" s="17" t="str">
        <f t="shared" si="4"/>
        <v/>
      </c>
      <c r="M194" s="10"/>
      <c r="N194" s="10"/>
      <c r="O194" s="10"/>
      <c r="P194" s="10"/>
      <c r="Q194" s="10"/>
    </row>
    <row r="195" spans="3:17" hidden="1" outlineLevel="1" x14ac:dyDescent="0.3">
      <c r="C195" s="231"/>
      <c r="D195" s="706" t="str">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707"/>
      <c r="F195" s="708"/>
      <c r="G195" s="709"/>
      <c r="H195" s="710"/>
      <c r="I195" s="711"/>
      <c r="J195" s="243" t="b">
        <v>0</v>
      </c>
      <c r="K195" s="238" t="b">
        <v>0</v>
      </c>
      <c r="L195" s="17" t="str">
        <f t="shared" si="4"/>
        <v/>
      </c>
      <c r="M195" s="10"/>
      <c r="N195" s="10"/>
      <c r="O195" s="10"/>
      <c r="P195" s="10"/>
      <c r="Q195" s="10"/>
    </row>
    <row r="196" spans="3:17" hidden="1" outlineLevel="1" x14ac:dyDescent="0.3">
      <c r="C196" s="231"/>
      <c r="D196" s="706" t="str">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707"/>
      <c r="F196" s="708"/>
      <c r="G196" s="709"/>
      <c r="H196" s="710"/>
      <c r="I196" s="711"/>
      <c r="J196" s="243" t="b">
        <v>0</v>
      </c>
      <c r="K196" s="238" t="b">
        <v>0</v>
      </c>
      <c r="L196" s="17" t="str">
        <f t="shared" si="4"/>
        <v/>
      </c>
      <c r="M196" s="10"/>
      <c r="N196" s="10"/>
      <c r="O196" s="10"/>
      <c r="P196" s="10"/>
      <c r="Q196" s="10"/>
    </row>
    <row r="197" spans="3:17" hidden="1" outlineLevel="1" x14ac:dyDescent="0.3">
      <c r="C197" s="231"/>
      <c r="D197" s="706" t="str">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707"/>
      <c r="F197" s="708"/>
      <c r="G197" s="709"/>
      <c r="H197" s="710"/>
      <c r="I197" s="711"/>
      <c r="J197" s="243" t="b">
        <v>0</v>
      </c>
      <c r="K197" s="238" t="b">
        <v>0</v>
      </c>
      <c r="L197" s="17" t="str">
        <f t="shared" si="4"/>
        <v/>
      </c>
      <c r="M197" s="10"/>
      <c r="N197" s="10"/>
      <c r="O197" s="10"/>
      <c r="P197" s="10"/>
      <c r="Q197" s="10"/>
    </row>
    <row r="198" spans="3:17" hidden="1" outlineLevel="1" x14ac:dyDescent="0.3">
      <c r="C198" s="231"/>
      <c r="D198" s="706" t="str">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707"/>
      <c r="F198" s="708"/>
      <c r="G198" s="709"/>
      <c r="H198" s="710"/>
      <c r="I198" s="711"/>
      <c r="J198" s="243" t="b">
        <v>0</v>
      </c>
      <c r="K198" s="238" t="b">
        <v>0</v>
      </c>
      <c r="L198" s="17" t="str">
        <f t="shared" si="4"/>
        <v/>
      </c>
      <c r="M198" s="10"/>
      <c r="N198" s="10"/>
      <c r="O198" s="10"/>
      <c r="P198" s="10"/>
      <c r="Q198" s="10"/>
    </row>
    <row r="199" spans="3:17" hidden="1" outlineLevel="1" x14ac:dyDescent="0.3">
      <c r="C199" s="231"/>
      <c r="D199" s="706" t="str">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707"/>
      <c r="F199" s="708"/>
      <c r="G199" s="709"/>
      <c r="H199" s="710"/>
      <c r="I199" s="711"/>
      <c r="J199" s="243" t="b">
        <v>0</v>
      </c>
      <c r="K199" s="238" t="b">
        <v>0</v>
      </c>
      <c r="L199" s="17" t="str">
        <f t="shared" si="4"/>
        <v/>
      </c>
      <c r="M199" s="10"/>
      <c r="N199" s="10"/>
      <c r="O199" s="10"/>
      <c r="P199" s="10"/>
      <c r="Q199" s="10"/>
    </row>
    <row r="200" spans="3:17" hidden="1" outlineLevel="1" x14ac:dyDescent="0.3">
      <c r="C200" s="231"/>
      <c r="D200" s="706" t="str">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707"/>
      <c r="F200" s="708"/>
      <c r="G200" s="709"/>
      <c r="H200" s="710"/>
      <c r="I200" s="711"/>
      <c r="J200" s="243" t="b">
        <v>0</v>
      </c>
      <c r="K200" s="238" t="b">
        <v>0</v>
      </c>
      <c r="L200" s="17" t="str">
        <f t="shared" si="4"/>
        <v/>
      </c>
      <c r="M200" s="10"/>
      <c r="N200" s="10"/>
      <c r="O200" s="10"/>
      <c r="P200" s="10"/>
      <c r="Q200" s="10"/>
    </row>
    <row r="201" spans="3:17" hidden="1" outlineLevel="1" x14ac:dyDescent="0.3">
      <c r="C201" s="231"/>
      <c r="D201" s="706" t="str">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707"/>
      <c r="F201" s="708"/>
      <c r="G201" s="709"/>
      <c r="H201" s="710"/>
      <c r="I201" s="711"/>
      <c r="J201" s="243" t="b">
        <v>0</v>
      </c>
      <c r="K201" s="238" t="b">
        <v>0</v>
      </c>
      <c r="L201" s="17" t="str">
        <f t="shared" si="4"/>
        <v/>
      </c>
      <c r="M201" s="10"/>
      <c r="N201" s="10"/>
      <c r="O201" s="10"/>
      <c r="P201" s="10"/>
      <c r="Q201" s="10"/>
    </row>
    <row r="202" spans="3:17" hidden="1" outlineLevel="1" x14ac:dyDescent="0.3">
      <c r="C202" s="231"/>
      <c r="D202" s="706" t="str">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707"/>
      <c r="F202" s="708"/>
      <c r="G202" s="709"/>
      <c r="H202" s="710"/>
      <c r="I202" s="711"/>
      <c r="J202" s="243" t="b">
        <v>0</v>
      </c>
      <c r="K202" s="238" t="b">
        <v>0</v>
      </c>
      <c r="L202" s="17" t="str">
        <f t="shared" si="4"/>
        <v/>
      </c>
      <c r="M202" s="10"/>
      <c r="N202" s="10"/>
      <c r="O202" s="10"/>
      <c r="P202" s="10"/>
      <c r="Q202" s="10"/>
    </row>
    <row r="203" spans="3:17" hidden="1" outlineLevel="1" x14ac:dyDescent="0.3">
      <c r="C203" s="231"/>
      <c r="D203" s="706" t="str">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707"/>
      <c r="F203" s="708"/>
      <c r="G203" s="709"/>
      <c r="H203" s="710"/>
      <c r="I203" s="711"/>
      <c r="J203" s="243" t="b">
        <v>0</v>
      </c>
      <c r="K203" s="238" t="b">
        <v>0</v>
      </c>
      <c r="L203" s="17" t="str">
        <f t="shared" si="4"/>
        <v/>
      </c>
      <c r="M203" s="10"/>
      <c r="N203" s="10"/>
      <c r="O203" s="10"/>
      <c r="P203" s="10"/>
      <c r="Q203" s="10"/>
    </row>
    <row r="204" spans="3:17" hidden="1" outlineLevel="1" x14ac:dyDescent="0.3">
      <c r="C204" s="231"/>
      <c r="D204" s="706" t="str">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707"/>
      <c r="F204" s="708"/>
      <c r="G204" s="709"/>
      <c r="H204" s="710"/>
      <c r="I204" s="711"/>
      <c r="J204" s="243" t="b">
        <v>0</v>
      </c>
      <c r="K204" s="238" t="b">
        <v>0</v>
      </c>
      <c r="L204" s="17" t="str">
        <f t="shared" si="4"/>
        <v/>
      </c>
      <c r="M204" s="10"/>
      <c r="N204" s="10"/>
      <c r="O204" s="10"/>
      <c r="P204" s="10"/>
      <c r="Q204" s="10"/>
    </row>
    <row r="205" spans="3:17" hidden="1" outlineLevel="1" x14ac:dyDescent="0.3">
      <c r="C205" s="231"/>
      <c r="D205" s="706" t="str">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707"/>
      <c r="F205" s="708"/>
      <c r="G205" s="709"/>
      <c r="H205" s="710"/>
      <c r="I205" s="711"/>
      <c r="J205" s="243" t="b">
        <v>0</v>
      </c>
      <c r="K205" s="238" t="b">
        <v>0</v>
      </c>
      <c r="L205" s="17" t="str">
        <f t="shared" si="4"/>
        <v/>
      </c>
      <c r="M205" s="10"/>
      <c r="N205" s="10"/>
      <c r="O205" s="10"/>
      <c r="P205" s="10"/>
      <c r="Q205" s="10"/>
    </row>
    <row r="206" spans="3:17" hidden="1" outlineLevel="1" x14ac:dyDescent="0.3">
      <c r="C206" s="231"/>
      <c r="D206" s="706" t="str">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707"/>
      <c r="F206" s="708"/>
      <c r="G206" s="709"/>
      <c r="H206" s="710"/>
      <c r="I206" s="711"/>
      <c r="J206" s="243" t="b">
        <v>0</v>
      </c>
      <c r="K206" s="238" t="b">
        <v>0</v>
      </c>
      <c r="L206" s="17" t="str">
        <f t="shared" si="4"/>
        <v/>
      </c>
      <c r="M206" s="10"/>
      <c r="N206" s="10"/>
      <c r="O206" s="10"/>
      <c r="P206" s="10"/>
      <c r="Q206" s="10"/>
    </row>
    <row r="207" spans="3:17" hidden="1" outlineLevel="1" x14ac:dyDescent="0.3">
      <c r="C207" s="231"/>
      <c r="D207" s="706" t="str">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707"/>
      <c r="F207" s="708"/>
      <c r="G207" s="709"/>
      <c r="H207" s="710"/>
      <c r="I207" s="711"/>
      <c r="J207" s="243" t="b">
        <v>0</v>
      </c>
      <c r="K207" s="238" t="b">
        <v>0</v>
      </c>
      <c r="L207" s="17" t="str">
        <f t="shared" si="4"/>
        <v/>
      </c>
      <c r="M207" s="10"/>
      <c r="N207" s="10"/>
      <c r="O207" s="10"/>
      <c r="P207" s="10"/>
      <c r="Q207" s="10"/>
    </row>
    <row r="208" spans="3:17" hidden="1" outlineLevel="1" x14ac:dyDescent="0.3">
      <c r="C208" s="231"/>
      <c r="D208" s="706" t="str">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707"/>
      <c r="F208" s="708"/>
      <c r="G208" s="709"/>
      <c r="H208" s="710"/>
      <c r="I208" s="711"/>
      <c r="J208" s="243" t="b">
        <v>0</v>
      </c>
      <c r="K208" s="238" t="b">
        <v>0</v>
      </c>
      <c r="L208" s="17" t="str">
        <f t="shared" si="4"/>
        <v/>
      </c>
      <c r="M208" s="10"/>
      <c r="N208" s="10"/>
      <c r="O208" s="10"/>
      <c r="P208" s="10"/>
      <c r="Q208" s="10"/>
    </row>
    <row r="209" spans="3:17" hidden="1" outlineLevel="1" x14ac:dyDescent="0.3">
      <c r="C209" s="231"/>
      <c r="D209" s="706" t="str">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707"/>
      <c r="F209" s="708"/>
      <c r="G209" s="709"/>
      <c r="H209" s="710"/>
      <c r="I209" s="711"/>
      <c r="J209" s="243" t="b">
        <v>0</v>
      </c>
      <c r="K209" s="238" t="b">
        <v>0</v>
      </c>
      <c r="L209" s="17" t="str">
        <f t="shared" si="4"/>
        <v/>
      </c>
      <c r="M209" s="10"/>
      <c r="N209" s="10"/>
      <c r="O209" s="10"/>
      <c r="P209" s="10"/>
      <c r="Q209" s="10"/>
    </row>
    <row r="210" spans="3:17" hidden="1" outlineLevel="1" x14ac:dyDescent="0.3">
      <c r="C210" s="231"/>
      <c r="D210" s="706" t="str">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707"/>
      <c r="F210" s="708"/>
      <c r="G210" s="709"/>
      <c r="H210" s="710"/>
      <c r="I210" s="711"/>
      <c r="J210" s="243" t="b">
        <v>0</v>
      </c>
      <c r="K210" s="238" t="b">
        <v>0</v>
      </c>
      <c r="L210" s="17" t="str">
        <f t="shared" si="4"/>
        <v/>
      </c>
      <c r="M210" s="10"/>
      <c r="N210" s="10"/>
      <c r="O210" s="10"/>
      <c r="P210" s="10"/>
      <c r="Q210" s="10"/>
    </row>
    <row r="211" spans="3:17" hidden="1" outlineLevel="1" x14ac:dyDescent="0.3">
      <c r="C211" s="231"/>
      <c r="D211" s="706" t="str">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707"/>
      <c r="F211" s="708"/>
      <c r="G211" s="709"/>
      <c r="H211" s="710"/>
      <c r="I211" s="711"/>
      <c r="J211" s="243" t="b">
        <v>0</v>
      </c>
      <c r="K211" s="238" t="b">
        <v>0</v>
      </c>
      <c r="L211" s="17" t="str">
        <f t="shared" si="4"/>
        <v/>
      </c>
      <c r="M211" s="10"/>
      <c r="N211" s="10"/>
      <c r="O211" s="10"/>
      <c r="P211" s="10"/>
      <c r="Q211" s="10"/>
    </row>
    <row r="212" spans="3:17" hidden="1" outlineLevel="1" x14ac:dyDescent="0.3">
      <c r="C212" s="231"/>
      <c r="D212" s="485"/>
      <c r="E212" s="486"/>
      <c r="F212" s="487"/>
      <c r="G212" s="709"/>
      <c r="H212" s="710"/>
      <c r="I212" s="711"/>
      <c r="J212" s="243" t="b">
        <v>0</v>
      </c>
      <c r="K212" s="238" t="b">
        <v>0</v>
      </c>
      <c r="L212" s="17" t="str">
        <f t="shared" si="4"/>
        <v/>
      </c>
      <c r="M212" s="10"/>
      <c r="N212" s="10"/>
      <c r="O212" s="10"/>
      <c r="P212" s="10"/>
      <c r="Q212" s="10"/>
    </row>
    <row r="213" spans="3:17" hidden="1" outlineLevel="1" x14ac:dyDescent="0.3">
      <c r="C213" s="231"/>
      <c r="D213" s="485"/>
      <c r="E213" s="486"/>
      <c r="F213" s="487"/>
      <c r="G213" s="709"/>
      <c r="H213" s="710"/>
      <c r="I213" s="711"/>
      <c r="J213" s="243" t="b">
        <v>0</v>
      </c>
      <c r="K213" s="238" t="b">
        <v>0</v>
      </c>
      <c r="L213" s="17" t="str">
        <f t="shared" si="4"/>
        <v/>
      </c>
      <c r="M213" s="10"/>
      <c r="N213" s="10"/>
      <c r="O213" s="10"/>
      <c r="P213" s="10"/>
      <c r="Q213" s="10"/>
    </row>
    <row r="214" spans="3:17" hidden="1" outlineLevel="1" x14ac:dyDescent="0.3">
      <c r="C214" s="231"/>
      <c r="D214" s="485"/>
      <c r="E214" s="486"/>
      <c r="F214" s="487"/>
      <c r="G214" s="709"/>
      <c r="H214" s="710"/>
      <c r="I214" s="711"/>
      <c r="J214" s="243" t="b">
        <v>0</v>
      </c>
      <c r="K214" s="238" t="b">
        <v>0</v>
      </c>
      <c r="L214" s="17" t="str">
        <f t="shared" si="4"/>
        <v/>
      </c>
      <c r="M214" s="10"/>
      <c r="N214" s="10"/>
      <c r="O214" s="10"/>
      <c r="P214" s="10"/>
      <c r="Q214" s="10"/>
    </row>
    <row r="215" spans="3:17" hidden="1" outlineLevel="1" x14ac:dyDescent="0.3">
      <c r="C215" s="231"/>
      <c r="D215" s="485"/>
      <c r="E215" s="486"/>
      <c r="F215" s="487"/>
      <c r="G215" s="709"/>
      <c r="H215" s="710"/>
      <c r="I215" s="711"/>
      <c r="J215" s="243" t="b">
        <v>0</v>
      </c>
      <c r="K215" s="238" t="b">
        <v>0</v>
      </c>
      <c r="L215" s="17" t="str">
        <f t="shared" si="4"/>
        <v/>
      </c>
      <c r="M215" s="10"/>
      <c r="N215" s="10"/>
      <c r="O215" s="10"/>
      <c r="P215" s="10"/>
      <c r="Q215" s="10"/>
    </row>
    <row r="216" spans="3:17" hidden="1" outlineLevel="1" x14ac:dyDescent="0.3">
      <c r="C216" s="231"/>
      <c r="D216" s="485"/>
      <c r="E216" s="486"/>
      <c r="F216" s="487"/>
      <c r="G216" s="709"/>
      <c r="H216" s="710"/>
      <c r="I216" s="711"/>
      <c r="J216" s="243" t="b">
        <v>0</v>
      </c>
      <c r="K216" s="238" t="b">
        <v>0</v>
      </c>
      <c r="L216" s="17" t="str">
        <f t="shared" si="4"/>
        <v/>
      </c>
      <c r="M216" s="10"/>
      <c r="N216" s="10"/>
      <c r="O216" s="10"/>
      <c r="P216" s="10"/>
      <c r="Q216" s="10"/>
    </row>
    <row r="217" spans="3:17" hidden="1" outlineLevel="1" x14ac:dyDescent="0.3">
      <c r="C217" s="231"/>
      <c r="D217" s="485"/>
      <c r="E217" s="486"/>
      <c r="F217" s="487"/>
      <c r="G217" s="709"/>
      <c r="H217" s="710"/>
      <c r="I217" s="711"/>
      <c r="J217" s="243" t="b">
        <v>0</v>
      </c>
      <c r="K217" s="238" t="b">
        <v>0</v>
      </c>
      <c r="L217" s="17" t="str">
        <f t="shared" si="4"/>
        <v/>
      </c>
      <c r="M217" s="10"/>
      <c r="N217" s="10"/>
      <c r="O217" s="10"/>
      <c r="P217" s="10"/>
      <c r="Q217" s="10"/>
    </row>
    <row r="218" spans="3:17" hidden="1" outlineLevel="1" x14ac:dyDescent="0.3">
      <c r="C218" s="231"/>
      <c r="D218" s="485"/>
      <c r="E218" s="486"/>
      <c r="F218" s="487"/>
      <c r="G218" s="709"/>
      <c r="H218" s="710"/>
      <c r="I218" s="711"/>
      <c r="J218" s="243" t="b">
        <v>0</v>
      </c>
      <c r="K218" s="238" t="b">
        <v>0</v>
      </c>
      <c r="L218" s="17" t="str">
        <f t="shared" si="4"/>
        <v/>
      </c>
      <c r="M218" s="10"/>
      <c r="N218" s="10"/>
      <c r="O218" s="10"/>
      <c r="P218" s="10"/>
      <c r="Q218" s="10"/>
    </row>
    <row r="219" spans="3:17" hidden="1" outlineLevel="1" x14ac:dyDescent="0.3">
      <c r="C219" s="231"/>
      <c r="D219" s="485"/>
      <c r="E219" s="486"/>
      <c r="F219" s="487"/>
      <c r="G219" s="709"/>
      <c r="H219" s="710"/>
      <c r="I219" s="711"/>
      <c r="J219" s="243" t="b">
        <v>0</v>
      </c>
      <c r="K219" s="238" t="b">
        <v>0</v>
      </c>
      <c r="L219" s="17" t="str">
        <f t="shared" si="4"/>
        <v/>
      </c>
      <c r="M219" s="10"/>
      <c r="N219" s="10"/>
      <c r="O219" s="10"/>
      <c r="P219" s="10"/>
      <c r="Q219" s="10"/>
    </row>
    <row r="220" spans="3:17" hidden="1" outlineLevel="1" x14ac:dyDescent="0.3">
      <c r="C220" s="231"/>
      <c r="D220" s="485"/>
      <c r="E220" s="486"/>
      <c r="F220" s="487"/>
      <c r="G220" s="709"/>
      <c r="H220" s="710"/>
      <c r="I220" s="711"/>
      <c r="J220" s="243" t="b">
        <v>0</v>
      </c>
      <c r="K220" s="238" t="b">
        <v>0</v>
      </c>
      <c r="L220" s="17" t="str">
        <f t="shared" si="4"/>
        <v/>
      </c>
      <c r="M220" s="10"/>
      <c r="N220" s="10"/>
      <c r="O220" s="10"/>
      <c r="P220" s="10"/>
      <c r="Q220" s="10"/>
    </row>
    <row r="221" spans="3:17" hidden="1" outlineLevel="1" x14ac:dyDescent="0.3">
      <c r="C221" s="231"/>
      <c r="D221" s="485"/>
      <c r="E221" s="486"/>
      <c r="F221" s="487"/>
      <c r="G221" s="709"/>
      <c r="H221" s="710"/>
      <c r="I221" s="711"/>
      <c r="J221" s="243" t="b">
        <v>0</v>
      </c>
      <c r="K221" s="238" t="b">
        <v>0</v>
      </c>
      <c r="L221" s="17" t="str">
        <f t="shared" si="4"/>
        <v/>
      </c>
      <c r="M221" s="10"/>
      <c r="N221" s="10"/>
      <c r="O221" s="10"/>
      <c r="P221" s="10"/>
      <c r="Q221" s="10"/>
    </row>
    <row r="222" spans="3:17" hidden="1" outlineLevel="1" x14ac:dyDescent="0.3">
      <c r="C222" s="231"/>
      <c r="D222" s="485"/>
      <c r="E222" s="486"/>
      <c r="F222" s="487"/>
      <c r="G222" s="709"/>
      <c r="H222" s="710"/>
      <c r="I222" s="711"/>
      <c r="J222" s="243" t="b">
        <v>0</v>
      </c>
      <c r="K222" s="238" t="b">
        <v>0</v>
      </c>
      <c r="L222" s="17" t="str">
        <f t="shared" si="4"/>
        <v/>
      </c>
      <c r="M222" s="10"/>
      <c r="N222" s="10"/>
      <c r="O222" s="10"/>
      <c r="P222" s="10"/>
      <c r="Q222" s="10"/>
    </row>
    <row r="223" spans="3:17" hidden="1" outlineLevel="1" x14ac:dyDescent="0.3">
      <c r="C223" s="231"/>
      <c r="D223" s="485"/>
      <c r="E223" s="486"/>
      <c r="F223" s="487"/>
      <c r="G223" s="709"/>
      <c r="H223" s="710"/>
      <c r="I223" s="711"/>
      <c r="J223" s="243" t="b">
        <v>0</v>
      </c>
      <c r="K223" s="238" t="b">
        <v>0</v>
      </c>
      <c r="L223" s="17" t="str">
        <f t="shared" si="4"/>
        <v/>
      </c>
      <c r="M223" s="10"/>
      <c r="N223" s="10"/>
      <c r="O223" s="10"/>
      <c r="P223" s="10"/>
      <c r="Q223" s="10"/>
    </row>
    <row r="224" spans="3:17" hidden="1" outlineLevel="1" x14ac:dyDescent="0.3">
      <c r="C224" s="231"/>
      <c r="D224" s="485"/>
      <c r="E224" s="486"/>
      <c r="F224" s="487"/>
      <c r="G224" s="709"/>
      <c r="H224" s="710"/>
      <c r="I224" s="711"/>
      <c r="J224" s="243" t="b">
        <v>0</v>
      </c>
      <c r="K224" s="238" t="b">
        <v>0</v>
      </c>
      <c r="L224" s="17" t="str">
        <f t="shared" si="4"/>
        <v/>
      </c>
      <c r="M224" s="10"/>
      <c r="N224" s="10"/>
      <c r="O224" s="10"/>
      <c r="P224" s="10"/>
      <c r="Q224" s="10"/>
    </row>
    <row r="225" spans="3:17" hidden="1" outlineLevel="1" x14ac:dyDescent="0.3">
      <c r="C225" s="231"/>
      <c r="D225" s="485"/>
      <c r="E225" s="486"/>
      <c r="F225" s="487"/>
      <c r="G225" s="709"/>
      <c r="H225" s="710"/>
      <c r="I225" s="711"/>
      <c r="J225" s="243" t="b">
        <v>0</v>
      </c>
      <c r="K225" s="238" t="b">
        <v>0</v>
      </c>
      <c r="L225" s="17" t="str">
        <f t="shared" si="4"/>
        <v/>
      </c>
      <c r="M225" s="10"/>
      <c r="N225" s="10"/>
      <c r="O225" s="10"/>
      <c r="P225" s="10"/>
      <c r="Q225" s="10"/>
    </row>
    <row r="226" spans="3:17" hidden="1" outlineLevel="1" x14ac:dyDescent="0.3">
      <c r="C226" s="231"/>
      <c r="D226" s="485"/>
      <c r="E226" s="486"/>
      <c r="F226" s="487"/>
      <c r="G226" s="709"/>
      <c r="H226" s="710"/>
      <c r="I226" s="711"/>
      <c r="J226" s="243" t="b">
        <v>0</v>
      </c>
      <c r="K226" s="238" t="b">
        <v>0</v>
      </c>
      <c r="L226" s="17" t="str">
        <f t="shared" si="4"/>
        <v/>
      </c>
      <c r="M226" s="10"/>
      <c r="N226" s="10"/>
      <c r="O226" s="10"/>
      <c r="P226" s="10"/>
      <c r="Q226" s="10"/>
    </row>
    <row r="227" spans="3:17" hidden="1" outlineLevel="1" x14ac:dyDescent="0.3">
      <c r="C227" s="231"/>
      <c r="D227" s="485"/>
      <c r="E227" s="486"/>
      <c r="F227" s="487"/>
      <c r="G227" s="709"/>
      <c r="H227" s="710"/>
      <c r="I227" s="711"/>
      <c r="J227" s="243" t="b">
        <v>0</v>
      </c>
      <c r="K227" s="238" t="b">
        <v>0</v>
      </c>
      <c r="L227" s="17" t="str">
        <f t="shared" si="4"/>
        <v/>
      </c>
      <c r="M227" s="10"/>
      <c r="N227" s="10"/>
      <c r="O227" s="10"/>
      <c r="P227" s="10"/>
      <c r="Q227" s="10"/>
    </row>
    <row r="228" spans="3:17" hidden="1" outlineLevel="1" x14ac:dyDescent="0.3">
      <c r="C228" s="231"/>
      <c r="D228" s="485"/>
      <c r="E228" s="486"/>
      <c r="F228" s="487"/>
      <c r="G228" s="709"/>
      <c r="H228" s="710"/>
      <c r="I228" s="711"/>
      <c r="J228" s="243" t="b">
        <v>0</v>
      </c>
      <c r="K228" s="238" t="b">
        <v>0</v>
      </c>
      <c r="L228" s="17" t="str">
        <f t="shared" si="4"/>
        <v/>
      </c>
      <c r="M228" s="10"/>
      <c r="N228" s="10"/>
      <c r="O228" s="10"/>
      <c r="P228" s="10"/>
      <c r="Q228" s="10"/>
    </row>
    <row r="229" spans="3:17" hidden="1" outlineLevel="1" x14ac:dyDescent="0.3">
      <c r="C229" s="231"/>
      <c r="D229" s="485"/>
      <c r="E229" s="486"/>
      <c r="F229" s="487"/>
      <c r="G229" s="709"/>
      <c r="H229" s="710"/>
      <c r="I229" s="711"/>
      <c r="J229" s="243" t="b">
        <v>0</v>
      </c>
      <c r="K229" s="238" t="b">
        <v>0</v>
      </c>
      <c r="L229" s="17" t="str">
        <f t="shared" si="4"/>
        <v/>
      </c>
      <c r="M229" s="10"/>
      <c r="N229" s="10"/>
      <c r="O229" s="10"/>
      <c r="P229" s="10"/>
      <c r="Q229" s="10"/>
    </row>
    <row r="230" spans="3:17" hidden="1" outlineLevel="1" x14ac:dyDescent="0.3">
      <c r="C230" s="231"/>
      <c r="D230" s="485"/>
      <c r="E230" s="486"/>
      <c r="F230" s="487"/>
      <c r="G230" s="709"/>
      <c r="H230" s="710"/>
      <c r="I230" s="711"/>
      <c r="J230" s="243" t="b">
        <v>0</v>
      </c>
      <c r="K230" s="238" t="b">
        <v>0</v>
      </c>
      <c r="L230" s="17" t="str">
        <f t="shared" si="4"/>
        <v/>
      </c>
      <c r="M230" s="10"/>
      <c r="N230" s="10"/>
      <c r="O230" s="10"/>
      <c r="P230" s="10"/>
      <c r="Q230" s="10"/>
    </row>
    <row r="231" spans="3:17" hidden="1" outlineLevel="1" x14ac:dyDescent="0.3">
      <c r="C231" s="231"/>
      <c r="D231" s="485"/>
      <c r="E231" s="486"/>
      <c r="F231" s="487"/>
      <c r="G231" s="709"/>
      <c r="H231" s="710"/>
      <c r="I231" s="711"/>
      <c r="J231" s="243" t="b">
        <v>0</v>
      </c>
      <c r="K231" s="238" t="b">
        <v>0</v>
      </c>
      <c r="L231" s="17" t="str">
        <f t="shared" si="4"/>
        <v/>
      </c>
      <c r="M231" s="10"/>
      <c r="N231" s="10"/>
      <c r="O231" s="10"/>
      <c r="P231" s="10"/>
      <c r="Q231" s="10"/>
    </row>
    <row r="232" spans="3:17" hidden="1" outlineLevel="1" x14ac:dyDescent="0.3">
      <c r="C232" s="231"/>
      <c r="D232" s="485"/>
      <c r="E232" s="486"/>
      <c r="F232" s="487"/>
      <c r="G232" s="709"/>
      <c r="H232" s="710"/>
      <c r="I232" s="711"/>
      <c r="J232" s="243" t="b">
        <v>0</v>
      </c>
      <c r="K232" s="238" t="b">
        <v>0</v>
      </c>
      <c r="L232" s="17" t="str">
        <f t="shared" si="4"/>
        <v/>
      </c>
      <c r="M232" s="10"/>
      <c r="N232" s="10"/>
      <c r="O232" s="10"/>
      <c r="P232" s="10"/>
      <c r="Q232" s="10"/>
    </row>
    <row r="233" spans="3:17" hidden="1" outlineLevel="1" x14ac:dyDescent="0.3">
      <c r="C233" s="231"/>
      <c r="D233" s="485"/>
      <c r="E233" s="486"/>
      <c r="F233" s="487"/>
      <c r="G233" s="709"/>
      <c r="H233" s="710"/>
      <c r="I233" s="711"/>
      <c r="J233" s="243" t="b">
        <v>0</v>
      </c>
      <c r="K233" s="238" t="b">
        <v>0</v>
      </c>
      <c r="L233" s="17" t="str">
        <f t="shared" si="4"/>
        <v/>
      </c>
      <c r="M233" s="10"/>
      <c r="N233" s="10"/>
      <c r="O233" s="10"/>
      <c r="P233" s="10"/>
      <c r="Q233" s="10"/>
    </row>
    <row r="234" spans="3:17" hidden="1" outlineLevel="1" x14ac:dyDescent="0.3">
      <c r="C234" s="231"/>
      <c r="D234" s="485"/>
      <c r="E234" s="486"/>
      <c r="F234" s="487"/>
      <c r="G234" s="709"/>
      <c r="H234" s="710"/>
      <c r="I234" s="711"/>
      <c r="J234" s="243" t="b">
        <v>0</v>
      </c>
      <c r="K234" s="238" t="b">
        <v>0</v>
      </c>
      <c r="L234" s="17" t="str">
        <f t="shared" si="4"/>
        <v/>
      </c>
      <c r="M234" s="10"/>
      <c r="N234" s="10"/>
      <c r="O234" s="10"/>
      <c r="P234" s="10"/>
      <c r="Q234" s="10"/>
    </row>
    <row r="235" spans="3:17" hidden="1" outlineLevel="1" x14ac:dyDescent="0.3">
      <c r="C235" s="231"/>
      <c r="D235" s="485"/>
      <c r="E235" s="486"/>
      <c r="F235" s="487"/>
      <c r="G235" s="709"/>
      <c r="H235" s="710"/>
      <c r="I235" s="711"/>
      <c r="J235" s="243" t="b">
        <v>0</v>
      </c>
      <c r="K235" s="238" t="b">
        <v>0</v>
      </c>
      <c r="L235" s="17" t="str">
        <f t="shared" si="4"/>
        <v/>
      </c>
      <c r="M235" s="10"/>
      <c r="N235" s="10"/>
      <c r="O235" s="10"/>
      <c r="P235" s="10"/>
      <c r="Q235" s="10"/>
    </row>
    <row r="236" spans="3:17" hidden="1" outlineLevel="1" x14ac:dyDescent="0.3">
      <c r="C236" s="231"/>
      <c r="D236" s="485"/>
      <c r="E236" s="486"/>
      <c r="F236" s="487"/>
      <c r="G236" s="709"/>
      <c r="H236" s="710"/>
      <c r="I236" s="711"/>
      <c r="J236" s="243" t="b">
        <v>0</v>
      </c>
      <c r="K236" s="238" t="b">
        <v>0</v>
      </c>
      <c r="L236" s="17" t="str">
        <f t="shared" si="4"/>
        <v/>
      </c>
      <c r="M236" s="10"/>
      <c r="N236" s="10"/>
      <c r="O236" s="10"/>
      <c r="P236" s="10"/>
      <c r="Q236" s="10"/>
    </row>
    <row r="237" spans="3:17" hidden="1" outlineLevel="1" x14ac:dyDescent="0.3">
      <c r="C237" s="231"/>
      <c r="D237" s="485"/>
      <c r="E237" s="486"/>
      <c r="F237" s="487"/>
      <c r="G237" s="709"/>
      <c r="H237" s="710"/>
      <c r="I237" s="711"/>
      <c r="J237" s="243" t="b">
        <v>0</v>
      </c>
      <c r="K237" s="238" t="b">
        <v>0</v>
      </c>
      <c r="L237" s="17" t="str">
        <f t="shared" si="4"/>
        <v/>
      </c>
      <c r="M237" s="10"/>
      <c r="N237" s="10"/>
      <c r="O237" s="10"/>
      <c r="P237" s="10"/>
      <c r="Q237" s="10"/>
    </row>
    <row r="238" spans="3:17" hidden="1" outlineLevel="1" x14ac:dyDescent="0.3">
      <c r="C238" s="231"/>
      <c r="D238" s="485"/>
      <c r="E238" s="486"/>
      <c r="F238" s="487"/>
      <c r="G238" s="709"/>
      <c r="H238" s="710"/>
      <c r="I238" s="711"/>
      <c r="J238" s="243" t="b">
        <v>0</v>
      </c>
      <c r="K238" s="238" t="b">
        <v>0</v>
      </c>
      <c r="L238" s="17" t="str">
        <f t="shared" si="4"/>
        <v/>
      </c>
      <c r="M238" s="10"/>
      <c r="N238" s="10"/>
      <c r="O238" s="10"/>
      <c r="P238" s="10"/>
      <c r="Q238" s="10"/>
    </row>
    <row r="239" spans="3:17" hidden="1" outlineLevel="1" x14ac:dyDescent="0.3">
      <c r="C239" s="231"/>
      <c r="D239" s="485"/>
      <c r="E239" s="486"/>
      <c r="F239" s="487"/>
      <c r="G239" s="709"/>
      <c r="H239" s="710"/>
      <c r="I239" s="711"/>
      <c r="J239" s="243" t="b">
        <v>0</v>
      </c>
      <c r="K239" s="238" t="b">
        <v>0</v>
      </c>
      <c r="L239" s="17" t="str">
        <f t="shared" si="4"/>
        <v/>
      </c>
      <c r="M239" s="10"/>
      <c r="N239" s="10"/>
      <c r="O239" s="10"/>
      <c r="P239" s="10"/>
      <c r="Q239" s="10"/>
    </row>
    <row r="240" spans="3:17" hidden="1" outlineLevel="1" x14ac:dyDescent="0.3">
      <c r="C240" s="231"/>
      <c r="D240" s="485"/>
      <c r="E240" s="486"/>
      <c r="F240" s="487"/>
      <c r="G240" s="709"/>
      <c r="H240" s="710"/>
      <c r="I240" s="711"/>
      <c r="J240" s="243" t="b">
        <v>0</v>
      </c>
      <c r="K240" s="238" t="b">
        <v>0</v>
      </c>
      <c r="L240" s="17" t="str">
        <f t="shared" si="4"/>
        <v/>
      </c>
      <c r="M240" s="10"/>
      <c r="N240" s="10"/>
      <c r="O240" s="10"/>
      <c r="P240" s="10"/>
      <c r="Q240" s="10"/>
    </row>
    <row r="241" spans="3:17" hidden="1" outlineLevel="1" x14ac:dyDescent="0.3">
      <c r="C241" s="231"/>
      <c r="D241" s="485"/>
      <c r="E241" s="486"/>
      <c r="F241" s="487"/>
      <c r="G241" s="709"/>
      <c r="H241" s="710"/>
      <c r="I241" s="711"/>
      <c r="J241" s="243" t="b">
        <v>0</v>
      </c>
      <c r="K241" s="238" t="b">
        <v>0</v>
      </c>
      <c r="L241" s="17" t="str">
        <f t="shared" si="4"/>
        <v/>
      </c>
      <c r="M241" s="10"/>
      <c r="N241" s="10"/>
      <c r="O241" s="10"/>
      <c r="P241" s="10"/>
      <c r="Q241" s="10"/>
    </row>
    <row r="242" spans="3:17" hidden="1" outlineLevel="1" x14ac:dyDescent="0.3">
      <c r="C242" s="231"/>
      <c r="D242" s="485"/>
      <c r="E242" s="486"/>
      <c r="F242" s="487"/>
      <c r="G242" s="709"/>
      <c r="H242" s="710"/>
      <c r="I242" s="711"/>
      <c r="J242" s="243" t="b">
        <v>0</v>
      </c>
      <c r="K242" s="238" t="b">
        <v>0</v>
      </c>
      <c r="L242" s="17" t="str">
        <f t="shared" si="4"/>
        <v/>
      </c>
      <c r="M242" s="10"/>
      <c r="N242" s="10"/>
      <c r="O242" s="10"/>
      <c r="P242" s="10"/>
      <c r="Q242" s="10"/>
    </row>
    <row r="243" spans="3:17" hidden="1" outlineLevel="1" x14ac:dyDescent="0.3">
      <c r="C243" s="231"/>
      <c r="D243" s="485"/>
      <c r="E243" s="486"/>
      <c r="F243" s="487"/>
      <c r="G243" s="709"/>
      <c r="H243" s="710"/>
      <c r="I243" s="711"/>
      <c r="J243" s="243" t="b">
        <v>0</v>
      </c>
      <c r="K243" s="238" t="b">
        <v>0</v>
      </c>
      <c r="L243" s="17" t="str">
        <f t="shared" si="4"/>
        <v/>
      </c>
      <c r="M243" s="10"/>
      <c r="N243" s="10"/>
      <c r="O243" s="10"/>
      <c r="P243" s="10"/>
      <c r="Q243" s="10"/>
    </row>
    <row r="244" spans="3:17" hidden="1" outlineLevel="1" x14ac:dyDescent="0.3">
      <c r="C244" s="231"/>
      <c r="D244" s="485"/>
      <c r="E244" s="486"/>
      <c r="F244" s="487"/>
      <c r="G244" s="709"/>
      <c r="H244" s="710"/>
      <c r="I244" s="711"/>
      <c r="J244" s="243" t="b">
        <v>0</v>
      </c>
      <c r="K244" s="238" t="b">
        <v>0</v>
      </c>
      <c r="L244" s="17" t="str">
        <f t="shared" si="4"/>
        <v/>
      </c>
      <c r="M244" s="10"/>
      <c r="N244" s="10"/>
      <c r="O244" s="10"/>
      <c r="P244" s="10"/>
      <c r="Q244" s="10"/>
    </row>
    <row r="245" spans="3:17" hidden="1" outlineLevel="1" x14ac:dyDescent="0.3">
      <c r="C245" s="231"/>
      <c r="D245" s="485"/>
      <c r="E245" s="486"/>
      <c r="F245" s="487"/>
      <c r="G245" s="709"/>
      <c r="H245" s="710"/>
      <c r="I245" s="711"/>
      <c r="J245" s="243" t="b">
        <v>0</v>
      </c>
      <c r="K245" s="238" t="b">
        <v>0</v>
      </c>
      <c r="L245" s="17" t="str">
        <f t="shared" si="4"/>
        <v/>
      </c>
      <c r="M245" s="10"/>
      <c r="N245" s="10"/>
      <c r="O245" s="10"/>
      <c r="P245" s="10"/>
      <c r="Q245" s="10"/>
    </row>
    <row r="246" spans="3:17" hidden="1" outlineLevel="1" x14ac:dyDescent="0.3">
      <c r="C246" s="231"/>
      <c r="D246" s="485"/>
      <c r="E246" s="486"/>
      <c r="F246" s="487"/>
      <c r="G246" s="709"/>
      <c r="H246" s="710"/>
      <c r="I246" s="711"/>
      <c r="J246" s="243" t="b">
        <v>0</v>
      </c>
      <c r="K246" s="238" t="b">
        <v>0</v>
      </c>
      <c r="L246" s="17" t="str">
        <f t="shared" si="4"/>
        <v/>
      </c>
      <c r="M246" s="10"/>
      <c r="N246" s="10"/>
      <c r="O246" s="10"/>
      <c r="P246" s="10"/>
      <c r="Q246" s="10"/>
    </row>
    <row r="247" spans="3:17" hidden="1" outlineLevel="1" x14ac:dyDescent="0.3">
      <c r="C247" s="231"/>
      <c r="D247" s="485"/>
      <c r="E247" s="486"/>
      <c r="F247" s="487"/>
      <c r="G247" s="709"/>
      <c r="H247" s="710"/>
      <c r="I247" s="711"/>
      <c r="J247" s="243" t="b">
        <v>0</v>
      </c>
      <c r="K247" s="238" t="b">
        <v>0</v>
      </c>
      <c r="L247" s="17" t="str">
        <f t="shared" si="4"/>
        <v/>
      </c>
      <c r="M247" s="10"/>
      <c r="N247" s="10"/>
      <c r="O247" s="10"/>
      <c r="P247" s="10"/>
      <c r="Q247" s="10"/>
    </row>
    <row r="248" spans="3:17" hidden="1" outlineLevel="1" x14ac:dyDescent="0.3">
      <c r="C248" s="231"/>
      <c r="D248" s="485"/>
      <c r="E248" s="486"/>
      <c r="F248" s="487"/>
      <c r="G248" s="709"/>
      <c r="H248" s="710"/>
      <c r="I248" s="711"/>
      <c r="J248" s="243" t="b">
        <v>0</v>
      </c>
      <c r="K248" s="238" t="b">
        <v>0</v>
      </c>
      <c r="L248" s="17" t="str">
        <f t="shared" si="4"/>
        <v/>
      </c>
      <c r="M248" s="10"/>
      <c r="N248" s="10"/>
      <c r="O248" s="10"/>
      <c r="P248" s="10"/>
      <c r="Q248" s="10"/>
    </row>
    <row r="249" spans="3:17" hidden="1" outlineLevel="1" x14ac:dyDescent="0.3">
      <c r="C249" s="231"/>
      <c r="D249" s="485"/>
      <c r="E249" s="486"/>
      <c r="F249" s="487"/>
      <c r="G249" s="709"/>
      <c r="H249" s="710"/>
      <c r="I249" s="711"/>
      <c r="J249" s="243" t="b">
        <v>0</v>
      </c>
      <c r="K249" s="238" t="b">
        <v>0</v>
      </c>
      <c r="L249" s="17" t="str">
        <f t="shared" si="4"/>
        <v/>
      </c>
      <c r="M249" s="10"/>
      <c r="N249" s="10"/>
      <c r="O249" s="10"/>
      <c r="P249" s="10"/>
      <c r="Q249" s="10"/>
    </row>
    <row r="250" spans="3:17" hidden="1" outlineLevel="1" x14ac:dyDescent="0.3">
      <c r="C250" s="231"/>
      <c r="D250" s="485"/>
      <c r="E250" s="486"/>
      <c r="F250" s="487"/>
      <c r="G250" s="709"/>
      <c r="H250" s="710"/>
      <c r="I250" s="711"/>
      <c r="J250" s="243" t="b">
        <v>0</v>
      </c>
      <c r="K250" s="238" t="b">
        <v>0</v>
      </c>
      <c r="L250" s="17" t="str">
        <f t="shared" si="4"/>
        <v/>
      </c>
      <c r="M250" s="10"/>
      <c r="N250" s="10"/>
      <c r="O250" s="10"/>
      <c r="P250" s="10"/>
      <c r="Q250" s="10"/>
    </row>
    <row r="251" spans="3:17" hidden="1" outlineLevel="1" x14ac:dyDescent="0.3">
      <c r="C251" s="231"/>
      <c r="D251" s="485"/>
      <c r="E251" s="486"/>
      <c r="F251" s="487"/>
      <c r="G251" s="709"/>
      <c r="H251" s="710"/>
      <c r="I251" s="711"/>
      <c r="J251" s="243" t="b">
        <v>0</v>
      </c>
      <c r="K251" s="238" t="b">
        <v>0</v>
      </c>
      <c r="L251" s="17" t="str">
        <f t="shared" si="4"/>
        <v/>
      </c>
      <c r="M251" s="10"/>
      <c r="N251" s="10"/>
      <c r="O251" s="10"/>
      <c r="P251" s="10"/>
      <c r="Q251" s="10"/>
    </row>
    <row r="252" spans="3:17" hidden="1" outlineLevel="1" x14ac:dyDescent="0.3">
      <c r="C252" s="231"/>
      <c r="D252" s="485"/>
      <c r="E252" s="486"/>
      <c r="F252" s="487"/>
      <c r="G252" s="709"/>
      <c r="H252" s="710"/>
      <c r="I252" s="711"/>
      <c r="J252" s="243" t="b">
        <v>0</v>
      </c>
      <c r="K252" s="238" t="b">
        <v>0</v>
      </c>
      <c r="L252" s="17" t="str">
        <f t="shared" si="4"/>
        <v/>
      </c>
      <c r="M252" s="10"/>
      <c r="N252" s="10"/>
      <c r="O252" s="10"/>
      <c r="P252" s="10"/>
      <c r="Q252" s="10"/>
    </row>
    <row r="253" spans="3:17" hidden="1" outlineLevel="1" x14ac:dyDescent="0.3">
      <c r="C253" s="231"/>
      <c r="D253" s="485"/>
      <c r="E253" s="486"/>
      <c r="F253" s="487"/>
      <c r="G253" s="709"/>
      <c r="H253" s="710"/>
      <c r="I253" s="711"/>
      <c r="J253" s="243" t="b">
        <v>0</v>
      </c>
      <c r="K253" s="238" t="b">
        <v>0</v>
      </c>
      <c r="L253" s="17" t="str">
        <f t="shared" si="4"/>
        <v/>
      </c>
      <c r="M253" s="10"/>
      <c r="N253" s="10"/>
      <c r="O253" s="10"/>
      <c r="P253" s="10"/>
      <c r="Q253" s="10"/>
    </row>
    <row r="254" spans="3:17" hidden="1" outlineLevel="1" x14ac:dyDescent="0.3">
      <c r="C254" s="231"/>
      <c r="D254" s="485"/>
      <c r="E254" s="486"/>
      <c r="F254" s="487"/>
      <c r="G254" s="709"/>
      <c r="H254" s="710"/>
      <c r="I254" s="711"/>
      <c r="J254" s="243" t="b">
        <v>0</v>
      </c>
      <c r="K254" s="238" t="b">
        <v>0</v>
      </c>
      <c r="L254" s="17" t="str">
        <f t="shared" si="4"/>
        <v/>
      </c>
      <c r="M254" s="10"/>
      <c r="N254" s="10"/>
      <c r="O254" s="10"/>
      <c r="P254" s="10"/>
      <c r="Q254" s="10"/>
    </row>
    <row r="255" spans="3:17" hidden="1" outlineLevel="1" x14ac:dyDescent="0.3">
      <c r="C255" s="231"/>
      <c r="D255" s="485"/>
      <c r="E255" s="486"/>
      <c r="F255" s="487"/>
      <c r="G255" s="709"/>
      <c r="H255" s="710"/>
      <c r="I255" s="711"/>
      <c r="J255" s="243" t="b">
        <v>0</v>
      </c>
      <c r="K255" s="238" t="b">
        <v>0</v>
      </c>
      <c r="L255" s="17" t="str">
        <f t="shared" si="4"/>
        <v/>
      </c>
      <c r="M255" s="10"/>
      <c r="N255" s="10"/>
      <c r="O255" s="10"/>
      <c r="P255" s="10"/>
      <c r="Q255" s="10"/>
    </row>
    <row r="256" spans="3:17" hidden="1" outlineLevel="1" x14ac:dyDescent="0.3">
      <c r="C256" s="231"/>
      <c r="D256" s="485"/>
      <c r="E256" s="486"/>
      <c r="F256" s="487"/>
      <c r="G256" s="709"/>
      <c r="H256" s="710"/>
      <c r="I256" s="711"/>
      <c r="J256" s="243" t="b">
        <v>0</v>
      </c>
      <c r="K256" s="238" t="b">
        <v>0</v>
      </c>
      <c r="L256" s="17" t="str">
        <f t="shared" si="4"/>
        <v/>
      </c>
      <c r="M256" s="10"/>
      <c r="N256" s="10"/>
      <c r="O256" s="10"/>
      <c r="P256" s="10"/>
      <c r="Q256" s="10"/>
    </row>
    <row r="257" spans="3:17" hidden="1" outlineLevel="1" x14ac:dyDescent="0.3">
      <c r="C257" s="231"/>
      <c r="D257" s="485"/>
      <c r="E257" s="486"/>
      <c r="F257" s="487"/>
      <c r="G257" s="709"/>
      <c r="H257" s="710"/>
      <c r="I257" s="711"/>
      <c r="J257" s="243" t="b">
        <v>0</v>
      </c>
      <c r="K257" s="238" t="b">
        <v>0</v>
      </c>
      <c r="L257" s="17" t="str">
        <f t="shared" si="4"/>
        <v/>
      </c>
      <c r="M257" s="10"/>
      <c r="N257" s="10"/>
      <c r="O257" s="10"/>
      <c r="P257" s="10"/>
      <c r="Q257" s="10"/>
    </row>
    <row r="258" spans="3:17" hidden="1" outlineLevel="1" x14ac:dyDescent="0.3">
      <c r="C258" s="231"/>
      <c r="D258" s="485"/>
      <c r="E258" s="486"/>
      <c r="F258" s="487"/>
      <c r="G258" s="709"/>
      <c r="H258" s="710"/>
      <c r="I258" s="711"/>
      <c r="J258" s="243" t="b">
        <v>0</v>
      </c>
      <c r="K258" s="238" t="b">
        <v>0</v>
      </c>
      <c r="L258" s="17" t="str">
        <f t="shared" si="4"/>
        <v/>
      </c>
      <c r="M258" s="10"/>
      <c r="N258" s="10"/>
      <c r="O258" s="10"/>
      <c r="P258" s="10"/>
      <c r="Q258" s="10"/>
    </row>
    <row r="259" spans="3:17" hidden="1" outlineLevel="1" x14ac:dyDescent="0.3">
      <c r="C259" s="231"/>
      <c r="D259" s="485"/>
      <c r="E259" s="486"/>
      <c r="F259" s="487"/>
      <c r="G259" s="709"/>
      <c r="H259" s="710"/>
      <c r="I259" s="711"/>
      <c r="J259" s="243" t="b">
        <v>0</v>
      </c>
      <c r="K259" s="238" t="b">
        <v>0</v>
      </c>
      <c r="L259" s="17" t="str">
        <f t="shared" si="4"/>
        <v/>
      </c>
      <c r="M259" s="10"/>
      <c r="N259" s="10"/>
      <c r="O259" s="10"/>
      <c r="P259" s="10"/>
      <c r="Q259" s="10"/>
    </row>
    <row r="260" spans="3:17" hidden="1" outlineLevel="1" x14ac:dyDescent="0.3">
      <c r="C260" s="231"/>
      <c r="D260" s="485"/>
      <c r="E260" s="486"/>
      <c r="F260" s="487"/>
      <c r="G260" s="709"/>
      <c r="H260" s="710"/>
      <c r="I260" s="711"/>
      <c r="J260" s="243" t="b">
        <v>0</v>
      </c>
      <c r="K260" s="238" t="b">
        <v>0</v>
      </c>
      <c r="L260" s="17" t="str">
        <f t="shared" si="4"/>
        <v/>
      </c>
      <c r="M260" s="10"/>
      <c r="N260" s="10"/>
      <c r="O260" s="10"/>
      <c r="P260" s="10"/>
      <c r="Q260" s="10"/>
    </row>
    <row r="261" spans="3:17" hidden="1" outlineLevel="1" x14ac:dyDescent="0.3">
      <c r="C261" s="231"/>
      <c r="D261" s="485"/>
      <c r="E261" s="486"/>
      <c r="F261" s="487"/>
      <c r="G261" s="709"/>
      <c r="H261" s="710"/>
      <c r="I261" s="711"/>
      <c r="J261" s="243" t="b">
        <v>0</v>
      </c>
      <c r="K261" s="238" t="b">
        <v>0</v>
      </c>
      <c r="L261" s="17" t="str">
        <f t="shared" si="4"/>
        <v/>
      </c>
      <c r="M261" s="10"/>
      <c r="N261" s="10"/>
      <c r="O261" s="10"/>
      <c r="P261" s="10"/>
      <c r="Q261" s="10"/>
    </row>
    <row r="262" spans="3:17" hidden="1" outlineLevel="1" x14ac:dyDescent="0.3">
      <c r="C262" s="231"/>
      <c r="D262" s="485"/>
      <c r="E262" s="486"/>
      <c r="F262" s="487"/>
      <c r="G262" s="709"/>
      <c r="H262" s="710"/>
      <c r="I262" s="711"/>
      <c r="J262" s="243" t="b">
        <v>0</v>
      </c>
      <c r="K262" s="238" t="b">
        <v>0</v>
      </c>
      <c r="L262" s="17" t="str">
        <f t="shared" si="4"/>
        <v/>
      </c>
      <c r="M262" s="10"/>
      <c r="N262" s="10"/>
      <c r="O262" s="10"/>
      <c r="P262" s="10"/>
      <c r="Q262" s="10"/>
    </row>
    <row r="263" spans="3:17" hidden="1" outlineLevel="1" x14ac:dyDescent="0.3">
      <c r="C263" s="231"/>
      <c r="D263" s="485"/>
      <c r="E263" s="486"/>
      <c r="F263" s="487"/>
      <c r="G263" s="709"/>
      <c r="H263" s="710"/>
      <c r="I263" s="711"/>
      <c r="J263" s="243" t="b">
        <v>0</v>
      </c>
      <c r="K263" s="238" t="b">
        <v>0</v>
      </c>
      <c r="L263" s="17" t="str">
        <f t="shared" si="4"/>
        <v/>
      </c>
      <c r="M263" s="10"/>
      <c r="N263" s="10"/>
      <c r="O263" s="10"/>
      <c r="P263" s="10"/>
      <c r="Q263" s="10"/>
    </row>
    <row r="264" spans="3:17" hidden="1" outlineLevel="1" x14ac:dyDescent="0.3">
      <c r="C264" s="231"/>
      <c r="D264" s="485"/>
      <c r="E264" s="486"/>
      <c r="F264" s="487"/>
      <c r="G264" s="709"/>
      <c r="H264" s="710"/>
      <c r="I264" s="711"/>
      <c r="J264" s="243" t="b">
        <v>0</v>
      </c>
      <c r="K264" s="238" t="b">
        <v>0</v>
      </c>
      <c r="L264" s="17" t="str">
        <f t="shared" si="4"/>
        <v/>
      </c>
      <c r="M264" s="10"/>
      <c r="N264" s="10"/>
      <c r="O264" s="10"/>
      <c r="P264" s="10"/>
      <c r="Q264" s="10"/>
    </row>
    <row r="265" spans="3:17" hidden="1" outlineLevel="1" x14ac:dyDescent="0.3">
      <c r="C265" s="231"/>
      <c r="D265" s="485"/>
      <c r="E265" s="486"/>
      <c r="F265" s="487"/>
      <c r="G265" s="709"/>
      <c r="H265" s="710"/>
      <c r="I265" s="711"/>
      <c r="J265" s="243" t="b">
        <v>0</v>
      </c>
      <c r="K265" s="238" t="b">
        <v>0</v>
      </c>
      <c r="L265" s="17" t="str">
        <f t="shared" si="4"/>
        <v/>
      </c>
      <c r="M265" s="10"/>
      <c r="N265" s="10"/>
      <c r="O265" s="10"/>
      <c r="P265" s="10"/>
      <c r="Q265" s="10"/>
    </row>
    <row r="266" spans="3:17" hidden="1" outlineLevel="1" x14ac:dyDescent="0.3">
      <c r="C266" s="231"/>
      <c r="D266" s="485"/>
      <c r="E266" s="486"/>
      <c r="F266" s="487"/>
      <c r="G266" s="709"/>
      <c r="H266" s="710"/>
      <c r="I266" s="711"/>
      <c r="J266" s="243" t="b">
        <v>0</v>
      </c>
      <c r="K266" s="238" t="b">
        <v>0</v>
      </c>
      <c r="L266" s="17" t="str">
        <f t="shared" si="4"/>
        <v/>
      </c>
      <c r="M266" s="10"/>
      <c r="N266" s="10"/>
      <c r="O266" s="10"/>
      <c r="P266" s="10"/>
      <c r="Q266" s="10"/>
    </row>
    <row r="267" spans="3:17" hidden="1" outlineLevel="1" x14ac:dyDescent="0.3">
      <c r="C267" s="231"/>
      <c r="D267" s="485"/>
      <c r="E267" s="486"/>
      <c r="F267" s="487"/>
      <c r="G267" s="709"/>
      <c r="H267" s="710"/>
      <c r="I267" s="711"/>
      <c r="J267" s="243" t="b">
        <v>0</v>
      </c>
      <c r="K267" s="238" t="b">
        <v>0</v>
      </c>
      <c r="L267" s="17" t="str">
        <f t="shared" si="4"/>
        <v/>
      </c>
      <c r="M267" s="10"/>
      <c r="N267" s="10"/>
      <c r="O267" s="10"/>
      <c r="P267" s="10"/>
      <c r="Q267" s="10"/>
    </row>
    <row r="268" spans="3:17" hidden="1" outlineLevel="1" x14ac:dyDescent="0.3">
      <c r="C268" s="231"/>
      <c r="D268" s="485"/>
      <c r="E268" s="486"/>
      <c r="F268" s="487"/>
      <c r="G268" s="709"/>
      <c r="H268" s="710"/>
      <c r="I268" s="711"/>
      <c r="J268" s="243" t="b">
        <v>0</v>
      </c>
      <c r="K268" s="238" t="b">
        <v>0</v>
      </c>
      <c r="L268" s="17" t="str">
        <f t="shared" si="4"/>
        <v/>
      </c>
      <c r="M268" s="10"/>
      <c r="N268" s="10"/>
      <c r="O268" s="10"/>
      <c r="P268" s="10"/>
      <c r="Q268" s="10"/>
    </row>
    <row r="269" spans="3:17" hidden="1" outlineLevel="1" x14ac:dyDescent="0.3">
      <c r="C269" s="231"/>
      <c r="D269" s="485"/>
      <c r="E269" s="486"/>
      <c r="F269" s="487"/>
      <c r="G269" s="709"/>
      <c r="H269" s="710"/>
      <c r="I269" s="711"/>
      <c r="J269" s="243" t="b">
        <v>0</v>
      </c>
      <c r="K269" s="238" t="b">
        <v>0</v>
      </c>
      <c r="L269" s="17" t="str">
        <f t="shared" si="4"/>
        <v/>
      </c>
      <c r="M269" s="10"/>
      <c r="N269" s="10"/>
      <c r="O269" s="10"/>
      <c r="P269" s="10"/>
      <c r="Q269" s="10"/>
    </row>
    <row r="270" spans="3:17" hidden="1" outlineLevel="1" x14ac:dyDescent="0.3">
      <c r="C270" s="231"/>
      <c r="D270" s="485"/>
      <c r="E270" s="486"/>
      <c r="F270" s="487"/>
      <c r="G270" s="709"/>
      <c r="H270" s="710"/>
      <c r="I270" s="711"/>
      <c r="J270" s="243" t="b">
        <v>0</v>
      </c>
      <c r="K270" s="238" t="b">
        <v>0</v>
      </c>
      <c r="L270" s="17" t="str">
        <f t="shared" si="4"/>
        <v/>
      </c>
      <c r="M270" s="10"/>
      <c r="N270" s="10"/>
      <c r="O270" s="10"/>
      <c r="P270" s="10"/>
      <c r="Q270" s="10"/>
    </row>
    <row r="271" spans="3:17" hidden="1" outlineLevel="1" x14ac:dyDescent="0.3">
      <c r="C271" s="231"/>
      <c r="D271" s="485"/>
      <c r="E271" s="486"/>
      <c r="F271" s="487"/>
      <c r="G271" s="709"/>
      <c r="H271" s="710"/>
      <c r="I271" s="711"/>
      <c r="J271" s="243" t="b">
        <v>0</v>
      </c>
      <c r="K271" s="238" t="b">
        <v>0</v>
      </c>
      <c r="L271" s="17" t="str">
        <f t="shared" si="4"/>
        <v/>
      </c>
      <c r="M271" s="10"/>
      <c r="N271" s="10"/>
      <c r="O271" s="10"/>
      <c r="P271" s="10"/>
      <c r="Q271" s="10"/>
    </row>
    <row r="272" spans="3:17" hidden="1" outlineLevel="1" x14ac:dyDescent="0.3">
      <c r="C272" s="231"/>
      <c r="D272" s="485"/>
      <c r="E272" s="486"/>
      <c r="F272" s="487"/>
      <c r="G272" s="709"/>
      <c r="H272" s="710"/>
      <c r="I272" s="711"/>
      <c r="J272" s="243" t="b">
        <v>0</v>
      </c>
      <c r="K272" s="238" t="b">
        <v>0</v>
      </c>
      <c r="L272" s="17" t="str">
        <f t="shared" si="4"/>
        <v/>
      </c>
      <c r="M272" s="10"/>
      <c r="N272" s="10"/>
      <c r="O272" s="10"/>
      <c r="P272" s="10"/>
      <c r="Q272" s="10"/>
    </row>
    <row r="273" spans="3:17" hidden="1" outlineLevel="1" x14ac:dyDescent="0.3">
      <c r="C273" s="231"/>
      <c r="D273" s="485"/>
      <c r="E273" s="486"/>
      <c r="F273" s="487"/>
      <c r="G273" s="709"/>
      <c r="H273" s="710"/>
      <c r="I273" s="711"/>
      <c r="J273" s="243" t="b">
        <v>0</v>
      </c>
      <c r="K273" s="238" t="b">
        <v>0</v>
      </c>
      <c r="L273" s="17" t="str">
        <f t="shared" si="4"/>
        <v/>
      </c>
      <c r="M273" s="10"/>
      <c r="N273" s="10"/>
      <c r="O273" s="10"/>
      <c r="P273" s="10"/>
      <c r="Q273" s="10"/>
    </row>
    <row r="274" spans="3:17" hidden="1" outlineLevel="1" x14ac:dyDescent="0.3">
      <c r="C274" s="231"/>
      <c r="D274" s="485"/>
      <c r="E274" s="486"/>
      <c r="F274" s="487"/>
      <c r="G274" s="709"/>
      <c r="H274" s="710"/>
      <c r="I274" s="711"/>
      <c r="J274" s="243" t="b">
        <v>0</v>
      </c>
      <c r="K274" s="238" t="b">
        <v>0</v>
      </c>
      <c r="L274" s="17" t="str">
        <f t="shared" si="4"/>
        <v/>
      </c>
      <c r="M274" s="10"/>
      <c r="N274" s="10"/>
      <c r="O274" s="10"/>
      <c r="P274" s="10"/>
      <c r="Q274" s="10"/>
    </row>
    <row r="275" spans="3:17" hidden="1" outlineLevel="1" x14ac:dyDescent="0.3">
      <c r="C275" s="231"/>
      <c r="D275" s="485"/>
      <c r="E275" s="486"/>
      <c r="F275" s="487"/>
      <c r="G275" s="709"/>
      <c r="H275" s="710"/>
      <c r="I275" s="711"/>
      <c r="J275" s="243" t="b">
        <v>0</v>
      </c>
      <c r="K275" s="238" t="b">
        <v>0</v>
      </c>
      <c r="L275" s="17" t="str">
        <f t="shared" si="4"/>
        <v/>
      </c>
      <c r="M275" s="10"/>
      <c r="N275" s="10"/>
      <c r="O275" s="10"/>
      <c r="P275" s="10"/>
      <c r="Q275" s="10"/>
    </row>
    <row r="276" spans="3:17" hidden="1" outlineLevel="1" x14ac:dyDescent="0.3">
      <c r="C276" s="231"/>
      <c r="D276" s="485"/>
      <c r="E276" s="486"/>
      <c r="F276" s="487"/>
      <c r="G276" s="709"/>
      <c r="H276" s="710"/>
      <c r="I276" s="711"/>
      <c r="J276" s="243" t="b">
        <v>0</v>
      </c>
      <c r="K276" s="238" t="b">
        <v>0</v>
      </c>
      <c r="L276" s="17" t="str">
        <f t="shared" si="4"/>
        <v/>
      </c>
      <c r="M276" s="10"/>
      <c r="N276" s="10"/>
      <c r="O276" s="10"/>
      <c r="P276" s="10"/>
      <c r="Q276" s="10"/>
    </row>
    <row r="277" spans="3:17" hidden="1" outlineLevel="1" x14ac:dyDescent="0.3">
      <c r="C277" s="231"/>
      <c r="D277" s="485"/>
      <c r="E277" s="486"/>
      <c r="F277" s="487"/>
      <c r="G277" s="709"/>
      <c r="H277" s="710"/>
      <c r="I277" s="711"/>
      <c r="J277" s="243" t="b">
        <v>0</v>
      </c>
      <c r="K277" s="238" t="b">
        <v>0</v>
      </c>
      <c r="L277" s="17" t="str">
        <f t="shared" si="4"/>
        <v/>
      </c>
      <c r="M277" s="10"/>
      <c r="N277" s="10"/>
      <c r="O277" s="10"/>
      <c r="P277" s="10"/>
      <c r="Q277" s="10"/>
    </row>
    <row r="278" spans="3:17" hidden="1" outlineLevel="1" x14ac:dyDescent="0.3">
      <c r="C278" s="231"/>
      <c r="D278" s="485"/>
      <c r="E278" s="486"/>
      <c r="F278" s="487"/>
      <c r="G278" s="709"/>
      <c r="H278" s="710"/>
      <c r="I278" s="711"/>
      <c r="J278" s="243" t="b">
        <v>0</v>
      </c>
      <c r="K278" s="238" t="b">
        <v>0</v>
      </c>
      <c r="L278" s="17" t="str">
        <f t="shared" si="4"/>
        <v/>
      </c>
      <c r="M278" s="10"/>
      <c r="N278" s="10"/>
      <c r="O278" s="10"/>
      <c r="P278" s="10"/>
      <c r="Q278" s="10"/>
    </row>
    <row r="279" spans="3:17" hidden="1" outlineLevel="1" x14ac:dyDescent="0.3">
      <c r="C279" s="231"/>
      <c r="D279" s="485"/>
      <c r="E279" s="486"/>
      <c r="F279" s="487"/>
      <c r="G279" s="709"/>
      <c r="H279" s="710"/>
      <c r="I279" s="711"/>
      <c r="J279" s="243" t="b">
        <v>0</v>
      </c>
      <c r="K279" s="238" t="b">
        <v>0</v>
      </c>
      <c r="L279" s="17" t="str">
        <f t="shared" si="4"/>
        <v/>
      </c>
      <c r="M279" s="10"/>
      <c r="N279" s="10"/>
      <c r="O279" s="10"/>
      <c r="P279" s="10"/>
      <c r="Q279" s="10"/>
    </row>
    <row r="280" spans="3:17" hidden="1" outlineLevel="1" x14ac:dyDescent="0.3">
      <c r="C280" s="231"/>
      <c r="D280" s="485"/>
      <c r="E280" s="486"/>
      <c r="F280" s="487"/>
      <c r="G280" s="709"/>
      <c r="H280" s="710"/>
      <c r="I280" s="711"/>
      <c r="J280" s="243" t="b">
        <v>0</v>
      </c>
      <c r="K280" s="238" t="b">
        <v>0</v>
      </c>
      <c r="L280" s="17" t="str">
        <f t="shared" si="4"/>
        <v/>
      </c>
      <c r="M280" s="10"/>
      <c r="N280" s="10"/>
      <c r="O280" s="10"/>
      <c r="P280" s="10"/>
      <c r="Q280" s="10"/>
    </row>
    <row r="281" spans="3:17" hidden="1" outlineLevel="1" x14ac:dyDescent="0.3">
      <c r="C281" s="231"/>
      <c r="D281" s="485"/>
      <c r="E281" s="486"/>
      <c r="F281" s="487"/>
      <c r="G281" s="709"/>
      <c r="H281" s="710"/>
      <c r="I281" s="711"/>
      <c r="J281" s="243" t="b">
        <v>0</v>
      </c>
      <c r="K281" s="238" t="b">
        <v>0</v>
      </c>
      <c r="L281" s="17" t="str">
        <f t="shared" si="4"/>
        <v/>
      </c>
      <c r="M281" s="10"/>
      <c r="N281" s="10"/>
      <c r="O281" s="10"/>
      <c r="P281" s="10"/>
      <c r="Q281" s="10"/>
    </row>
    <row r="282" spans="3:17" hidden="1" outlineLevel="1" x14ac:dyDescent="0.3">
      <c r="C282" s="231"/>
      <c r="D282" s="485"/>
      <c r="E282" s="486"/>
      <c r="F282" s="487"/>
      <c r="G282" s="709"/>
      <c r="H282" s="710"/>
      <c r="I282" s="711"/>
      <c r="J282" s="243" t="b">
        <v>0</v>
      </c>
      <c r="K282" s="238" t="b">
        <v>0</v>
      </c>
      <c r="L282" s="17" t="str">
        <f t="shared" si="4"/>
        <v/>
      </c>
      <c r="M282" s="10"/>
      <c r="N282" s="10"/>
      <c r="O282" s="10"/>
      <c r="P282" s="10"/>
      <c r="Q282" s="10"/>
    </row>
    <row r="283" spans="3:17" hidden="1" outlineLevel="1" x14ac:dyDescent="0.3">
      <c r="C283" s="231"/>
      <c r="D283" s="485"/>
      <c r="E283" s="486"/>
      <c r="F283" s="487"/>
      <c r="G283" s="709"/>
      <c r="H283" s="710"/>
      <c r="I283" s="711"/>
      <c r="J283" s="243" t="b">
        <v>0</v>
      </c>
      <c r="K283" s="238" t="b">
        <v>0</v>
      </c>
      <c r="L283" s="17" t="str">
        <f t="shared" si="4"/>
        <v/>
      </c>
      <c r="M283" s="10"/>
      <c r="N283" s="10"/>
      <c r="O283" s="10"/>
      <c r="P283" s="10"/>
      <c r="Q283" s="10"/>
    </row>
    <row r="284" spans="3:17" hidden="1" outlineLevel="1" x14ac:dyDescent="0.3">
      <c r="C284" s="231"/>
      <c r="D284" s="485"/>
      <c r="E284" s="486"/>
      <c r="F284" s="487"/>
      <c r="G284" s="709"/>
      <c r="H284" s="710"/>
      <c r="I284" s="711"/>
      <c r="J284" s="243" t="b">
        <v>0</v>
      </c>
      <c r="K284" s="238" t="b">
        <v>0</v>
      </c>
      <c r="L284" s="17" t="str">
        <f t="shared" si="4"/>
        <v/>
      </c>
      <c r="M284" s="10"/>
      <c r="N284" s="10"/>
      <c r="O284" s="10"/>
      <c r="P284" s="10"/>
      <c r="Q284" s="10"/>
    </row>
    <row r="285" spans="3:17" hidden="1" outlineLevel="1" x14ac:dyDescent="0.3">
      <c r="C285" s="231"/>
      <c r="D285" s="485"/>
      <c r="E285" s="486"/>
      <c r="F285" s="487"/>
      <c r="G285" s="709"/>
      <c r="H285" s="710"/>
      <c r="I285" s="711"/>
      <c r="J285" s="243" t="b">
        <v>0</v>
      </c>
      <c r="K285" s="238" t="b">
        <v>0</v>
      </c>
      <c r="L285" s="17" t="str">
        <f t="shared" si="4"/>
        <v/>
      </c>
      <c r="M285" s="10"/>
      <c r="N285" s="10"/>
      <c r="O285" s="10"/>
      <c r="P285" s="10"/>
      <c r="Q285" s="10"/>
    </row>
    <row r="286" spans="3:17" hidden="1" outlineLevel="1" x14ac:dyDescent="0.3">
      <c r="C286" s="231"/>
      <c r="D286" s="706" t="str">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707"/>
      <c r="F286" s="708"/>
      <c r="G286" s="716"/>
      <c r="H286" s="710"/>
      <c r="I286" s="711"/>
      <c r="J286" s="243" t="b">
        <v>0</v>
      </c>
      <c r="K286" s="238" t="b">
        <v>0</v>
      </c>
      <c r="L286" s="17" t="str">
        <f t="shared" si="4"/>
        <v/>
      </c>
      <c r="M286" s="10"/>
      <c r="N286" s="10"/>
      <c r="O286" s="10"/>
      <c r="P286" s="10"/>
      <c r="Q286" s="10"/>
    </row>
    <row r="287" spans="3:17" ht="15" hidden="1" outlineLevel="1" thickBot="1" x14ac:dyDescent="0.35">
      <c r="C287" s="234"/>
      <c r="D287" s="706" t="str">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707"/>
      <c r="F287" s="708"/>
      <c r="G287" s="883"/>
      <c r="H287" s="839"/>
      <c r="I287" s="884"/>
      <c r="J287" s="244" t="b">
        <v>0</v>
      </c>
      <c r="K287" s="239"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x14ac:dyDescent="0.3">
      <c r="C289" s="689" t="str">
        <f>template_label_b5_biodiversity_land_use&amp;" "&amp;template_label_from&amp;" "&amp;template_starting_date_display&amp;" "&amp;template_label_to&amp;" "&amp;template_ending_date_display&amp;" " &amp; template_label_may</f>
        <v>B5 - Biodiversity - Land-use from - to - [May (optional)]</v>
      </c>
      <c r="D289" s="690"/>
      <c r="E289" s="690"/>
      <c r="F289" s="691"/>
    </row>
    <row r="290" spans="3:12" x14ac:dyDescent="0.3">
      <c r="C290" s="692">
        <v>34</v>
      </c>
      <c r="D290" s="693"/>
      <c r="E290" s="693"/>
      <c r="F290" s="694"/>
    </row>
    <row r="291" spans="3:12" x14ac:dyDescent="0.3">
      <c r="C291" s="686" t="s">
        <v>5651</v>
      </c>
      <c r="D291" s="687"/>
      <c r="E291" s="687"/>
      <c r="F291" s="688"/>
    </row>
    <row r="292" spans="3:12" ht="16.95" customHeight="1" x14ac:dyDescent="0.3">
      <c r="C292" s="859" t="str">
        <f>template_label_please_select_the_unit_used_for_the_area</f>
        <v>Please select the unit used for the area (i.e. either hectares or m²):</v>
      </c>
      <c r="D292" s="697"/>
      <c r="E292" s="697"/>
      <c r="F292" s="729"/>
    </row>
    <row r="293" spans="3:12" x14ac:dyDescent="0.3">
      <c r="C293" s="860"/>
      <c r="D293" s="606"/>
      <c r="E293" s="606"/>
      <c r="F293" s="607"/>
      <c r="G293" s="16" t="str">
        <f>IF(C293&lt;&gt;"", template_label_ok, IF(AND(OR(D295&lt;&gt;"", D296&lt;&gt;"", D297&lt;&gt;"", D298&lt;&gt;""), C293=""), template_label_missing_value, ""))</f>
        <v/>
      </c>
      <c r="H293" s="122"/>
      <c r="K293" s="16"/>
    </row>
    <row r="294" spans="3:12" x14ac:dyDescent="0.3">
      <c r="C294" s="123" t="str">
        <f>template_label_land_use_type</f>
        <v>Land-use type</v>
      </c>
      <c r="D294" s="697" t="str">
        <f>template_label_area</f>
        <v>Area</v>
      </c>
      <c r="E294" s="697"/>
      <c r="F294" s="729"/>
      <c r="G294" s="16"/>
      <c r="H294" s="122"/>
      <c r="K294" s="16"/>
    </row>
    <row r="295" spans="3:12" x14ac:dyDescent="0.3">
      <c r="C295" s="126" t="str">
        <f>template_label_total_sealed_area</f>
        <v>Total sealed area</v>
      </c>
      <c r="D295" s="739"/>
      <c r="E295" s="739"/>
      <c r="F295" s="740"/>
      <c r="G295" s="715" t="str">
        <f>IF(AND(G293=template_label_ok, COUNTIF(D295:F298,"&lt;&gt;")&gt;0),
    template_label_ok,
    IF(AND(G293=template_label_ok, COUNTA(D295:F298)=0),
        template_label_missing_value,
        IF(AND(G293=template_label_missing_value, COUNTIF(D295:F298,"&lt;&gt;")&gt;0),
            template_label_value_inconsistency,
            ""
        )
    )
)</f>
        <v/>
      </c>
      <c r="H295" s="125"/>
      <c r="K295" s="16"/>
    </row>
    <row r="296" spans="3:12" x14ac:dyDescent="0.3">
      <c r="C296" s="126" t="str">
        <f>template_label_total_nature_oriented_area_on_site</f>
        <v>Total nature-oriented area on-site</v>
      </c>
      <c r="D296" s="739"/>
      <c r="E296" s="739"/>
      <c r="F296" s="740"/>
      <c r="G296" s="715"/>
      <c r="H296" s="125"/>
      <c r="K296" s="16"/>
    </row>
    <row r="297" spans="3:12" x14ac:dyDescent="0.3">
      <c r="C297" s="126" t="str">
        <f>template_label_total_nature_oriented_area_off_site</f>
        <v>Total nature-oriented area off-site</v>
      </c>
      <c r="D297" s="739"/>
      <c r="E297" s="739"/>
      <c r="F297" s="740"/>
      <c r="G297" s="715"/>
      <c r="H297" s="125"/>
      <c r="K297" s="16"/>
    </row>
    <row r="298" spans="3:12" ht="15" thickBot="1" x14ac:dyDescent="0.35">
      <c r="C298" s="113" t="str">
        <f>template_label_total_use_of_land</f>
        <v>Total use of land</v>
      </c>
      <c r="D298" s="741"/>
      <c r="E298" s="741"/>
      <c r="F298" s="742"/>
      <c r="G298" s="715"/>
      <c r="H298" s="125"/>
      <c r="K298" s="16"/>
    </row>
    <row r="299" spans="3:12" ht="15" thickBot="1" x14ac:dyDescent="0.35"/>
    <row r="300" spans="3:12" x14ac:dyDescent="0.3">
      <c r="C300" s="678" t="str">
        <f>template_label_b6_water_withdrawal&amp;" "&amp;template_label_from&amp;" "&amp;template_starting_date_display&amp;" "&amp;template_label_to&amp;" "&amp;template_ending_date_display&amp;" "&amp;template_label_always_to_be_reported</f>
        <v>B6 - Water Withdrawal from - to - [Always to be reported]</v>
      </c>
      <c r="D300" s="722"/>
      <c r="E300" s="15"/>
      <c r="F300" s="15"/>
      <c r="G300" s="16"/>
      <c r="H300" s="16"/>
      <c r="I300" s="16"/>
      <c r="K300" s="16"/>
    </row>
    <row r="301" spans="3:12" x14ac:dyDescent="0.3">
      <c r="C301" s="576">
        <v>35</v>
      </c>
      <c r="D301" s="720"/>
      <c r="E301" s="127"/>
      <c r="F301" s="127"/>
      <c r="G301" s="16"/>
      <c r="H301" s="16"/>
      <c r="I301" s="16"/>
    </row>
    <row r="302" spans="3:12" x14ac:dyDescent="0.3">
      <c r="C302" s="561" t="s">
        <v>5652</v>
      </c>
      <c r="D302" s="721"/>
      <c r="E302" s="128"/>
      <c r="F302" s="128"/>
      <c r="G302" s="16"/>
      <c r="H302" s="16"/>
      <c r="I302" s="16"/>
      <c r="K302" s="52"/>
      <c r="L302" s="52"/>
    </row>
    <row r="303" spans="3:12" x14ac:dyDescent="0.3">
      <c r="C303" s="99" t="str">
        <f>template_label_total_amount_of_water_withdrawn_from_all_sites</f>
        <v>Total amount of water withdrawn from all sites (cubic meters m³)</v>
      </c>
      <c r="D303" s="273"/>
      <c r="E303" s="704" t="str">
        <f>IF(
    AND(
        OR(
            'General Information'!E122="Option A (Basic Module only)",
            'General Information'!E122="Option B (Basic Module and Comprehensive Module)"
        ),
        TotalAmountOfWaterWithdrawnFromAllSites=""
    ),
    template_label_missing_value,
    IF('General Information'!E122="", "", template_label_ok)
)</f>
        <v/>
      </c>
      <c r="F303" s="705"/>
      <c r="G303" s="16"/>
      <c r="H303" s="16"/>
      <c r="I303" s="16"/>
    </row>
    <row r="304" spans="3:12" ht="15" thickBot="1" x14ac:dyDescent="0.35">
      <c r="C304" s="129" t="str">
        <f>template_label_amount_of_water_withdrawn_at_sites_located_in_areas_of_high_water_stress</f>
        <v>Amount of water withdrawn at sites located in areas of high water-stress (cubic meters m³)</v>
      </c>
      <c r="D304" s="274"/>
      <c r="E304" s="743" t="str">
        <f>IF(
    AND(
        OR(
            'General Information'!E122="Option A (Basic Module only)",
            'General Information'!E122="Option B (Basic Module and Comprehensive Module)"
        ),
        AmountOfWaterWithdrawnAtSitesLocatedInAreasOfHighWaterStress=""
    ),
    template_label_missing_value,
    IF('General Information'!E122="", "", template_label_ok)
)</f>
        <v/>
      </c>
      <c r="F304" s="713"/>
      <c r="G304" s="16"/>
      <c r="H304" s="16"/>
      <c r="I304" s="16"/>
    </row>
    <row r="305" spans="3:12" ht="15" thickBot="1" x14ac:dyDescent="0.35">
      <c r="K305" s="38"/>
    </row>
    <row r="306" spans="3:12" x14ac:dyDescent="0.3">
      <c r="C306" s="678" t="str">
        <f>template_label_b6_water_consumption&amp;" "&amp;template_label_from&amp;" "&amp;template_starting_date_display&amp;" "&amp;template_label_to&amp;" "&amp;template_ending_date_display&amp;" "&amp;template_label_if_applicable</f>
        <v>B6 - Water Consumption from - to - [If applicable]</v>
      </c>
      <c r="D306" s="722"/>
      <c r="E306" s="15"/>
      <c r="F306" s="15"/>
    </row>
    <row r="307" spans="3:12" x14ac:dyDescent="0.3">
      <c r="C307" s="692">
        <v>36</v>
      </c>
      <c r="D307" s="694"/>
      <c r="E307" s="127"/>
      <c r="F307" s="127"/>
    </row>
    <row r="308" spans="3:12" x14ac:dyDescent="0.3">
      <c r="C308" s="561" t="s">
        <v>5653</v>
      </c>
      <c r="D308" s="563"/>
      <c r="E308" s="128"/>
      <c r="F308" s="128"/>
    </row>
    <row r="309" spans="3:12" ht="50.7" customHeight="1" x14ac:dyDescent="0.3">
      <c r="C309" s="131"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6" t="b">
        <v>0</v>
      </c>
      <c r="E309" s="130"/>
      <c r="F309" s="130"/>
      <c r="G309" s="16"/>
      <c r="H309" s="16"/>
      <c r="I309" s="16"/>
    </row>
    <row r="310" spans="3:12" ht="15" thickBot="1" x14ac:dyDescent="0.35">
      <c r="C310" s="129" t="str">
        <f>template_label_water_discharge_from_undertaking_production_processes</f>
        <v>Water discharge from undertaking production processes (m³)</v>
      </c>
      <c r="D310" s="290"/>
      <c r="E310" s="713" t="str">
        <f>IF(
    AND(D309=TRUE, D310=""),
    template_label_missing_value,
    IF(AND(D309=TRUE, D310&lt;&gt;""),
        template_label_ok,
        ""
    )
)</f>
        <v/>
      </c>
      <c r="F310" s="713"/>
      <c r="G310" s="16"/>
      <c r="H310" s="16"/>
      <c r="I310" s="16"/>
    </row>
    <row r="311" spans="3:12" ht="21" customHeight="1" thickBot="1" x14ac:dyDescent="0.35">
      <c r="C311" s="132" t="str">
        <f>template_label_total_water_consumption</f>
        <v>Total water consumption (m³)</v>
      </c>
      <c r="D311" s="291" t="str">
        <f>IF(D310&lt;&gt;"",$D$303-$D$310,"-")</f>
        <v>-</v>
      </c>
      <c r="E311" s="133"/>
      <c r="F311" s="133"/>
    </row>
    <row r="312" spans="3:12" ht="15" thickBot="1" x14ac:dyDescent="0.35"/>
    <row r="313" spans="3:12" x14ac:dyDescent="0.3">
      <c r="C313" s="689"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 to - [Always to be reported]</v>
      </c>
      <c r="D313" s="690"/>
      <c r="E313" s="718"/>
      <c r="F313" s="718"/>
      <c r="G313" s="691"/>
      <c r="H313" s="16"/>
      <c r="I313" s="16"/>
    </row>
    <row r="314" spans="3:12" x14ac:dyDescent="0.3">
      <c r="C314" s="692">
        <v>37</v>
      </c>
      <c r="D314" s="693"/>
      <c r="E314" s="719"/>
      <c r="F314" s="719"/>
      <c r="G314" s="694"/>
      <c r="H314" s="134"/>
      <c r="I314" s="134"/>
    </row>
    <row r="315" spans="3:12" x14ac:dyDescent="0.3">
      <c r="C315" s="686">
        <v>94</v>
      </c>
      <c r="D315" s="687"/>
      <c r="E315" s="617"/>
      <c r="F315" s="617"/>
      <c r="G315" s="688"/>
      <c r="H315" s="135"/>
      <c r="I315" s="135"/>
    </row>
    <row r="316" spans="3:12" x14ac:dyDescent="0.3">
      <c r="C316" s="97" t="str">
        <f>template_label_undertaking_applies_circular_economy_principles</f>
        <v>Undertaking applies circular economy principles</v>
      </c>
      <c r="D316" s="774"/>
      <c r="E316" s="775"/>
      <c r="F316" s="775"/>
      <c r="G316" s="776"/>
      <c r="H316" s="723" t="str">
        <f>IF(
    AND(
        OR(
            'General Information'!E122="Option A (Basic Module only)",
            'General Information'!E122="Option B (Basic Module and Comprehensive Module)"
        ),
        UndertakingAppliesCircularEconomyPrinciples=""
    ),
    template_label_missing_value,
    IF('General Information'!E122="", "", template_label_ok)
)</f>
        <v/>
      </c>
      <c r="I316" s="647"/>
      <c r="J316" s="16"/>
    </row>
    <row r="317" spans="3:12" ht="15" thickBot="1" x14ac:dyDescent="0.35">
      <c r="C317" s="116" t="str">
        <f>template_label_description_of_how_it_applies_these_principles</f>
        <v>Description of how it applies these principles</v>
      </c>
      <c r="D317" s="666"/>
      <c r="E317" s="675"/>
      <c r="F317" s="675"/>
      <c r="G317" s="667"/>
      <c r="H317" s="723" t="str">
        <f>IF(
    AND(D316="YES", D317=""),
    template_label_missing_value,
    IF(
        AND(D316="YES", D317&lt;&gt;""),
        template_label_ok,
        IF(
            AND(D316="NO", D317&lt;&gt;""),
            template_label_value_inconsistency,
            ""
        )
    )
)</f>
        <v/>
      </c>
      <c r="I317" s="647"/>
      <c r="J317" s="16"/>
    </row>
    <row r="318" spans="3:12" ht="15" thickBot="1" x14ac:dyDescent="0.35"/>
    <row r="319" spans="3:12" x14ac:dyDescent="0.3">
      <c r="C319" s="689" t="str">
        <f>template_label_b7_waste_generated&amp;" "&amp;template_label_from&amp;" "&amp;template_starting_date_display&amp;" "&amp;template_label_to&amp;" "&amp;template_ending_date_display&amp;" "&amp;template_label_always_to_be_reported</f>
        <v>B7 - Waste generated from - to - [Always to be reported]</v>
      </c>
      <c r="D319" s="690"/>
      <c r="E319" s="690"/>
      <c r="F319" s="690"/>
      <c r="G319" s="690"/>
      <c r="H319" s="690"/>
      <c r="I319" s="690"/>
      <c r="J319" s="690"/>
      <c r="K319" s="690"/>
      <c r="L319" s="691"/>
    </row>
    <row r="320" spans="3:12" x14ac:dyDescent="0.3">
      <c r="C320" s="692" t="s">
        <v>3726</v>
      </c>
      <c r="D320" s="693"/>
      <c r="E320" s="693"/>
      <c r="F320" s="693"/>
      <c r="G320" s="693"/>
      <c r="H320" s="693"/>
      <c r="I320" s="693"/>
      <c r="J320" s="693"/>
      <c r="K320" s="693"/>
      <c r="L320" s="694"/>
    </row>
    <row r="321" spans="3:14" x14ac:dyDescent="0.3">
      <c r="C321" s="686" t="s">
        <v>5654</v>
      </c>
      <c r="D321" s="687"/>
      <c r="E321" s="687"/>
      <c r="F321" s="687"/>
      <c r="G321" s="687"/>
      <c r="H321" s="687"/>
      <c r="I321" s="687"/>
      <c r="J321" s="687"/>
      <c r="K321" s="687"/>
      <c r="L321" s="688"/>
    </row>
    <row r="322" spans="3:14" ht="49.2" customHeight="1" x14ac:dyDescent="0.3">
      <c r="C322" s="136" t="str">
        <f>template_label_row_id</f>
        <v>Row ID</v>
      </c>
      <c r="D322" s="755" t="str">
        <f>template_label_type_of_waste</f>
        <v>Type of waste</v>
      </c>
      <c r="E322" s="755"/>
      <c r="F322" s="755"/>
      <c r="G322" s="757" t="str">
        <f>template_label_unit_of_measurement</f>
        <v>Unit of measurement</v>
      </c>
      <c r="H322" s="757"/>
      <c r="I322" s="757"/>
      <c r="J322" s="137" t="str">
        <f>template_label_waste_diverted_to_recycle_or_reuse</f>
        <v>Waste diverted to recycle or reuse</v>
      </c>
      <c r="K322" s="138" t="str">
        <f>template_label_waste_directed_to_disposal</f>
        <v>Waste directed to disposal</v>
      </c>
      <c r="L322" s="139" t="str">
        <f>template_label_total_waste_recycled_reused_and_directed_to_disposal</f>
        <v>Amount of waste recycled reused and directed to disposal</v>
      </c>
    </row>
    <row r="323" spans="3:14" x14ac:dyDescent="0.3">
      <c r="C323" s="383">
        <v>1</v>
      </c>
      <c r="D323" s="712"/>
      <c r="E323" s="712"/>
      <c r="F323" s="712"/>
      <c r="G323" s="714"/>
      <c r="H323" s="714"/>
      <c r="I323" s="714"/>
      <c r="J323" s="275"/>
      <c r="K323" s="276"/>
      <c r="L323" s="277" t="str">
        <f>IF(AND(D323="",J323="",K323=""),"-",SUM(J323:K323))</f>
        <v>-</v>
      </c>
      <c r="M323" s="16" t="str">
        <f>IF(D323&lt;&gt;"", IF(
    IFERROR(LEN(LEFT(D323,FIND("-",D323)-1)),0)=13,
    IF(
        OR('General Information'!E122="Option A (Basic Module only)",
           'General Information'!E122="Option B (Basic Module and Comprehensive Module)"),
        IF(
            COUNTIF(enum_ListWasteCategories,D323)&gt;0,
            template_label_error,
            IF(
                OR(D323="",G323="",J323="",K323=""),
                template_label_missing_value,
                IF(
                    COUNTIF(D323:D422,D323)&gt;1,
                    template_label_value_inconsistency,
                    template_label_ok
                )
            )
        ),
        ""
    ),
    template_label_error
), "")</f>
        <v/>
      </c>
      <c r="N323" t="str">
        <f>template_label_type_of_waste_warning</f>
        <v>ℹ️  Please select a Type of waste (Hazardous or Non-Hazardous) rather than a category else an ERROR message will appear.</v>
      </c>
    </row>
    <row r="324" spans="3:14" x14ac:dyDescent="0.3">
      <c r="C324" s="383">
        <v>2</v>
      </c>
      <c r="D324" s="712"/>
      <c r="E324" s="712"/>
      <c r="F324" s="712"/>
      <c r="G324" s="714"/>
      <c r="H324" s="714"/>
      <c r="I324" s="714"/>
      <c r="J324" s="278"/>
      <c r="K324" s="278"/>
      <c r="L324" s="279" t="str">
        <f t="shared" ref="L324:L422" si="5">IF(AND(D324="",J324="",K324=""),"-",SUM(J324:K324))</f>
        <v>-</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spans="3:14" ht="15" thickBot="1" x14ac:dyDescent="0.35">
      <c r="C325" s="384">
        <v>3</v>
      </c>
      <c r="D325" s="754"/>
      <c r="E325" s="754"/>
      <c r="F325" s="754"/>
      <c r="G325" s="703"/>
      <c r="H325" s="703"/>
      <c r="I325" s="703"/>
      <c r="J325" s="280"/>
      <c r="K325" s="280"/>
      <c r="L325" s="281" t="str">
        <f>IF(AND(D325="",J325="",K325=""),"-",SUM(J325:K325))</f>
        <v>-</v>
      </c>
      <c r="M325" s="16" t="str">
        <f t="shared" si="6"/>
        <v/>
      </c>
      <c r="N325" t="str">
        <f>template_label_additional_rows_warning</f>
        <v>ℹ️  Lists can be expanded using the little [+] button on the left.  If the number of rows is not sufficient, those can be added by right clicking the second row and selecting "Insert row".</v>
      </c>
    </row>
    <row r="326" spans="3:14" hidden="1" outlineLevel="1" x14ac:dyDescent="0.3">
      <c r="C326" s="382">
        <v>4</v>
      </c>
      <c r="D326" s="756"/>
      <c r="E326" s="756"/>
      <c r="F326" s="756"/>
      <c r="G326" s="717"/>
      <c r="H326" s="717"/>
      <c r="I326" s="717"/>
      <c r="J326" s="282"/>
      <c r="K326" s="282"/>
      <c r="L326" s="283" t="str">
        <f t="shared" si="5"/>
        <v>-</v>
      </c>
      <c r="M326" s="16" t="str">
        <f t="shared" si="6"/>
        <v/>
      </c>
    </row>
    <row r="327" spans="3:14" hidden="1" outlineLevel="1" x14ac:dyDescent="0.3">
      <c r="C327" s="383">
        <v>5</v>
      </c>
      <c r="D327" s="712"/>
      <c r="E327" s="712"/>
      <c r="F327" s="712"/>
      <c r="G327" s="714"/>
      <c r="H327" s="714"/>
      <c r="I327" s="714"/>
      <c r="J327" s="278"/>
      <c r="K327" s="278"/>
      <c r="L327" s="279" t="str">
        <f t="shared" si="5"/>
        <v>-</v>
      </c>
      <c r="M327" s="16" t="str">
        <f t="shared" si="6"/>
        <v/>
      </c>
    </row>
    <row r="328" spans="3:14" hidden="1" outlineLevel="1" x14ac:dyDescent="0.3">
      <c r="C328" s="383">
        <v>6</v>
      </c>
      <c r="D328" s="712"/>
      <c r="E328" s="712"/>
      <c r="F328" s="712"/>
      <c r="G328" s="714"/>
      <c r="H328" s="714"/>
      <c r="I328" s="714"/>
      <c r="J328" s="278"/>
      <c r="K328" s="278"/>
      <c r="L328" s="279" t="str">
        <f>IF(AND(D328="",J328="",K328=""),"-",SUM(J328:K328))</f>
        <v>-</v>
      </c>
      <c r="M328" s="16" t="str">
        <f t="shared" si="6"/>
        <v/>
      </c>
    </row>
    <row r="329" spans="3:14" hidden="1" outlineLevel="1" x14ac:dyDescent="0.3">
      <c r="C329" s="383">
        <v>7</v>
      </c>
      <c r="D329" s="712"/>
      <c r="E329" s="712"/>
      <c r="F329" s="712"/>
      <c r="G329" s="714"/>
      <c r="H329" s="714"/>
      <c r="I329" s="714"/>
      <c r="J329" s="278"/>
      <c r="K329" s="278"/>
      <c r="L329" s="279" t="str">
        <f>IF(AND(D329="",J329="",K329=""),"-",SUM(J329:K329))</f>
        <v>-</v>
      </c>
      <c r="M329" s="16" t="str">
        <f t="shared" si="6"/>
        <v/>
      </c>
    </row>
    <row r="330" spans="3:14" hidden="1" outlineLevel="1" x14ac:dyDescent="0.3">
      <c r="C330" s="383">
        <v>8</v>
      </c>
      <c r="D330" s="712"/>
      <c r="E330" s="712"/>
      <c r="F330" s="712"/>
      <c r="G330" s="714"/>
      <c r="H330" s="714"/>
      <c r="I330" s="714"/>
      <c r="J330" s="278"/>
      <c r="K330" s="278"/>
      <c r="L330" s="279" t="str">
        <f t="shared" si="5"/>
        <v>-</v>
      </c>
      <c r="M330" s="16" t="str">
        <f t="shared" si="6"/>
        <v/>
      </c>
    </row>
    <row r="331" spans="3:14" hidden="1" outlineLevel="1" x14ac:dyDescent="0.3">
      <c r="C331" s="383">
        <v>9</v>
      </c>
      <c r="D331" s="712"/>
      <c r="E331" s="712"/>
      <c r="F331" s="712"/>
      <c r="G331" s="714"/>
      <c r="H331" s="714"/>
      <c r="I331" s="714"/>
      <c r="J331" s="278"/>
      <c r="K331" s="278"/>
      <c r="L331" s="279" t="str">
        <f t="shared" si="5"/>
        <v>-</v>
      </c>
      <c r="M331" s="16" t="str">
        <f t="shared" si="6"/>
        <v/>
      </c>
    </row>
    <row r="332" spans="3:14" hidden="1" outlineLevel="1" x14ac:dyDescent="0.3">
      <c r="C332" s="383">
        <v>10</v>
      </c>
      <c r="D332" s="712"/>
      <c r="E332" s="712"/>
      <c r="F332" s="712"/>
      <c r="G332" s="714"/>
      <c r="H332" s="714"/>
      <c r="I332" s="714"/>
      <c r="J332" s="278"/>
      <c r="K332" s="278"/>
      <c r="L332" s="279" t="str">
        <f t="shared" si="5"/>
        <v>-</v>
      </c>
      <c r="M332" s="16" t="str">
        <f t="shared" si="6"/>
        <v/>
      </c>
    </row>
    <row r="333" spans="3:14" hidden="1" outlineLevel="1" x14ac:dyDescent="0.3">
      <c r="C333" s="383">
        <v>11</v>
      </c>
      <c r="D333" s="712"/>
      <c r="E333" s="712"/>
      <c r="F333" s="712"/>
      <c r="G333" s="714"/>
      <c r="H333" s="714"/>
      <c r="I333" s="714"/>
      <c r="J333" s="278"/>
      <c r="K333" s="278"/>
      <c r="L333" s="279" t="str">
        <f t="shared" si="5"/>
        <v>-</v>
      </c>
      <c r="M333" s="16" t="str">
        <f t="shared" si="6"/>
        <v/>
      </c>
    </row>
    <row r="334" spans="3:14" hidden="1" outlineLevel="1" x14ac:dyDescent="0.3">
      <c r="C334" s="383">
        <v>12</v>
      </c>
      <c r="D334" s="712"/>
      <c r="E334" s="712"/>
      <c r="F334" s="712"/>
      <c r="G334" s="714"/>
      <c r="H334" s="714"/>
      <c r="I334" s="714"/>
      <c r="J334" s="278"/>
      <c r="K334" s="278"/>
      <c r="L334" s="279" t="str">
        <f t="shared" si="5"/>
        <v>-</v>
      </c>
      <c r="M334" s="16" t="str">
        <f t="shared" si="6"/>
        <v/>
      </c>
    </row>
    <row r="335" spans="3:14" hidden="1" outlineLevel="1" x14ac:dyDescent="0.3">
      <c r="C335" s="383">
        <v>13</v>
      </c>
      <c r="D335" s="712"/>
      <c r="E335" s="712"/>
      <c r="F335" s="712"/>
      <c r="G335" s="714"/>
      <c r="H335" s="714"/>
      <c r="I335" s="714"/>
      <c r="J335" s="278"/>
      <c r="K335" s="278"/>
      <c r="L335" s="279" t="str">
        <f t="shared" si="5"/>
        <v>-</v>
      </c>
      <c r="M335" s="16" t="str">
        <f t="shared" si="6"/>
        <v/>
      </c>
    </row>
    <row r="336" spans="3:14" hidden="1" outlineLevel="1" x14ac:dyDescent="0.3">
      <c r="C336" s="383">
        <v>14</v>
      </c>
      <c r="D336" s="712"/>
      <c r="E336" s="712"/>
      <c r="F336" s="712"/>
      <c r="G336" s="714"/>
      <c r="H336" s="714"/>
      <c r="I336" s="714"/>
      <c r="J336" s="278"/>
      <c r="K336" s="278"/>
      <c r="L336" s="279" t="str">
        <f t="shared" si="5"/>
        <v>-</v>
      </c>
      <c r="M336" s="16" t="str">
        <f t="shared" si="6"/>
        <v/>
      </c>
    </row>
    <row r="337" spans="3:13" hidden="1" outlineLevel="1" x14ac:dyDescent="0.3">
      <c r="C337" s="383">
        <v>15</v>
      </c>
      <c r="D337" s="712"/>
      <c r="E337" s="712"/>
      <c r="F337" s="712"/>
      <c r="G337" s="714"/>
      <c r="H337" s="714"/>
      <c r="I337" s="714"/>
      <c r="J337" s="491"/>
      <c r="K337" s="491"/>
      <c r="L337" s="279" t="str">
        <f t="shared" si="5"/>
        <v>-</v>
      </c>
      <c r="M337" s="16" t="str">
        <f t="shared" si="6"/>
        <v/>
      </c>
    </row>
    <row r="338" spans="3:13" hidden="1" outlineLevel="1" x14ac:dyDescent="0.3">
      <c r="C338" s="383">
        <v>16</v>
      </c>
      <c r="D338" s="712"/>
      <c r="E338" s="712"/>
      <c r="F338" s="712"/>
      <c r="G338" s="714"/>
      <c r="H338" s="714"/>
      <c r="I338" s="714"/>
      <c r="J338" s="491"/>
      <c r="K338" s="491"/>
      <c r="L338" s="279" t="str">
        <f t="shared" si="5"/>
        <v>-</v>
      </c>
      <c r="M338" s="16" t="str">
        <f t="shared" si="6"/>
        <v/>
      </c>
    </row>
    <row r="339" spans="3:13" hidden="1" outlineLevel="1" x14ac:dyDescent="0.3">
      <c r="C339" s="383">
        <v>17</v>
      </c>
      <c r="D339" s="712"/>
      <c r="E339" s="712"/>
      <c r="F339" s="712"/>
      <c r="G339" s="714"/>
      <c r="H339" s="714"/>
      <c r="I339" s="714"/>
      <c r="J339" s="491"/>
      <c r="K339" s="491"/>
      <c r="L339" s="279" t="str">
        <f t="shared" si="5"/>
        <v>-</v>
      </c>
      <c r="M339" s="16" t="str">
        <f t="shared" si="6"/>
        <v/>
      </c>
    </row>
    <row r="340" spans="3:13" hidden="1" outlineLevel="1" x14ac:dyDescent="0.3">
      <c r="C340" s="383">
        <v>18</v>
      </c>
      <c r="D340" s="712"/>
      <c r="E340" s="712"/>
      <c r="F340" s="712"/>
      <c r="G340" s="714"/>
      <c r="H340" s="714"/>
      <c r="I340" s="714"/>
      <c r="J340" s="491"/>
      <c r="K340" s="491"/>
      <c r="L340" s="279" t="str">
        <f t="shared" si="5"/>
        <v>-</v>
      </c>
      <c r="M340" s="16" t="str">
        <f t="shared" si="6"/>
        <v/>
      </c>
    </row>
    <row r="341" spans="3:13" hidden="1" outlineLevel="1" x14ac:dyDescent="0.3">
      <c r="C341" s="383">
        <v>19</v>
      </c>
      <c r="D341" s="712"/>
      <c r="E341" s="712"/>
      <c r="F341" s="712"/>
      <c r="G341" s="714"/>
      <c r="H341" s="714"/>
      <c r="I341" s="714"/>
      <c r="J341" s="491"/>
      <c r="K341" s="491"/>
      <c r="L341" s="279" t="str">
        <f t="shared" si="5"/>
        <v>-</v>
      </c>
      <c r="M341" s="16" t="str">
        <f t="shared" si="6"/>
        <v/>
      </c>
    </row>
    <row r="342" spans="3:13" hidden="1" outlineLevel="1" x14ac:dyDescent="0.3">
      <c r="C342" s="383">
        <v>20</v>
      </c>
      <c r="D342" s="712"/>
      <c r="E342" s="712"/>
      <c r="F342" s="712"/>
      <c r="G342" s="714"/>
      <c r="H342" s="714"/>
      <c r="I342" s="714"/>
      <c r="J342" s="491"/>
      <c r="K342" s="491"/>
      <c r="L342" s="279" t="str">
        <f t="shared" si="5"/>
        <v>-</v>
      </c>
      <c r="M342" s="16" t="str">
        <f t="shared" si="6"/>
        <v/>
      </c>
    </row>
    <row r="343" spans="3:13" hidden="1" outlineLevel="1" x14ac:dyDescent="0.3">
      <c r="C343" s="383">
        <v>21</v>
      </c>
      <c r="D343" s="712"/>
      <c r="E343" s="712"/>
      <c r="F343" s="712"/>
      <c r="G343" s="714"/>
      <c r="H343" s="714"/>
      <c r="I343" s="714"/>
      <c r="J343" s="491"/>
      <c r="K343" s="491"/>
      <c r="L343" s="279" t="str">
        <f t="shared" si="5"/>
        <v>-</v>
      </c>
      <c r="M343" s="16" t="str">
        <f t="shared" si="6"/>
        <v/>
      </c>
    </row>
    <row r="344" spans="3:13" hidden="1" outlineLevel="1" x14ac:dyDescent="0.3">
      <c r="C344" s="383">
        <v>22</v>
      </c>
      <c r="D344" s="712"/>
      <c r="E344" s="712"/>
      <c r="F344" s="712"/>
      <c r="G344" s="714"/>
      <c r="H344" s="714"/>
      <c r="I344" s="714"/>
      <c r="J344" s="491"/>
      <c r="K344" s="491"/>
      <c r="L344" s="279" t="str">
        <f t="shared" si="5"/>
        <v>-</v>
      </c>
      <c r="M344" s="16" t="str">
        <f t="shared" si="6"/>
        <v/>
      </c>
    </row>
    <row r="345" spans="3:13" hidden="1" outlineLevel="1" x14ac:dyDescent="0.3">
      <c r="C345" s="383">
        <v>23</v>
      </c>
      <c r="D345" s="712"/>
      <c r="E345" s="712"/>
      <c r="F345" s="712"/>
      <c r="G345" s="714"/>
      <c r="H345" s="714"/>
      <c r="I345" s="714"/>
      <c r="J345" s="491"/>
      <c r="K345" s="491"/>
      <c r="L345" s="279" t="str">
        <f t="shared" si="5"/>
        <v>-</v>
      </c>
      <c r="M345" s="16" t="str">
        <f t="shared" si="6"/>
        <v/>
      </c>
    </row>
    <row r="346" spans="3:13" hidden="1" outlineLevel="1" x14ac:dyDescent="0.3">
      <c r="C346" s="383">
        <v>24</v>
      </c>
      <c r="D346" s="712"/>
      <c r="E346" s="712"/>
      <c r="F346" s="712"/>
      <c r="G346" s="714"/>
      <c r="H346" s="714"/>
      <c r="I346" s="714"/>
      <c r="J346" s="491"/>
      <c r="K346" s="491"/>
      <c r="L346" s="279" t="str">
        <f t="shared" si="5"/>
        <v>-</v>
      </c>
      <c r="M346" s="16" t="str">
        <f t="shared" si="6"/>
        <v/>
      </c>
    </row>
    <row r="347" spans="3:13" hidden="1" outlineLevel="1" x14ac:dyDescent="0.3">
      <c r="C347" s="383">
        <v>25</v>
      </c>
      <c r="D347" s="712"/>
      <c r="E347" s="712"/>
      <c r="F347" s="712"/>
      <c r="G347" s="714"/>
      <c r="H347" s="714"/>
      <c r="I347" s="714"/>
      <c r="J347" s="491"/>
      <c r="K347" s="491"/>
      <c r="L347" s="279" t="str">
        <f t="shared" si="5"/>
        <v>-</v>
      </c>
      <c r="M347" s="16" t="str">
        <f t="shared" si="6"/>
        <v/>
      </c>
    </row>
    <row r="348" spans="3:13" hidden="1" outlineLevel="1" x14ac:dyDescent="0.3">
      <c r="C348" s="383">
        <v>26</v>
      </c>
      <c r="D348" s="712"/>
      <c r="E348" s="712"/>
      <c r="F348" s="712"/>
      <c r="G348" s="714"/>
      <c r="H348" s="714"/>
      <c r="I348" s="714"/>
      <c r="J348" s="491"/>
      <c r="K348" s="491"/>
      <c r="L348" s="279" t="str">
        <f t="shared" si="5"/>
        <v>-</v>
      </c>
      <c r="M348" s="16" t="str">
        <f t="shared" si="6"/>
        <v/>
      </c>
    </row>
    <row r="349" spans="3:13" hidden="1" outlineLevel="1" x14ac:dyDescent="0.3">
      <c r="C349" s="383">
        <v>27</v>
      </c>
      <c r="D349" s="712"/>
      <c r="E349" s="712"/>
      <c r="F349" s="712"/>
      <c r="G349" s="714"/>
      <c r="H349" s="714"/>
      <c r="I349" s="714"/>
      <c r="J349" s="491"/>
      <c r="K349" s="491"/>
      <c r="L349" s="279" t="str">
        <f t="shared" si="5"/>
        <v>-</v>
      </c>
      <c r="M349" s="16" t="str">
        <f t="shared" si="6"/>
        <v/>
      </c>
    </row>
    <row r="350" spans="3:13" hidden="1" outlineLevel="1" x14ac:dyDescent="0.3">
      <c r="C350" s="383">
        <v>28</v>
      </c>
      <c r="D350" s="712"/>
      <c r="E350" s="712"/>
      <c r="F350" s="712"/>
      <c r="G350" s="714"/>
      <c r="H350" s="714"/>
      <c r="I350" s="714"/>
      <c r="J350" s="491"/>
      <c r="K350" s="491"/>
      <c r="L350" s="279" t="str">
        <f t="shared" si="5"/>
        <v>-</v>
      </c>
      <c r="M350" s="16" t="str">
        <f t="shared" si="6"/>
        <v/>
      </c>
    </row>
    <row r="351" spans="3:13" hidden="1" outlineLevel="1" x14ac:dyDescent="0.3">
      <c r="C351" s="383">
        <v>29</v>
      </c>
      <c r="D351" s="712"/>
      <c r="E351" s="712"/>
      <c r="F351" s="712"/>
      <c r="G351" s="714"/>
      <c r="H351" s="714"/>
      <c r="I351" s="714"/>
      <c r="J351" s="491"/>
      <c r="K351" s="491"/>
      <c r="L351" s="279" t="str">
        <f t="shared" si="5"/>
        <v>-</v>
      </c>
      <c r="M351" s="16" t="str">
        <f t="shared" si="6"/>
        <v/>
      </c>
    </row>
    <row r="352" spans="3:13" hidden="1" outlineLevel="1" x14ac:dyDescent="0.3">
      <c r="C352" s="383">
        <v>30</v>
      </c>
      <c r="D352" s="712"/>
      <c r="E352" s="712"/>
      <c r="F352" s="712"/>
      <c r="G352" s="714"/>
      <c r="H352" s="714"/>
      <c r="I352" s="714"/>
      <c r="J352" s="491"/>
      <c r="K352" s="491"/>
      <c r="L352" s="279" t="str">
        <f t="shared" si="5"/>
        <v>-</v>
      </c>
      <c r="M352" s="16" t="str">
        <f t="shared" si="6"/>
        <v/>
      </c>
    </row>
    <row r="353" spans="3:13" hidden="1" outlineLevel="1" x14ac:dyDescent="0.3">
      <c r="C353" s="383">
        <v>31</v>
      </c>
      <c r="D353" s="712"/>
      <c r="E353" s="712"/>
      <c r="F353" s="712"/>
      <c r="G353" s="714"/>
      <c r="H353" s="714"/>
      <c r="I353" s="714"/>
      <c r="J353" s="491"/>
      <c r="K353" s="491"/>
      <c r="L353" s="279" t="str">
        <f t="shared" si="5"/>
        <v>-</v>
      </c>
      <c r="M353" s="16" t="str">
        <f t="shared" si="6"/>
        <v/>
      </c>
    </row>
    <row r="354" spans="3:13" hidden="1" outlineLevel="1" x14ac:dyDescent="0.3">
      <c r="C354" s="383">
        <v>32</v>
      </c>
      <c r="D354" s="712"/>
      <c r="E354" s="712"/>
      <c r="F354" s="712"/>
      <c r="G354" s="714"/>
      <c r="H354" s="714"/>
      <c r="I354" s="714"/>
      <c r="J354" s="491"/>
      <c r="K354" s="491"/>
      <c r="L354" s="279" t="str">
        <f t="shared" si="5"/>
        <v>-</v>
      </c>
      <c r="M354" s="16" t="str">
        <f t="shared" si="6"/>
        <v/>
      </c>
    </row>
    <row r="355" spans="3:13" hidden="1" outlineLevel="1" x14ac:dyDescent="0.3">
      <c r="C355" s="383">
        <v>33</v>
      </c>
      <c r="D355" s="712"/>
      <c r="E355" s="712"/>
      <c r="F355" s="712"/>
      <c r="G355" s="714"/>
      <c r="H355" s="714"/>
      <c r="I355" s="714"/>
      <c r="J355" s="491"/>
      <c r="K355" s="491"/>
      <c r="L355" s="279" t="str">
        <f t="shared" si="5"/>
        <v>-</v>
      </c>
      <c r="M355" s="16" t="str">
        <f t="shared" si="6"/>
        <v/>
      </c>
    </row>
    <row r="356" spans="3:13" hidden="1" outlineLevel="1" x14ac:dyDescent="0.3">
      <c r="C356" s="383">
        <v>34</v>
      </c>
      <c r="D356" s="712"/>
      <c r="E356" s="712"/>
      <c r="F356" s="712"/>
      <c r="G356" s="714"/>
      <c r="H356" s="714"/>
      <c r="I356" s="714"/>
      <c r="J356" s="491"/>
      <c r="K356" s="491"/>
      <c r="L356" s="279"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hidden="1" outlineLevel="1" x14ac:dyDescent="0.3">
      <c r="C357" s="383">
        <v>35</v>
      </c>
      <c r="D357" s="712"/>
      <c r="E357" s="712"/>
      <c r="F357" s="712"/>
      <c r="G357" s="714"/>
      <c r="H357" s="714"/>
      <c r="I357" s="714"/>
      <c r="J357" s="491"/>
      <c r="K357" s="491"/>
      <c r="L357" s="279" t="str">
        <f t="shared" si="5"/>
        <v>-</v>
      </c>
      <c r="M357" s="16" t="str">
        <f t="shared" si="7"/>
        <v/>
      </c>
    </row>
    <row r="358" spans="3:13" hidden="1" outlineLevel="1" x14ac:dyDescent="0.3">
      <c r="C358" s="383">
        <v>36</v>
      </c>
      <c r="D358" s="712"/>
      <c r="E358" s="712"/>
      <c r="F358" s="712"/>
      <c r="G358" s="714"/>
      <c r="H358" s="714"/>
      <c r="I358" s="714"/>
      <c r="J358" s="491"/>
      <c r="K358" s="491"/>
      <c r="L358" s="279" t="str">
        <f t="shared" si="5"/>
        <v>-</v>
      </c>
      <c r="M358" s="16" t="str">
        <f t="shared" si="7"/>
        <v/>
      </c>
    </row>
    <row r="359" spans="3:13" hidden="1" outlineLevel="1" x14ac:dyDescent="0.3">
      <c r="C359" s="383">
        <v>37</v>
      </c>
      <c r="D359" s="712"/>
      <c r="E359" s="712"/>
      <c r="F359" s="712"/>
      <c r="G359" s="714"/>
      <c r="H359" s="714"/>
      <c r="I359" s="714"/>
      <c r="J359" s="491"/>
      <c r="K359" s="491"/>
      <c r="L359" s="279" t="str">
        <f t="shared" si="5"/>
        <v>-</v>
      </c>
      <c r="M359" s="16" t="str">
        <f t="shared" si="7"/>
        <v/>
      </c>
    </row>
    <row r="360" spans="3:13" hidden="1" outlineLevel="1" x14ac:dyDescent="0.3">
      <c r="C360" s="383">
        <v>38</v>
      </c>
      <c r="D360" s="712"/>
      <c r="E360" s="712"/>
      <c r="F360" s="712"/>
      <c r="G360" s="714"/>
      <c r="H360" s="714"/>
      <c r="I360" s="714"/>
      <c r="J360" s="491"/>
      <c r="K360" s="491"/>
      <c r="L360" s="279" t="str">
        <f t="shared" si="5"/>
        <v>-</v>
      </c>
      <c r="M360" s="16" t="str">
        <f t="shared" si="7"/>
        <v/>
      </c>
    </row>
    <row r="361" spans="3:13" hidden="1" outlineLevel="1" x14ac:dyDescent="0.3">
      <c r="C361" s="383">
        <v>39</v>
      </c>
      <c r="D361" s="712"/>
      <c r="E361" s="712"/>
      <c r="F361" s="712"/>
      <c r="G361" s="714"/>
      <c r="H361" s="714"/>
      <c r="I361" s="714"/>
      <c r="J361" s="491"/>
      <c r="K361" s="491"/>
      <c r="L361" s="279" t="str">
        <f t="shared" si="5"/>
        <v>-</v>
      </c>
      <c r="M361" s="16" t="str">
        <f t="shared" si="7"/>
        <v/>
      </c>
    </row>
    <row r="362" spans="3:13" hidden="1" outlineLevel="1" x14ac:dyDescent="0.3">
      <c r="C362" s="383">
        <v>40</v>
      </c>
      <c r="D362" s="712"/>
      <c r="E362" s="712"/>
      <c r="F362" s="712"/>
      <c r="G362" s="714"/>
      <c r="H362" s="714"/>
      <c r="I362" s="714"/>
      <c r="J362" s="491"/>
      <c r="K362" s="491"/>
      <c r="L362" s="279" t="str">
        <f t="shared" si="5"/>
        <v>-</v>
      </c>
      <c r="M362" s="16" t="str">
        <f t="shared" si="7"/>
        <v/>
      </c>
    </row>
    <row r="363" spans="3:13" hidden="1" outlineLevel="1" x14ac:dyDescent="0.3">
      <c r="C363" s="383">
        <v>41</v>
      </c>
      <c r="D363" s="712"/>
      <c r="E363" s="712"/>
      <c r="F363" s="712"/>
      <c r="G363" s="714"/>
      <c r="H363" s="714"/>
      <c r="I363" s="714"/>
      <c r="J363" s="491"/>
      <c r="K363" s="491"/>
      <c r="L363" s="279" t="str">
        <f t="shared" si="5"/>
        <v>-</v>
      </c>
      <c r="M363" s="16" t="str">
        <f t="shared" si="7"/>
        <v/>
      </c>
    </row>
    <row r="364" spans="3:13" hidden="1" outlineLevel="1" x14ac:dyDescent="0.3">
      <c r="C364" s="383">
        <v>42</v>
      </c>
      <c r="D364" s="712"/>
      <c r="E364" s="712"/>
      <c r="F364" s="712"/>
      <c r="G364" s="714"/>
      <c r="H364" s="714"/>
      <c r="I364" s="714"/>
      <c r="J364" s="491"/>
      <c r="K364" s="491"/>
      <c r="L364" s="279" t="str">
        <f t="shared" si="5"/>
        <v>-</v>
      </c>
      <c r="M364" s="16" t="str">
        <f t="shared" si="7"/>
        <v/>
      </c>
    </row>
    <row r="365" spans="3:13" hidden="1" outlineLevel="1" x14ac:dyDescent="0.3">
      <c r="C365" s="383">
        <v>43</v>
      </c>
      <c r="D365" s="712"/>
      <c r="E365" s="712"/>
      <c r="F365" s="712"/>
      <c r="G365" s="714"/>
      <c r="H365" s="714"/>
      <c r="I365" s="714"/>
      <c r="J365" s="491"/>
      <c r="K365" s="491"/>
      <c r="L365" s="279" t="str">
        <f t="shared" si="5"/>
        <v>-</v>
      </c>
      <c r="M365" s="16" t="str">
        <f t="shared" si="7"/>
        <v/>
      </c>
    </row>
    <row r="366" spans="3:13" hidden="1" outlineLevel="1" x14ac:dyDescent="0.3">
      <c r="C366" s="383">
        <v>44</v>
      </c>
      <c r="D366" s="712"/>
      <c r="E366" s="712"/>
      <c r="F366" s="712"/>
      <c r="G366" s="714"/>
      <c r="H366" s="714"/>
      <c r="I366" s="714"/>
      <c r="J366" s="491"/>
      <c r="K366" s="491"/>
      <c r="L366" s="279" t="str">
        <f t="shared" si="5"/>
        <v>-</v>
      </c>
      <c r="M366" s="16" t="str">
        <f t="shared" si="7"/>
        <v/>
      </c>
    </row>
    <row r="367" spans="3:13" hidden="1" outlineLevel="1" x14ac:dyDescent="0.3">
      <c r="C367" s="383">
        <v>45</v>
      </c>
      <c r="D367" s="712"/>
      <c r="E367" s="712"/>
      <c r="F367" s="712"/>
      <c r="G367" s="714"/>
      <c r="H367" s="714"/>
      <c r="I367" s="714"/>
      <c r="J367" s="491"/>
      <c r="K367" s="491"/>
      <c r="L367" s="279" t="str">
        <f t="shared" si="5"/>
        <v>-</v>
      </c>
      <c r="M367" s="16" t="str">
        <f t="shared" si="7"/>
        <v/>
      </c>
    </row>
    <row r="368" spans="3:13" hidden="1" outlineLevel="1" x14ac:dyDescent="0.3">
      <c r="C368" s="383">
        <v>46</v>
      </c>
      <c r="D368" s="712"/>
      <c r="E368" s="712"/>
      <c r="F368" s="712"/>
      <c r="G368" s="714"/>
      <c r="H368" s="714"/>
      <c r="I368" s="714"/>
      <c r="J368" s="491"/>
      <c r="K368" s="491"/>
      <c r="L368" s="279" t="str">
        <f t="shared" si="5"/>
        <v>-</v>
      </c>
      <c r="M368" s="16" t="str">
        <f t="shared" si="7"/>
        <v/>
      </c>
    </row>
    <row r="369" spans="3:13" hidden="1" outlineLevel="1" x14ac:dyDescent="0.3">
      <c r="C369" s="383">
        <v>47</v>
      </c>
      <c r="D369" s="712"/>
      <c r="E369" s="712"/>
      <c r="F369" s="712"/>
      <c r="G369" s="714"/>
      <c r="H369" s="714"/>
      <c r="I369" s="714"/>
      <c r="J369" s="491"/>
      <c r="K369" s="491"/>
      <c r="L369" s="279" t="str">
        <f t="shared" si="5"/>
        <v>-</v>
      </c>
      <c r="M369" s="16" t="str">
        <f t="shared" si="7"/>
        <v/>
      </c>
    </row>
    <row r="370" spans="3:13" hidden="1" outlineLevel="1" x14ac:dyDescent="0.3">
      <c r="C370" s="383">
        <v>48</v>
      </c>
      <c r="D370" s="712"/>
      <c r="E370" s="712"/>
      <c r="F370" s="712"/>
      <c r="G370" s="714"/>
      <c r="H370" s="714"/>
      <c r="I370" s="714"/>
      <c r="J370" s="491"/>
      <c r="K370" s="491"/>
      <c r="L370" s="279" t="str">
        <f t="shared" si="5"/>
        <v>-</v>
      </c>
      <c r="M370" s="16" t="str">
        <f t="shared" si="7"/>
        <v/>
      </c>
    </row>
    <row r="371" spans="3:13" hidden="1" outlineLevel="1" x14ac:dyDescent="0.3">
      <c r="C371" s="383">
        <v>49</v>
      </c>
      <c r="D371" s="712"/>
      <c r="E371" s="712"/>
      <c r="F371" s="712"/>
      <c r="G371" s="714"/>
      <c r="H371" s="714"/>
      <c r="I371" s="714"/>
      <c r="J371" s="491"/>
      <c r="K371" s="491"/>
      <c r="L371" s="279" t="str">
        <f t="shared" si="5"/>
        <v>-</v>
      </c>
      <c r="M371" s="16" t="str">
        <f t="shared" si="7"/>
        <v/>
      </c>
    </row>
    <row r="372" spans="3:13" hidden="1" outlineLevel="1" x14ac:dyDescent="0.3">
      <c r="C372" s="383">
        <v>50</v>
      </c>
      <c r="D372" s="712"/>
      <c r="E372" s="712"/>
      <c r="F372" s="712"/>
      <c r="G372" s="714"/>
      <c r="H372" s="714"/>
      <c r="I372" s="714"/>
      <c r="J372" s="491"/>
      <c r="K372" s="491"/>
      <c r="L372" s="279" t="str">
        <f t="shared" si="5"/>
        <v>-</v>
      </c>
      <c r="M372" s="16" t="str">
        <f t="shared" si="7"/>
        <v/>
      </c>
    </row>
    <row r="373" spans="3:13" hidden="1" outlineLevel="1" x14ac:dyDescent="0.3">
      <c r="C373" s="383">
        <v>51</v>
      </c>
      <c r="D373" s="712"/>
      <c r="E373" s="712"/>
      <c r="F373" s="712"/>
      <c r="G373" s="714"/>
      <c r="H373" s="714"/>
      <c r="I373" s="714"/>
      <c r="J373" s="491"/>
      <c r="K373" s="491"/>
      <c r="L373" s="279" t="str">
        <f t="shared" si="5"/>
        <v>-</v>
      </c>
      <c r="M373" s="16" t="str">
        <f t="shared" si="7"/>
        <v/>
      </c>
    </row>
    <row r="374" spans="3:13" hidden="1" outlineLevel="1" x14ac:dyDescent="0.3">
      <c r="C374" s="383">
        <v>52</v>
      </c>
      <c r="D374" s="712"/>
      <c r="E374" s="712"/>
      <c r="F374" s="712"/>
      <c r="G374" s="714"/>
      <c r="H374" s="714"/>
      <c r="I374" s="714"/>
      <c r="J374" s="491"/>
      <c r="K374" s="491"/>
      <c r="L374" s="279" t="str">
        <f t="shared" si="5"/>
        <v>-</v>
      </c>
      <c r="M374" s="16" t="str">
        <f t="shared" si="7"/>
        <v/>
      </c>
    </row>
    <row r="375" spans="3:13" hidden="1" outlineLevel="1" x14ac:dyDescent="0.3">
      <c r="C375" s="383">
        <v>53</v>
      </c>
      <c r="D375" s="712"/>
      <c r="E375" s="712"/>
      <c r="F375" s="712"/>
      <c r="G375" s="714"/>
      <c r="H375" s="714"/>
      <c r="I375" s="714"/>
      <c r="J375" s="491"/>
      <c r="K375" s="491"/>
      <c r="L375" s="279" t="str">
        <f t="shared" si="5"/>
        <v>-</v>
      </c>
      <c r="M375" s="16" t="str">
        <f t="shared" si="7"/>
        <v/>
      </c>
    </row>
    <row r="376" spans="3:13" hidden="1" outlineLevel="1" x14ac:dyDescent="0.3">
      <c r="C376" s="383">
        <v>54</v>
      </c>
      <c r="D376" s="712"/>
      <c r="E376" s="712"/>
      <c r="F376" s="712"/>
      <c r="G376" s="714"/>
      <c r="H376" s="714"/>
      <c r="I376" s="714"/>
      <c r="J376" s="491"/>
      <c r="K376" s="491"/>
      <c r="L376" s="279" t="str">
        <f t="shared" si="5"/>
        <v>-</v>
      </c>
      <c r="M376" s="16" t="str">
        <f t="shared" si="7"/>
        <v/>
      </c>
    </row>
    <row r="377" spans="3:13" hidden="1" outlineLevel="1" x14ac:dyDescent="0.3">
      <c r="C377" s="383">
        <v>55</v>
      </c>
      <c r="D377" s="712"/>
      <c r="E377" s="712"/>
      <c r="F377" s="712"/>
      <c r="G377" s="714"/>
      <c r="H377" s="714"/>
      <c r="I377" s="714"/>
      <c r="J377" s="491"/>
      <c r="K377" s="491"/>
      <c r="L377" s="279" t="str">
        <f t="shared" si="5"/>
        <v>-</v>
      </c>
      <c r="M377" s="16" t="str">
        <f t="shared" si="7"/>
        <v/>
      </c>
    </row>
    <row r="378" spans="3:13" hidden="1" outlineLevel="1" x14ac:dyDescent="0.3">
      <c r="C378" s="383">
        <v>56</v>
      </c>
      <c r="D378" s="712"/>
      <c r="E378" s="712"/>
      <c r="F378" s="712"/>
      <c r="G378" s="714"/>
      <c r="H378" s="714"/>
      <c r="I378" s="714"/>
      <c r="J378" s="491"/>
      <c r="K378" s="491"/>
      <c r="L378" s="279" t="str">
        <f t="shared" si="5"/>
        <v>-</v>
      </c>
      <c r="M378" s="16" t="str">
        <f t="shared" si="7"/>
        <v/>
      </c>
    </row>
    <row r="379" spans="3:13" hidden="1" outlineLevel="1" x14ac:dyDescent="0.3">
      <c r="C379" s="383">
        <v>57</v>
      </c>
      <c r="D379" s="712"/>
      <c r="E379" s="712"/>
      <c r="F379" s="712"/>
      <c r="G379" s="714"/>
      <c r="H379" s="714"/>
      <c r="I379" s="714"/>
      <c r="J379" s="491"/>
      <c r="K379" s="491"/>
      <c r="L379" s="279" t="str">
        <f t="shared" si="5"/>
        <v>-</v>
      </c>
      <c r="M379" s="16" t="str">
        <f t="shared" si="7"/>
        <v/>
      </c>
    </row>
    <row r="380" spans="3:13" hidden="1" outlineLevel="1" x14ac:dyDescent="0.3">
      <c r="C380" s="383">
        <v>58</v>
      </c>
      <c r="D380" s="712"/>
      <c r="E380" s="712"/>
      <c r="F380" s="712"/>
      <c r="G380" s="714"/>
      <c r="H380" s="714"/>
      <c r="I380" s="714"/>
      <c r="J380" s="491"/>
      <c r="K380" s="491"/>
      <c r="L380" s="279" t="str">
        <f t="shared" si="5"/>
        <v>-</v>
      </c>
      <c r="M380" s="16" t="str">
        <f t="shared" si="7"/>
        <v/>
      </c>
    </row>
    <row r="381" spans="3:13" hidden="1" outlineLevel="1" x14ac:dyDescent="0.3">
      <c r="C381" s="383">
        <v>59</v>
      </c>
      <c r="D381" s="712"/>
      <c r="E381" s="712"/>
      <c r="F381" s="712"/>
      <c r="G381" s="714"/>
      <c r="H381" s="714"/>
      <c r="I381" s="714"/>
      <c r="J381" s="491"/>
      <c r="K381" s="491"/>
      <c r="L381" s="279" t="str">
        <f t="shared" si="5"/>
        <v>-</v>
      </c>
      <c r="M381" s="16" t="str">
        <f t="shared" si="7"/>
        <v/>
      </c>
    </row>
    <row r="382" spans="3:13" hidden="1" outlineLevel="1" x14ac:dyDescent="0.3">
      <c r="C382" s="383">
        <v>60</v>
      </c>
      <c r="D382" s="712"/>
      <c r="E382" s="712"/>
      <c r="F382" s="712"/>
      <c r="G382" s="714"/>
      <c r="H382" s="714"/>
      <c r="I382" s="714"/>
      <c r="J382" s="491"/>
      <c r="K382" s="491"/>
      <c r="L382" s="279" t="str">
        <f t="shared" si="5"/>
        <v>-</v>
      </c>
      <c r="M382" s="16" t="str">
        <f t="shared" si="7"/>
        <v/>
      </c>
    </row>
    <row r="383" spans="3:13" hidden="1" outlineLevel="1" x14ac:dyDescent="0.3">
      <c r="C383" s="383">
        <v>61</v>
      </c>
      <c r="D383" s="712"/>
      <c r="E383" s="712"/>
      <c r="F383" s="712"/>
      <c r="G383" s="714"/>
      <c r="H383" s="714"/>
      <c r="I383" s="714"/>
      <c r="J383" s="491"/>
      <c r="K383" s="491"/>
      <c r="L383" s="279" t="str">
        <f t="shared" si="5"/>
        <v>-</v>
      </c>
      <c r="M383" s="16" t="str">
        <f t="shared" si="7"/>
        <v/>
      </c>
    </row>
    <row r="384" spans="3:13" hidden="1" outlineLevel="1" x14ac:dyDescent="0.3">
      <c r="C384" s="383">
        <v>62</v>
      </c>
      <c r="D384" s="712"/>
      <c r="E384" s="712"/>
      <c r="F384" s="712"/>
      <c r="G384" s="714"/>
      <c r="H384" s="714"/>
      <c r="I384" s="714"/>
      <c r="J384" s="491"/>
      <c r="K384" s="491"/>
      <c r="L384" s="279" t="str">
        <f t="shared" si="5"/>
        <v>-</v>
      </c>
      <c r="M384" s="16" t="str">
        <f t="shared" si="7"/>
        <v/>
      </c>
    </row>
    <row r="385" spans="3:13" hidden="1" outlineLevel="1" x14ac:dyDescent="0.3">
      <c r="C385" s="383">
        <v>63</v>
      </c>
      <c r="D385" s="712"/>
      <c r="E385" s="712"/>
      <c r="F385" s="712"/>
      <c r="G385" s="714"/>
      <c r="H385" s="714"/>
      <c r="I385" s="714"/>
      <c r="J385" s="491"/>
      <c r="K385" s="491"/>
      <c r="L385" s="279" t="str">
        <f t="shared" si="5"/>
        <v>-</v>
      </c>
      <c r="M385" s="16" t="str">
        <f t="shared" si="7"/>
        <v/>
      </c>
    </row>
    <row r="386" spans="3:13" hidden="1" outlineLevel="1" x14ac:dyDescent="0.3">
      <c r="C386" s="383">
        <v>64</v>
      </c>
      <c r="D386" s="712"/>
      <c r="E386" s="712"/>
      <c r="F386" s="712"/>
      <c r="G386" s="714"/>
      <c r="H386" s="714"/>
      <c r="I386" s="714"/>
      <c r="J386" s="491"/>
      <c r="K386" s="491"/>
      <c r="L386" s="279" t="str">
        <f t="shared" si="5"/>
        <v>-</v>
      </c>
      <c r="M386" s="16" t="str">
        <f t="shared" si="7"/>
        <v/>
      </c>
    </row>
    <row r="387" spans="3:13" hidden="1" outlineLevel="1" x14ac:dyDescent="0.3">
      <c r="C387" s="383">
        <v>65</v>
      </c>
      <c r="D387" s="712"/>
      <c r="E387" s="712"/>
      <c r="F387" s="712"/>
      <c r="G387" s="714"/>
      <c r="H387" s="714"/>
      <c r="I387" s="714"/>
      <c r="J387" s="491"/>
      <c r="K387" s="491"/>
      <c r="L387" s="279" t="str">
        <f t="shared" si="5"/>
        <v>-</v>
      </c>
      <c r="M387" s="16" t="str">
        <f t="shared" si="7"/>
        <v/>
      </c>
    </row>
    <row r="388" spans="3:13" hidden="1" outlineLevel="1" x14ac:dyDescent="0.3">
      <c r="C388" s="383">
        <v>66</v>
      </c>
      <c r="D388" s="712"/>
      <c r="E388" s="712"/>
      <c r="F388" s="712"/>
      <c r="G388" s="714"/>
      <c r="H388" s="714"/>
      <c r="I388" s="714"/>
      <c r="J388" s="491"/>
      <c r="K388" s="491"/>
      <c r="L388" s="279"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hidden="1" outlineLevel="1" x14ac:dyDescent="0.3">
      <c r="C389" s="383">
        <v>67</v>
      </c>
      <c r="D389" s="712"/>
      <c r="E389" s="712"/>
      <c r="F389" s="712"/>
      <c r="G389" s="714"/>
      <c r="H389" s="714"/>
      <c r="I389" s="714"/>
      <c r="J389" s="491"/>
      <c r="K389" s="491"/>
      <c r="L389" s="279" t="str">
        <f t="shared" si="5"/>
        <v>-</v>
      </c>
      <c r="M389" s="16" t="str">
        <f t="shared" si="8"/>
        <v/>
      </c>
    </row>
    <row r="390" spans="3:13" hidden="1" outlineLevel="1" x14ac:dyDescent="0.3">
      <c r="C390" s="383">
        <v>68</v>
      </c>
      <c r="D390" s="712"/>
      <c r="E390" s="712"/>
      <c r="F390" s="712"/>
      <c r="G390" s="714"/>
      <c r="H390" s="714"/>
      <c r="I390" s="714"/>
      <c r="J390" s="491"/>
      <c r="K390" s="491"/>
      <c r="L390" s="279" t="str">
        <f t="shared" si="5"/>
        <v>-</v>
      </c>
      <c r="M390" s="16" t="str">
        <f t="shared" si="8"/>
        <v/>
      </c>
    </row>
    <row r="391" spans="3:13" hidden="1" outlineLevel="1" x14ac:dyDescent="0.3">
      <c r="C391" s="383">
        <v>69</v>
      </c>
      <c r="D391" s="712"/>
      <c r="E391" s="712"/>
      <c r="F391" s="712"/>
      <c r="G391" s="714"/>
      <c r="H391" s="714"/>
      <c r="I391" s="714"/>
      <c r="J391" s="491"/>
      <c r="K391" s="491"/>
      <c r="L391" s="279" t="str">
        <f t="shared" si="5"/>
        <v>-</v>
      </c>
      <c r="M391" s="16" t="str">
        <f t="shared" si="8"/>
        <v/>
      </c>
    </row>
    <row r="392" spans="3:13" hidden="1" outlineLevel="1" x14ac:dyDescent="0.3">
      <c r="C392" s="383">
        <v>70</v>
      </c>
      <c r="D392" s="712"/>
      <c r="E392" s="712"/>
      <c r="F392" s="712"/>
      <c r="G392" s="714"/>
      <c r="H392" s="714"/>
      <c r="I392" s="714"/>
      <c r="J392" s="491"/>
      <c r="K392" s="491"/>
      <c r="L392" s="279" t="str">
        <f t="shared" si="5"/>
        <v>-</v>
      </c>
      <c r="M392" s="16" t="str">
        <f t="shared" si="8"/>
        <v/>
      </c>
    </row>
    <row r="393" spans="3:13" hidden="1" outlineLevel="1" x14ac:dyDescent="0.3">
      <c r="C393" s="383">
        <v>71</v>
      </c>
      <c r="D393" s="712"/>
      <c r="E393" s="712"/>
      <c r="F393" s="712"/>
      <c r="G393" s="714"/>
      <c r="H393" s="714"/>
      <c r="I393" s="714"/>
      <c r="J393" s="491"/>
      <c r="K393" s="491"/>
      <c r="L393" s="279" t="str">
        <f t="shared" si="5"/>
        <v>-</v>
      </c>
      <c r="M393" s="16" t="str">
        <f t="shared" si="8"/>
        <v/>
      </c>
    </row>
    <row r="394" spans="3:13" hidden="1" outlineLevel="1" x14ac:dyDescent="0.3">
      <c r="C394" s="383">
        <v>72</v>
      </c>
      <c r="D394" s="712"/>
      <c r="E394" s="712"/>
      <c r="F394" s="712"/>
      <c r="G394" s="714"/>
      <c r="H394" s="714"/>
      <c r="I394" s="714"/>
      <c r="J394" s="491"/>
      <c r="K394" s="491"/>
      <c r="L394" s="279" t="str">
        <f t="shared" si="5"/>
        <v>-</v>
      </c>
      <c r="M394" s="16" t="str">
        <f t="shared" si="8"/>
        <v/>
      </c>
    </row>
    <row r="395" spans="3:13" hidden="1" outlineLevel="1" x14ac:dyDescent="0.3">
      <c r="C395" s="383">
        <v>73</v>
      </c>
      <c r="D395" s="712"/>
      <c r="E395" s="712"/>
      <c r="F395" s="712"/>
      <c r="G395" s="714"/>
      <c r="H395" s="714"/>
      <c r="I395" s="714"/>
      <c r="J395" s="491"/>
      <c r="K395" s="491"/>
      <c r="L395" s="279" t="str">
        <f t="shared" si="5"/>
        <v>-</v>
      </c>
      <c r="M395" s="16" t="str">
        <f t="shared" si="8"/>
        <v/>
      </c>
    </row>
    <row r="396" spans="3:13" hidden="1" outlineLevel="1" x14ac:dyDescent="0.3">
      <c r="C396" s="383">
        <v>74</v>
      </c>
      <c r="D396" s="712"/>
      <c r="E396" s="712"/>
      <c r="F396" s="712"/>
      <c r="G396" s="714"/>
      <c r="H396" s="714"/>
      <c r="I396" s="714"/>
      <c r="J396" s="491"/>
      <c r="K396" s="491"/>
      <c r="L396" s="279" t="str">
        <f t="shared" si="5"/>
        <v>-</v>
      </c>
      <c r="M396" s="16" t="str">
        <f t="shared" si="8"/>
        <v/>
      </c>
    </row>
    <row r="397" spans="3:13" hidden="1" outlineLevel="1" x14ac:dyDescent="0.3">
      <c r="C397" s="383">
        <v>75</v>
      </c>
      <c r="D397" s="712"/>
      <c r="E397" s="712"/>
      <c r="F397" s="712"/>
      <c r="G397" s="714"/>
      <c r="H397" s="714"/>
      <c r="I397" s="714"/>
      <c r="J397" s="491"/>
      <c r="K397" s="491"/>
      <c r="L397" s="279" t="str">
        <f t="shared" si="5"/>
        <v>-</v>
      </c>
      <c r="M397" s="16" t="str">
        <f t="shared" si="8"/>
        <v/>
      </c>
    </row>
    <row r="398" spans="3:13" hidden="1" outlineLevel="1" x14ac:dyDescent="0.3">
      <c r="C398" s="383">
        <v>76</v>
      </c>
      <c r="D398" s="712"/>
      <c r="E398" s="712"/>
      <c r="F398" s="712"/>
      <c r="G398" s="714"/>
      <c r="H398" s="714"/>
      <c r="I398" s="714"/>
      <c r="J398" s="491"/>
      <c r="K398" s="491"/>
      <c r="L398" s="279" t="str">
        <f t="shared" si="5"/>
        <v>-</v>
      </c>
      <c r="M398" s="16" t="str">
        <f t="shared" si="8"/>
        <v/>
      </c>
    </row>
    <row r="399" spans="3:13" hidden="1" outlineLevel="1" x14ac:dyDescent="0.3">
      <c r="C399" s="383">
        <v>77</v>
      </c>
      <c r="D399" s="712"/>
      <c r="E399" s="712"/>
      <c r="F399" s="712"/>
      <c r="G399" s="714"/>
      <c r="H399" s="714"/>
      <c r="I399" s="714"/>
      <c r="J399" s="491"/>
      <c r="K399" s="491"/>
      <c r="L399" s="279" t="str">
        <f t="shared" si="5"/>
        <v>-</v>
      </c>
      <c r="M399" s="16" t="str">
        <f t="shared" si="8"/>
        <v/>
      </c>
    </row>
    <row r="400" spans="3:13" hidden="1" outlineLevel="1" x14ac:dyDescent="0.3">
      <c r="C400" s="383">
        <v>78</v>
      </c>
      <c r="D400" s="712"/>
      <c r="E400" s="712"/>
      <c r="F400" s="712"/>
      <c r="G400" s="714"/>
      <c r="H400" s="714"/>
      <c r="I400" s="714"/>
      <c r="J400" s="491"/>
      <c r="K400" s="491"/>
      <c r="L400" s="279" t="str">
        <f t="shared" si="5"/>
        <v>-</v>
      </c>
      <c r="M400" s="16" t="str">
        <f t="shared" si="8"/>
        <v/>
      </c>
    </row>
    <row r="401" spans="3:13" hidden="1" outlineLevel="1" x14ac:dyDescent="0.3">
      <c r="C401" s="383">
        <v>79</v>
      </c>
      <c r="D401" s="712"/>
      <c r="E401" s="712"/>
      <c r="F401" s="712"/>
      <c r="G401" s="714"/>
      <c r="H401" s="714"/>
      <c r="I401" s="714"/>
      <c r="J401" s="491"/>
      <c r="K401" s="491"/>
      <c r="L401" s="279" t="str">
        <f t="shared" si="5"/>
        <v>-</v>
      </c>
      <c r="M401" s="16" t="str">
        <f t="shared" si="8"/>
        <v/>
      </c>
    </row>
    <row r="402" spans="3:13" hidden="1" outlineLevel="1" x14ac:dyDescent="0.3">
      <c r="C402" s="383">
        <v>80</v>
      </c>
      <c r="D402" s="712"/>
      <c r="E402" s="712"/>
      <c r="F402" s="712"/>
      <c r="G402" s="714"/>
      <c r="H402" s="714"/>
      <c r="I402" s="714"/>
      <c r="J402" s="491"/>
      <c r="K402" s="491"/>
      <c r="L402" s="279" t="str">
        <f t="shared" si="5"/>
        <v>-</v>
      </c>
      <c r="M402" s="16" t="str">
        <f t="shared" si="8"/>
        <v/>
      </c>
    </row>
    <row r="403" spans="3:13" hidden="1" outlineLevel="1" x14ac:dyDescent="0.3">
      <c r="C403" s="383">
        <v>81</v>
      </c>
      <c r="D403" s="712"/>
      <c r="E403" s="712"/>
      <c r="F403" s="712"/>
      <c r="G403" s="714"/>
      <c r="H403" s="714"/>
      <c r="I403" s="714"/>
      <c r="J403" s="491"/>
      <c r="K403" s="491"/>
      <c r="L403" s="279" t="str">
        <f t="shared" si="5"/>
        <v>-</v>
      </c>
      <c r="M403" s="16" t="str">
        <f t="shared" si="8"/>
        <v/>
      </c>
    </row>
    <row r="404" spans="3:13" hidden="1" outlineLevel="1" x14ac:dyDescent="0.3">
      <c r="C404" s="383">
        <v>82</v>
      </c>
      <c r="D404" s="712"/>
      <c r="E404" s="712"/>
      <c r="F404" s="712"/>
      <c r="G404" s="714"/>
      <c r="H404" s="714"/>
      <c r="I404" s="714"/>
      <c r="J404" s="491"/>
      <c r="K404" s="491"/>
      <c r="L404" s="279" t="str">
        <f t="shared" si="5"/>
        <v>-</v>
      </c>
      <c r="M404" s="16" t="str">
        <f t="shared" si="8"/>
        <v/>
      </c>
    </row>
    <row r="405" spans="3:13" hidden="1" outlineLevel="1" x14ac:dyDescent="0.3">
      <c r="C405" s="383">
        <v>83</v>
      </c>
      <c r="D405" s="712"/>
      <c r="E405" s="712"/>
      <c r="F405" s="712"/>
      <c r="G405" s="714"/>
      <c r="H405" s="714"/>
      <c r="I405" s="714"/>
      <c r="J405" s="491"/>
      <c r="K405" s="491"/>
      <c r="L405" s="279" t="str">
        <f t="shared" si="5"/>
        <v>-</v>
      </c>
      <c r="M405" s="16" t="str">
        <f t="shared" si="8"/>
        <v/>
      </c>
    </row>
    <row r="406" spans="3:13" hidden="1" outlineLevel="1" x14ac:dyDescent="0.3">
      <c r="C406" s="383">
        <v>84</v>
      </c>
      <c r="D406" s="712"/>
      <c r="E406" s="712"/>
      <c r="F406" s="712"/>
      <c r="G406" s="714"/>
      <c r="H406" s="714"/>
      <c r="I406" s="714"/>
      <c r="J406" s="491"/>
      <c r="K406" s="491"/>
      <c r="L406" s="279" t="str">
        <f t="shared" si="5"/>
        <v>-</v>
      </c>
      <c r="M406" s="16" t="str">
        <f t="shared" si="8"/>
        <v/>
      </c>
    </row>
    <row r="407" spans="3:13" hidden="1" outlineLevel="1" x14ac:dyDescent="0.3">
      <c r="C407" s="383">
        <v>85</v>
      </c>
      <c r="D407" s="712"/>
      <c r="E407" s="712"/>
      <c r="F407" s="712"/>
      <c r="G407" s="714"/>
      <c r="H407" s="714"/>
      <c r="I407" s="714"/>
      <c r="J407" s="491"/>
      <c r="K407" s="491"/>
      <c r="L407" s="279" t="str">
        <f t="shared" si="5"/>
        <v>-</v>
      </c>
      <c r="M407" s="16" t="str">
        <f t="shared" si="8"/>
        <v/>
      </c>
    </row>
    <row r="408" spans="3:13" hidden="1" outlineLevel="1" x14ac:dyDescent="0.3">
      <c r="C408" s="383">
        <v>86</v>
      </c>
      <c r="D408" s="712"/>
      <c r="E408" s="712"/>
      <c r="F408" s="712"/>
      <c r="G408" s="714"/>
      <c r="H408" s="714"/>
      <c r="I408" s="714"/>
      <c r="J408" s="491"/>
      <c r="K408" s="491"/>
      <c r="L408" s="279" t="str">
        <f t="shared" si="5"/>
        <v>-</v>
      </c>
      <c r="M408" s="16" t="str">
        <f t="shared" si="8"/>
        <v/>
      </c>
    </row>
    <row r="409" spans="3:13" hidden="1" outlineLevel="1" x14ac:dyDescent="0.3">
      <c r="C409" s="383">
        <v>87</v>
      </c>
      <c r="D409" s="712"/>
      <c r="E409" s="712"/>
      <c r="F409" s="712"/>
      <c r="G409" s="714"/>
      <c r="H409" s="714"/>
      <c r="I409" s="714"/>
      <c r="J409" s="491"/>
      <c r="K409" s="491"/>
      <c r="L409" s="279" t="str">
        <f t="shared" si="5"/>
        <v>-</v>
      </c>
      <c r="M409" s="16" t="str">
        <f t="shared" si="8"/>
        <v/>
      </c>
    </row>
    <row r="410" spans="3:13" hidden="1" outlineLevel="1" x14ac:dyDescent="0.3">
      <c r="C410" s="383">
        <v>88</v>
      </c>
      <c r="D410" s="712"/>
      <c r="E410" s="712"/>
      <c r="F410" s="712"/>
      <c r="G410" s="714"/>
      <c r="H410" s="714"/>
      <c r="I410" s="714"/>
      <c r="J410" s="491"/>
      <c r="K410" s="491"/>
      <c r="L410" s="279" t="str">
        <f t="shared" si="5"/>
        <v>-</v>
      </c>
      <c r="M410" s="16" t="str">
        <f t="shared" si="8"/>
        <v/>
      </c>
    </row>
    <row r="411" spans="3:13" hidden="1" outlineLevel="1" x14ac:dyDescent="0.3">
      <c r="C411" s="383">
        <v>89</v>
      </c>
      <c r="D411" s="712"/>
      <c r="E411" s="712"/>
      <c r="F411" s="712"/>
      <c r="G411" s="714"/>
      <c r="H411" s="714"/>
      <c r="I411" s="714"/>
      <c r="J411" s="491"/>
      <c r="K411" s="491"/>
      <c r="L411" s="279" t="str">
        <f t="shared" si="5"/>
        <v>-</v>
      </c>
      <c r="M411" s="16" t="str">
        <f t="shared" si="8"/>
        <v/>
      </c>
    </row>
    <row r="412" spans="3:13" hidden="1" outlineLevel="1" x14ac:dyDescent="0.3">
      <c r="C412" s="383">
        <v>90</v>
      </c>
      <c r="D412" s="712"/>
      <c r="E412" s="712"/>
      <c r="F412" s="712"/>
      <c r="G412" s="714"/>
      <c r="H412" s="714"/>
      <c r="I412" s="714"/>
      <c r="J412" s="491"/>
      <c r="K412" s="491"/>
      <c r="L412" s="279" t="str">
        <f t="shared" si="5"/>
        <v>-</v>
      </c>
      <c r="M412" s="16" t="str">
        <f t="shared" si="8"/>
        <v/>
      </c>
    </row>
    <row r="413" spans="3:13" hidden="1" outlineLevel="1" x14ac:dyDescent="0.3">
      <c r="C413" s="383">
        <v>91</v>
      </c>
      <c r="D413" s="712"/>
      <c r="E413" s="712"/>
      <c r="F413" s="712"/>
      <c r="G413" s="714"/>
      <c r="H413" s="714"/>
      <c r="I413" s="714"/>
      <c r="J413" s="491"/>
      <c r="K413" s="491"/>
      <c r="L413" s="279" t="str">
        <f t="shared" si="5"/>
        <v>-</v>
      </c>
      <c r="M413" s="16" t="str">
        <f t="shared" si="8"/>
        <v/>
      </c>
    </row>
    <row r="414" spans="3:13" hidden="1" outlineLevel="1" x14ac:dyDescent="0.3">
      <c r="C414" s="383">
        <v>92</v>
      </c>
      <c r="D414" s="712"/>
      <c r="E414" s="712"/>
      <c r="F414" s="712"/>
      <c r="G414" s="714"/>
      <c r="H414" s="714"/>
      <c r="I414" s="714"/>
      <c r="J414" s="491"/>
      <c r="K414" s="491"/>
      <c r="L414" s="279" t="str">
        <f t="shared" si="5"/>
        <v>-</v>
      </c>
      <c r="M414" s="16" t="str">
        <f t="shared" si="8"/>
        <v/>
      </c>
    </row>
    <row r="415" spans="3:13" hidden="1" outlineLevel="1" x14ac:dyDescent="0.3">
      <c r="C415" s="383">
        <v>93</v>
      </c>
      <c r="D415" s="712"/>
      <c r="E415" s="712"/>
      <c r="F415" s="712"/>
      <c r="G415" s="714"/>
      <c r="H415" s="714"/>
      <c r="I415" s="714"/>
      <c r="J415" s="491"/>
      <c r="K415" s="491"/>
      <c r="L415" s="279" t="str">
        <f t="shared" si="5"/>
        <v>-</v>
      </c>
      <c r="M415" s="16" t="str">
        <f t="shared" si="8"/>
        <v/>
      </c>
    </row>
    <row r="416" spans="3:13" hidden="1" outlineLevel="1" x14ac:dyDescent="0.3">
      <c r="C416" s="383">
        <v>94</v>
      </c>
      <c r="D416" s="712"/>
      <c r="E416" s="712"/>
      <c r="F416" s="712"/>
      <c r="G416" s="714"/>
      <c r="H416" s="714"/>
      <c r="I416" s="714"/>
      <c r="J416" s="491"/>
      <c r="K416" s="491"/>
      <c r="L416" s="279" t="str">
        <f t="shared" si="5"/>
        <v>-</v>
      </c>
      <c r="M416" s="16" t="str">
        <f t="shared" si="8"/>
        <v/>
      </c>
    </row>
    <row r="417" spans="3:13" hidden="1" outlineLevel="1" x14ac:dyDescent="0.3">
      <c r="C417" s="383">
        <v>95</v>
      </c>
      <c r="D417" s="712"/>
      <c r="E417" s="712"/>
      <c r="F417" s="712"/>
      <c r="G417" s="714"/>
      <c r="H417" s="714"/>
      <c r="I417" s="714"/>
      <c r="J417" s="491"/>
      <c r="K417" s="491"/>
      <c r="L417" s="279" t="str">
        <f t="shared" si="5"/>
        <v>-</v>
      </c>
      <c r="M417" s="16" t="str">
        <f t="shared" si="8"/>
        <v/>
      </c>
    </row>
    <row r="418" spans="3:13" hidden="1" outlineLevel="1" x14ac:dyDescent="0.3">
      <c r="C418" s="383">
        <v>96</v>
      </c>
      <c r="D418" s="712"/>
      <c r="E418" s="712"/>
      <c r="F418" s="712"/>
      <c r="G418" s="714"/>
      <c r="H418" s="714"/>
      <c r="I418" s="714"/>
      <c r="J418" s="491"/>
      <c r="K418" s="491"/>
      <c r="L418" s="279" t="str">
        <f t="shared" si="5"/>
        <v>-</v>
      </c>
      <c r="M418" s="16" t="str">
        <f t="shared" si="8"/>
        <v/>
      </c>
    </row>
    <row r="419" spans="3:13" hidden="1" outlineLevel="1" x14ac:dyDescent="0.3">
      <c r="C419" s="383">
        <v>97</v>
      </c>
      <c r="D419" s="712"/>
      <c r="E419" s="712"/>
      <c r="F419" s="712"/>
      <c r="G419" s="714"/>
      <c r="H419" s="714"/>
      <c r="I419" s="714"/>
      <c r="J419" s="491"/>
      <c r="K419" s="491"/>
      <c r="L419" s="279" t="str">
        <f t="shared" si="5"/>
        <v>-</v>
      </c>
      <c r="M419" s="16" t="str">
        <f t="shared" si="8"/>
        <v/>
      </c>
    </row>
    <row r="420" spans="3:13" hidden="1" outlineLevel="1" x14ac:dyDescent="0.3">
      <c r="C420" s="383">
        <v>98</v>
      </c>
      <c r="D420" s="712"/>
      <c r="E420" s="712"/>
      <c r="F420" s="712"/>
      <c r="G420" s="714"/>
      <c r="H420" s="714"/>
      <c r="I420" s="714"/>
      <c r="J420" s="491"/>
      <c r="K420" s="491"/>
      <c r="L420" s="279" t="str">
        <f t="shared" si="5"/>
        <v>-</v>
      </c>
      <c r="M420" s="16" t="str">
        <f t="shared" si="8"/>
        <v/>
      </c>
    </row>
    <row r="421" spans="3:13" hidden="1" outlineLevel="1" x14ac:dyDescent="0.3">
      <c r="C421" s="383">
        <v>99</v>
      </c>
      <c r="D421" s="712"/>
      <c r="E421" s="712"/>
      <c r="F421" s="712"/>
      <c r="G421" s="714"/>
      <c r="H421" s="714"/>
      <c r="I421" s="714"/>
      <c r="J421" s="491"/>
      <c r="K421" s="491"/>
      <c r="L421" s="279" t="str">
        <f t="shared" si="5"/>
        <v>-</v>
      </c>
      <c r="M421" s="16" t="str">
        <f t="shared" si="8"/>
        <v/>
      </c>
    </row>
    <row r="422" spans="3:13" ht="15" hidden="1" outlineLevel="1" thickBot="1" x14ac:dyDescent="0.35">
      <c r="C422" s="383">
        <v>100</v>
      </c>
      <c r="D422" s="753"/>
      <c r="E422" s="753"/>
      <c r="F422" s="753"/>
      <c r="G422" s="703"/>
      <c r="H422" s="703"/>
      <c r="I422" s="703"/>
      <c r="J422" s="284"/>
      <c r="K422" s="284"/>
      <c r="L422" s="281" t="str">
        <f t="shared" si="5"/>
        <v>-</v>
      </c>
      <c r="M422" s="16" t="str">
        <f t="shared" si="8"/>
        <v/>
      </c>
    </row>
    <row r="423" spans="3:13" collapsed="1" x14ac:dyDescent="0.3">
      <c r="C423" s="764" t="str">
        <f>template_label_total_amount_of_waste_generated</f>
        <v>Total amount of waste generated</v>
      </c>
      <c r="D423" s="737" t="str">
        <f>template_label_total_hazardous_waste_generated_mass</f>
        <v>Total Hazardous waste generated (mass)</v>
      </c>
      <c r="E423" s="737"/>
      <c r="F423" s="738"/>
      <c r="G423" s="731"/>
      <c r="H423" s="731"/>
      <c r="I423" s="732"/>
      <c r="J423" s="699" t="str">
        <f>IF(OR(G423="", AND(D323="",J323="",K323="",D324="",J324="",K324="",D325="",J325="",K325="",D326="",J326="",K326="",D327="",J327="",K327="",D328="",J328="",K328="",D329="",J329="",K329="",D330="",J330="",K330="",D331="",J331="",K331="",D332="",J332="",K332="",D333="",J333="",K333="",D334="",J334="",K334="",D335="",J335="",K335="",D336="",J336="",K336="",D422="",J422="",K422="")),
    "-",
    IF(G423="metric tonnes (t)",
        SUMIFS(L323:L422, D323:D422, "* Hazardous *", G323:G422, "*kilograms (kg)*") / 1000 +
        SUMIFS(L323:L422, D323:D422, "* Hazardous *", G323:G422, "*metric tonnes (t)*"),
        SUMIFS(L323:L422, D323:D422, "* Hazardous *", G323:G422, "*kilograms (kg)*") +
        SUMIFS(L323:L422, D323:D422, "* Hazardous *", G323:G422, "*metric tonnes (t)*") * 1000
    )
)</f>
        <v>-</v>
      </c>
      <c r="K423" s="699"/>
      <c r="L423" s="700"/>
      <c r="M423" s="16" t="str" cm="1">
        <f t="array" ref="M423">IF(G423="",
    IF(SUMPRODUCT(--((G323:G422="metric tonnes (t)")+(G323:G422="kilograms (kg)")))&gt;0,
        template_label_missing_value,
        ""
    ),
    IF(SUMPRODUCT(--((G323:G422="metric tonnes (t)")+(G323:G422="kilograms (kg)")))&gt;0,
        template_label_ok,
        ""
    )
)</f>
        <v/>
      </c>
    </row>
    <row r="424" spans="3:13" x14ac:dyDescent="0.3">
      <c r="C424" s="765"/>
      <c r="D424" s="733" t="str">
        <f>template_label_total_non_hazardous_waste_generated_mass</f>
        <v>Total Non-Hazardous waste generated (mass)</v>
      </c>
      <c r="E424" s="733"/>
      <c r="F424" s="734"/>
      <c r="G424" s="726" t="str">
        <f>IF($G$423="", "-", $G$423)</f>
        <v>-</v>
      </c>
      <c r="H424" s="726"/>
      <c r="I424" s="728"/>
      <c r="J424" s="701" t="str">
        <f>IF(OR(G423="", AND(D323="",J323="",K323="",D324="",J324="",K324="",D325="",J325="",K325="",D326="",J326="",K326="",D327="",J327="",K327="",D328="",J328="",K328="",D329="",J329="",K329="",D330="",J330="",K330="",D331="",J331="",K331="",D332="",J332="",K332="",D333="",J333="",K333="",D334="",J334="",K334="",D335="",J335="",K335="",D336="",J336="",K336="",D422="",J422="",K422="")),
    "-",
    IF(G423="metric tonnes (t)",
        SUMIFS(L323:L422, D323:D422, "* Non-Hazardous *", G323:G422, "*kilograms (kg)*") / 1000 +
        SUMIFS(L323:L422, D323:D422, "* Non-Hazardous *", G323:G422, "*metric tonnes (t)*"),
        SUMIFS(L323:L422, D323:D422, "* Non-Hazardous *", G323:G422, "*kilograms (kg)*") +
        SUMIFS(L323:L422, D323:D422, "* Non-Hazardous *", G323:G422, "*metric tonnes (t)*") * 1000
    )
)</f>
        <v>-</v>
      </c>
      <c r="K424" s="701"/>
      <c r="L424" s="702"/>
    </row>
    <row r="425" spans="3:13" ht="15" thickBot="1" x14ac:dyDescent="0.35">
      <c r="C425" s="765"/>
      <c r="D425" s="735" t="str">
        <f>template_label_total_waste_generated_mass</f>
        <v>Total waste generated (mass)</v>
      </c>
      <c r="E425" s="735"/>
      <c r="F425" s="736"/>
      <c r="G425" s="726" t="str">
        <f>IF($G$423="", "-", $G$423)</f>
        <v>-</v>
      </c>
      <c r="H425" s="727"/>
      <c r="I425" s="730"/>
      <c r="J425" s="724" t="str">
        <f>IF(AND(J423="-",J424="-"),"-",SUM(J423:L424))</f>
        <v>-</v>
      </c>
      <c r="K425" s="724"/>
      <c r="L425" s="725"/>
    </row>
    <row r="426" spans="3:13" x14ac:dyDescent="0.3">
      <c r="C426" s="765"/>
      <c r="D426" s="944" t="str">
        <f>template_label_total_hazardous_waste_generated_volume</f>
        <v>Total Hazardous waste generated (volume)</v>
      </c>
      <c r="E426" s="944"/>
      <c r="F426" s="945"/>
      <c r="G426" s="946" t="str">
        <f>template_label_cubic_meters</f>
        <v>cubic meters (m³)</v>
      </c>
      <c r="H426" s="946"/>
      <c r="I426" s="946"/>
      <c r="J426" s="762" t="str">
        <f>IF(AND(D323="",J323="",K323="",D324="",J324="",K324="",D325="",J325="",K325="",D326="",J326="",K326="",D327="",J327="",K327="",D328="",J328="",K328="",D329="",J329="",K329="",D330="",J330="",K330="",D331="",J331="",K331="",D332="",J332="",K332="",D333="",J333="",K333="",D334="",J334="",K334="",D335="",J335="",K335="",D336="",J336="",K336="",D422="",J422="",K422=""),"-",SUMIFS(L323:L422, D323:D422,"* Hazardous *", G323:G422,"*cubic meters (m3)*"))</f>
        <v>-</v>
      </c>
      <c r="K426" s="762"/>
      <c r="L426" s="763"/>
    </row>
    <row r="427" spans="3:13" x14ac:dyDescent="0.3">
      <c r="C427" s="765"/>
      <c r="D427" s="733" t="str">
        <f>template_label_total_non_hazardous_waste_generated_volume</f>
        <v>Total Non-Hazardous waste generated (volume)</v>
      </c>
      <c r="E427" s="733"/>
      <c r="F427" s="734"/>
      <c r="G427" s="726" t="str">
        <f>template_label_cubic_meters</f>
        <v>cubic meters (m³)</v>
      </c>
      <c r="H427" s="726"/>
      <c r="I427" s="726"/>
      <c r="J427" s="701" t="str">
        <f>IF(AND(D323="",J323="",K323="",D324="",J324="",K324="",D325="",J325="",K325="",D326="",J326="",K326="",D327="",J327="",K327="",D328="",J328="",K328="",D329="",J329="",K329="",D330="",J330="",K330="",D331="",J331="",K331="",D332="",J332="",K332="",D333="",J333="",K333="",D334="",J334="",K334="",D335="",J335="",K335="",D336="",J336="",K336="",D422="",J422="",K422=""),"-",SUMIFS(L323:L422, D323:D422,"*Non-Hazardous*", G323:G422,"*cubic meters (m3)*"))</f>
        <v>-</v>
      </c>
      <c r="K427" s="701"/>
      <c r="L427" s="702"/>
    </row>
    <row r="428" spans="3:13" ht="15" thickBot="1" x14ac:dyDescent="0.35">
      <c r="C428" s="766"/>
      <c r="D428" s="735" t="str">
        <f>template_label_total_waste_generated_volume</f>
        <v>Total waste generated (volume)</v>
      </c>
      <c r="E428" s="735"/>
      <c r="F428" s="736"/>
      <c r="G428" s="727" t="str">
        <f>template_label_cubic_meters</f>
        <v>cubic meters (m³)</v>
      </c>
      <c r="H428" s="727"/>
      <c r="I428" s="727"/>
      <c r="J428" s="724" t="str">
        <f>IF(AND(J426="-",J427="-"),"-",SUM(J426:L427))</f>
        <v>-</v>
      </c>
      <c r="K428" s="724"/>
      <c r="L428" s="725"/>
    </row>
    <row r="429" spans="3:13" ht="15" thickBot="1" x14ac:dyDescent="0.35"/>
    <row r="430" spans="3:13" x14ac:dyDescent="0.3">
      <c r="C430" s="689"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 to - [If applicable]</v>
      </c>
      <c r="D430" s="690"/>
      <c r="E430" s="690"/>
      <c r="F430" s="690"/>
      <c r="G430" s="690"/>
      <c r="H430" s="690"/>
      <c r="I430" s="690"/>
      <c r="J430" s="691"/>
    </row>
    <row r="431" spans="3:13" x14ac:dyDescent="0.3">
      <c r="C431" s="692" t="s">
        <v>3749</v>
      </c>
      <c r="D431" s="693"/>
      <c r="E431" s="693"/>
      <c r="F431" s="693"/>
      <c r="G431" s="693"/>
      <c r="H431" s="693"/>
      <c r="I431" s="693"/>
      <c r="J431" s="694"/>
    </row>
    <row r="432" spans="3:13" x14ac:dyDescent="0.3">
      <c r="C432" s="686" t="s">
        <v>5655</v>
      </c>
      <c r="D432" s="687"/>
      <c r="E432" s="687"/>
      <c r="F432" s="687"/>
      <c r="G432" s="687"/>
      <c r="H432" s="687"/>
      <c r="I432" s="687"/>
      <c r="J432" s="688"/>
      <c r="K432" s="11"/>
      <c r="L432" s="11"/>
    </row>
    <row r="433" spans="3:12" ht="30" customHeight="1" x14ac:dyDescent="0.3">
      <c r="C433" s="568" t="str">
        <f>template_label_does_the_undertaking_operate_in_a_sector_using_significant_material_flows</f>
        <v>Does the undertaking the undertaking operate in a sector using significant material flows (for example manufacturing construction packaging or others)?</v>
      </c>
      <c r="D433" s="695"/>
      <c r="E433" s="695"/>
      <c r="F433" s="696"/>
      <c r="G433" s="570" t="b">
        <v>0</v>
      </c>
      <c r="H433" s="571"/>
      <c r="I433" s="571"/>
      <c r="J433" s="572"/>
    </row>
    <row r="434" spans="3:12" ht="43.5" customHeight="1" x14ac:dyDescent="0.3">
      <c r="C434" s="142" t="str">
        <f>template_label_row_id</f>
        <v>Row ID</v>
      </c>
      <c r="D434" s="697" t="str">
        <f>template_label_name_of_the_key_material</f>
        <v>Name of the key material</v>
      </c>
      <c r="E434" s="697"/>
      <c r="F434" s="697"/>
      <c r="G434" s="697" t="str">
        <f>template_label_mass_volume</f>
        <v>Mass Volume</v>
      </c>
      <c r="H434" s="697"/>
      <c r="I434" s="697"/>
      <c r="J434" s="107" t="str">
        <f>template_label_unit_of_measurement</f>
        <v>Unit of measurement</v>
      </c>
    </row>
    <row r="435" spans="3:12" x14ac:dyDescent="0.3">
      <c r="C435" s="231">
        <v>1</v>
      </c>
      <c r="D435" s="681"/>
      <c r="E435" s="681"/>
      <c r="F435" s="681"/>
      <c r="G435" s="685"/>
      <c r="H435" s="685"/>
      <c r="I435" s="685"/>
      <c r="J435" s="145"/>
      <c r="K435" s="17" t="str">
        <f>IF(AND(G433=TRUE,D435&lt;&gt;"",G435&lt;&gt;"",J435&lt;&gt;""),
    template_label_ok,
    IF(AND(G433=TRUE,OR(D435="",G435="",J435="")),
        template_label_missing_value,
        ""
    )
)</f>
        <v/>
      </c>
    </row>
    <row r="436" spans="3:12" x14ac:dyDescent="0.3">
      <c r="C436" s="231">
        <v>2</v>
      </c>
      <c r="D436" s="698"/>
      <c r="E436" s="698"/>
      <c r="F436" s="698"/>
      <c r="G436" s="685"/>
      <c r="H436" s="685"/>
      <c r="I436" s="685"/>
      <c r="J436" s="145"/>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spans="3:12" x14ac:dyDescent="0.3">
      <c r="C437" s="231">
        <v>3</v>
      </c>
      <c r="D437" s="698"/>
      <c r="E437" s="698"/>
      <c r="F437" s="698"/>
      <c r="G437" s="685"/>
      <c r="H437" s="685"/>
      <c r="I437" s="685"/>
      <c r="J437" s="145"/>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231">
        <v>4</v>
      </c>
      <c r="D438" s="698"/>
      <c r="E438" s="698"/>
      <c r="F438" s="698"/>
      <c r="G438" s="685"/>
      <c r="H438" s="685"/>
      <c r="I438" s="685"/>
      <c r="J438" s="145"/>
      <c r="K438" s="17" t="str">
        <f t="shared" si="9"/>
        <v/>
      </c>
    </row>
    <row r="439" spans="3:12" hidden="1" outlineLevel="2" x14ac:dyDescent="0.3">
      <c r="C439" s="231">
        <v>5</v>
      </c>
      <c r="D439" s="698"/>
      <c r="E439" s="698"/>
      <c r="F439" s="698"/>
      <c r="G439" s="685"/>
      <c r="H439" s="685"/>
      <c r="I439" s="685"/>
      <c r="J439" s="145"/>
      <c r="K439" s="17" t="str">
        <f t="shared" si="9"/>
        <v/>
      </c>
    </row>
    <row r="440" spans="3:12" hidden="1" outlineLevel="2" x14ac:dyDescent="0.3">
      <c r="C440" s="231">
        <v>6</v>
      </c>
      <c r="D440" s="681"/>
      <c r="E440" s="681"/>
      <c r="F440" s="681"/>
      <c r="G440" s="685"/>
      <c r="H440" s="685"/>
      <c r="I440" s="685"/>
      <c r="J440" s="145"/>
      <c r="K440" s="17" t="str">
        <f t="shared" si="9"/>
        <v/>
      </c>
    </row>
    <row r="441" spans="3:12" hidden="1" outlineLevel="2" x14ac:dyDescent="0.3">
      <c r="C441" s="231">
        <v>7</v>
      </c>
      <c r="D441" s="681"/>
      <c r="E441" s="681"/>
      <c r="F441" s="681"/>
      <c r="G441" s="685"/>
      <c r="H441" s="685"/>
      <c r="I441" s="685"/>
      <c r="J441" s="145"/>
      <c r="K441" s="17" t="str">
        <f t="shared" si="9"/>
        <v/>
      </c>
    </row>
    <row r="442" spans="3:12" hidden="1" outlineLevel="2" x14ac:dyDescent="0.3">
      <c r="C442" s="231">
        <v>8</v>
      </c>
      <c r="D442" s="681"/>
      <c r="E442" s="681"/>
      <c r="F442" s="681"/>
      <c r="G442" s="685"/>
      <c r="H442" s="685"/>
      <c r="I442" s="685"/>
      <c r="J442" s="145"/>
      <c r="K442" s="17" t="str">
        <f t="shared" si="9"/>
        <v/>
      </c>
    </row>
    <row r="443" spans="3:12" hidden="1" outlineLevel="2" x14ac:dyDescent="0.3">
      <c r="C443" s="231">
        <v>9</v>
      </c>
      <c r="D443" s="681"/>
      <c r="E443" s="681"/>
      <c r="F443" s="681"/>
      <c r="G443" s="685"/>
      <c r="H443" s="685"/>
      <c r="I443" s="685"/>
      <c r="J443" s="145"/>
      <c r="K443" s="17" t="str">
        <f t="shared" si="9"/>
        <v/>
      </c>
    </row>
    <row r="444" spans="3:12" hidden="1" outlineLevel="2" x14ac:dyDescent="0.3">
      <c r="C444" s="231">
        <v>10</v>
      </c>
      <c r="D444" s="681"/>
      <c r="E444" s="681"/>
      <c r="F444" s="681"/>
      <c r="G444" s="685"/>
      <c r="H444" s="685"/>
      <c r="I444" s="685"/>
      <c r="J444" s="145"/>
      <c r="K444" s="17" t="str">
        <f t="shared" si="9"/>
        <v/>
      </c>
    </row>
    <row r="445" spans="3:12" hidden="1" outlineLevel="2" x14ac:dyDescent="0.3">
      <c r="C445" s="231">
        <v>11</v>
      </c>
      <c r="D445" s="682"/>
      <c r="E445" s="683"/>
      <c r="F445" s="684"/>
      <c r="G445" s="685"/>
      <c r="H445" s="685"/>
      <c r="I445" s="685"/>
      <c r="J445" s="145"/>
      <c r="K445" s="17" t="str">
        <f t="shared" si="9"/>
        <v/>
      </c>
    </row>
    <row r="446" spans="3:12" hidden="1" outlineLevel="2" x14ac:dyDescent="0.3">
      <c r="C446" s="231">
        <v>12</v>
      </c>
      <c r="D446" s="682"/>
      <c r="E446" s="683"/>
      <c r="F446" s="684"/>
      <c r="G446" s="685"/>
      <c r="H446" s="685"/>
      <c r="I446" s="685"/>
      <c r="J446" s="145"/>
      <c r="K446" s="17" t="str">
        <f t="shared" si="9"/>
        <v/>
      </c>
    </row>
    <row r="447" spans="3:12" hidden="1" outlineLevel="2" x14ac:dyDescent="0.3">
      <c r="C447" s="231">
        <v>13</v>
      </c>
      <c r="D447" s="682"/>
      <c r="E447" s="683"/>
      <c r="F447" s="684"/>
      <c r="G447" s="685"/>
      <c r="H447" s="685"/>
      <c r="I447" s="685"/>
      <c r="J447" s="145"/>
      <c r="K447" s="17" t="str">
        <f t="shared" si="9"/>
        <v/>
      </c>
    </row>
    <row r="448" spans="3:12" hidden="1" outlineLevel="2" x14ac:dyDescent="0.3">
      <c r="C448" s="231">
        <v>14</v>
      </c>
      <c r="D448" s="682"/>
      <c r="E448" s="683"/>
      <c r="F448" s="684"/>
      <c r="G448" s="685"/>
      <c r="H448" s="685"/>
      <c r="I448" s="685"/>
      <c r="J448" s="145"/>
      <c r="K448" s="17" t="str">
        <f t="shared" si="9"/>
        <v/>
      </c>
    </row>
    <row r="449" spans="3:11" hidden="1" outlineLevel="2" x14ac:dyDescent="0.3">
      <c r="C449" s="231">
        <v>15</v>
      </c>
      <c r="D449" s="682"/>
      <c r="E449" s="683"/>
      <c r="F449" s="684"/>
      <c r="G449" s="685"/>
      <c r="H449" s="685"/>
      <c r="I449" s="685"/>
      <c r="J449" s="145"/>
      <c r="K449" s="17" t="str">
        <f t="shared" si="9"/>
        <v/>
      </c>
    </row>
    <row r="450" spans="3:11" hidden="1" outlineLevel="2" x14ac:dyDescent="0.3">
      <c r="C450" s="231">
        <v>16</v>
      </c>
      <c r="D450" s="682"/>
      <c r="E450" s="683"/>
      <c r="F450" s="684"/>
      <c r="G450" s="685"/>
      <c r="H450" s="685"/>
      <c r="I450" s="685"/>
      <c r="J450" s="145"/>
      <c r="K450" s="17" t="str">
        <f t="shared" si="9"/>
        <v/>
      </c>
    </row>
    <row r="451" spans="3:11" hidden="1" outlineLevel="2" x14ac:dyDescent="0.3">
      <c r="C451" s="231">
        <v>17</v>
      </c>
      <c r="D451" s="682"/>
      <c r="E451" s="683"/>
      <c r="F451" s="684"/>
      <c r="G451" s="685"/>
      <c r="H451" s="685"/>
      <c r="I451" s="685"/>
      <c r="J451" s="145"/>
      <c r="K451" s="17" t="str">
        <f t="shared" si="9"/>
        <v/>
      </c>
    </row>
    <row r="452" spans="3:11" hidden="1" outlineLevel="2" x14ac:dyDescent="0.3">
      <c r="C452" s="231">
        <v>18</v>
      </c>
      <c r="D452" s="682"/>
      <c r="E452" s="683"/>
      <c r="F452" s="684"/>
      <c r="G452" s="685"/>
      <c r="H452" s="685"/>
      <c r="I452" s="685"/>
      <c r="J452" s="145"/>
      <c r="K452" s="17" t="str">
        <f t="shared" si="9"/>
        <v/>
      </c>
    </row>
    <row r="453" spans="3:11" hidden="1" outlineLevel="2" x14ac:dyDescent="0.3">
      <c r="C453" s="231">
        <v>19</v>
      </c>
      <c r="D453" s="682"/>
      <c r="E453" s="683"/>
      <c r="F453" s="684"/>
      <c r="G453" s="685"/>
      <c r="H453" s="685"/>
      <c r="I453" s="685"/>
      <c r="J453" s="145"/>
      <c r="K453" s="17" t="str">
        <f t="shared" si="9"/>
        <v/>
      </c>
    </row>
    <row r="454" spans="3:11" hidden="1" outlineLevel="2" x14ac:dyDescent="0.3">
      <c r="C454" s="231">
        <v>20</v>
      </c>
      <c r="D454" s="682"/>
      <c r="E454" s="683"/>
      <c r="F454" s="684"/>
      <c r="G454" s="685"/>
      <c r="H454" s="685"/>
      <c r="I454" s="685"/>
      <c r="J454" s="145"/>
      <c r="K454" s="17" t="str">
        <f t="shared" si="9"/>
        <v/>
      </c>
    </row>
    <row r="455" spans="3:11" hidden="1" outlineLevel="2" x14ac:dyDescent="0.3">
      <c r="C455" s="231">
        <v>21</v>
      </c>
      <c r="D455" s="682"/>
      <c r="E455" s="683"/>
      <c r="F455" s="684"/>
      <c r="G455" s="685"/>
      <c r="H455" s="685"/>
      <c r="I455" s="685"/>
      <c r="J455" s="145"/>
      <c r="K455" s="17" t="str">
        <f t="shared" si="9"/>
        <v/>
      </c>
    </row>
    <row r="456" spans="3:11" hidden="1" outlineLevel="2" x14ac:dyDescent="0.3">
      <c r="C456" s="231">
        <v>22</v>
      </c>
      <c r="D456" s="682"/>
      <c r="E456" s="683"/>
      <c r="F456" s="684"/>
      <c r="G456" s="685"/>
      <c r="H456" s="685"/>
      <c r="I456" s="685"/>
      <c r="J456" s="145"/>
      <c r="K456" s="17" t="str">
        <f t="shared" si="9"/>
        <v/>
      </c>
    </row>
    <row r="457" spans="3:11" hidden="1" outlineLevel="2" x14ac:dyDescent="0.3">
      <c r="C457" s="231">
        <v>23</v>
      </c>
      <c r="D457" s="682"/>
      <c r="E457" s="683"/>
      <c r="F457" s="684"/>
      <c r="G457" s="685"/>
      <c r="H457" s="685"/>
      <c r="I457" s="685"/>
      <c r="J457" s="145"/>
      <c r="K457" s="17" t="str">
        <f t="shared" si="9"/>
        <v/>
      </c>
    </row>
    <row r="458" spans="3:11" hidden="1" outlineLevel="2" x14ac:dyDescent="0.3">
      <c r="C458" s="231">
        <v>24</v>
      </c>
      <c r="D458" s="682"/>
      <c r="E458" s="683"/>
      <c r="F458" s="684"/>
      <c r="G458" s="685"/>
      <c r="H458" s="685"/>
      <c r="I458" s="685"/>
      <c r="J458" s="145"/>
      <c r="K458" s="17" t="str">
        <f t="shared" si="9"/>
        <v/>
      </c>
    </row>
    <row r="459" spans="3:11" hidden="1" outlineLevel="2" x14ac:dyDescent="0.3">
      <c r="C459" s="231">
        <v>25</v>
      </c>
      <c r="D459" s="682"/>
      <c r="E459" s="683"/>
      <c r="F459" s="684"/>
      <c r="G459" s="685"/>
      <c r="H459" s="685"/>
      <c r="I459" s="685"/>
      <c r="J459" s="145"/>
      <c r="K459" s="17" t="str">
        <f t="shared" si="9"/>
        <v/>
      </c>
    </row>
    <row r="460" spans="3:11" hidden="1" outlineLevel="2" x14ac:dyDescent="0.3">
      <c r="C460" s="231">
        <v>26</v>
      </c>
      <c r="D460" s="682"/>
      <c r="E460" s="683"/>
      <c r="F460" s="684"/>
      <c r="G460" s="685"/>
      <c r="H460" s="685"/>
      <c r="I460" s="685"/>
      <c r="J460" s="145"/>
      <c r="K460" s="17" t="str">
        <f t="shared" si="9"/>
        <v/>
      </c>
    </row>
    <row r="461" spans="3:11" hidden="1" outlineLevel="2" x14ac:dyDescent="0.3">
      <c r="C461" s="231">
        <v>27</v>
      </c>
      <c r="D461" s="682"/>
      <c r="E461" s="683"/>
      <c r="F461" s="684"/>
      <c r="G461" s="685"/>
      <c r="H461" s="685"/>
      <c r="I461" s="685"/>
      <c r="J461" s="145"/>
      <c r="K461" s="17" t="str">
        <f t="shared" si="9"/>
        <v/>
      </c>
    </row>
    <row r="462" spans="3:11" hidden="1" outlineLevel="2" x14ac:dyDescent="0.3">
      <c r="C462" s="231">
        <v>28</v>
      </c>
      <c r="D462" s="682"/>
      <c r="E462" s="683"/>
      <c r="F462" s="684"/>
      <c r="G462" s="685"/>
      <c r="H462" s="685"/>
      <c r="I462" s="685"/>
      <c r="J462" s="145"/>
      <c r="K462" s="17" t="str">
        <f t="shared" si="9"/>
        <v/>
      </c>
    </row>
    <row r="463" spans="3:11" hidden="1" outlineLevel="2" x14ac:dyDescent="0.3">
      <c r="C463" s="231">
        <v>29</v>
      </c>
      <c r="D463" s="682"/>
      <c r="E463" s="683"/>
      <c r="F463" s="684"/>
      <c r="G463" s="685"/>
      <c r="H463" s="685"/>
      <c r="I463" s="685"/>
      <c r="J463" s="145"/>
      <c r="K463" s="17" t="str">
        <f t="shared" si="9"/>
        <v/>
      </c>
    </row>
    <row r="464" spans="3:11" hidden="1" outlineLevel="2" x14ac:dyDescent="0.3">
      <c r="C464" s="231">
        <v>30</v>
      </c>
      <c r="D464" s="682"/>
      <c r="E464" s="683"/>
      <c r="F464" s="684"/>
      <c r="G464" s="685"/>
      <c r="H464" s="685"/>
      <c r="I464" s="685"/>
      <c r="J464" s="145"/>
      <c r="K464" s="17" t="str">
        <f t="shared" si="9"/>
        <v/>
      </c>
    </row>
    <row r="465" spans="3:11" hidden="1" outlineLevel="2" x14ac:dyDescent="0.3">
      <c r="C465" s="231">
        <v>31</v>
      </c>
      <c r="D465" s="682"/>
      <c r="E465" s="683"/>
      <c r="F465" s="684"/>
      <c r="G465" s="685"/>
      <c r="H465" s="685"/>
      <c r="I465" s="685"/>
      <c r="J465" s="145"/>
      <c r="K465" s="17" t="str">
        <f t="shared" si="9"/>
        <v/>
      </c>
    </row>
    <row r="466" spans="3:11" hidden="1" outlineLevel="2" x14ac:dyDescent="0.3">
      <c r="C466" s="231">
        <v>32</v>
      </c>
      <c r="D466" s="682"/>
      <c r="E466" s="683"/>
      <c r="F466" s="684"/>
      <c r="G466" s="685"/>
      <c r="H466" s="685"/>
      <c r="I466" s="685"/>
      <c r="J466" s="145"/>
      <c r="K466" s="17" t="str">
        <f t="shared" si="9"/>
        <v/>
      </c>
    </row>
    <row r="467" spans="3:11" hidden="1" outlineLevel="2" x14ac:dyDescent="0.3">
      <c r="C467" s="231">
        <v>33</v>
      </c>
      <c r="D467" s="682"/>
      <c r="E467" s="683"/>
      <c r="F467" s="684"/>
      <c r="G467" s="685"/>
      <c r="H467" s="685"/>
      <c r="I467" s="685"/>
      <c r="J467" s="145"/>
      <c r="K467" s="17" t="str">
        <f t="shared" si="9"/>
        <v/>
      </c>
    </row>
    <row r="468" spans="3:11" hidden="1" outlineLevel="2" x14ac:dyDescent="0.3">
      <c r="C468" s="231">
        <v>34</v>
      </c>
      <c r="D468" s="682"/>
      <c r="E468" s="683"/>
      <c r="F468" s="684"/>
      <c r="G468" s="685"/>
      <c r="H468" s="685"/>
      <c r="I468" s="685"/>
      <c r="J468" s="145"/>
      <c r="K468" s="17" t="str">
        <f t="shared" si="9"/>
        <v/>
      </c>
    </row>
    <row r="469" spans="3:11" hidden="1" outlineLevel="2" x14ac:dyDescent="0.3">
      <c r="C469" s="231">
        <v>35</v>
      </c>
      <c r="D469" s="682"/>
      <c r="E469" s="683"/>
      <c r="F469" s="684"/>
      <c r="G469" s="685"/>
      <c r="H469" s="685"/>
      <c r="I469" s="685"/>
      <c r="J469" s="145"/>
      <c r="K469" s="17" t="str">
        <f t="shared" si="9"/>
        <v/>
      </c>
    </row>
    <row r="470" spans="3:11" hidden="1" outlineLevel="2" x14ac:dyDescent="0.3">
      <c r="C470" s="231">
        <v>36</v>
      </c>
      <c r="D470" s="682"/>
      <c r="E470" s="683"/>
      <c r="F470" s="684"/>
      <c r="G470" s="685"/>
      <c r="H470" s="685"/>
      <c r="I470" s="685"/>
      <c r="J470" s="145"/>
      <c r="K470" s="17" t="str">
        <f t="shared" si="9"/>
        <v/>
      </c>
    </row>
    <row r="471" spans="3:11" hidden="1" outlineLevel="2" x14ac:dyDescent="0.3">
      <c r="C471" s="231">
        <v>37</v>
      </c>
      <c r="D471" s="682"/>
      <c r="E471" s="683"/>
      <c r="F471" s="684"/>
      <c r="G471" s="685"/>
      <c r="H471" s="685"/>
      <c r="I471" s="685"/>
      <c r="J471" s="145"/>
      <c r="K471" s="17" t="str">
        <f t="shared" si="9"/>
        <v/>
      </c>
    </row>
    <row r="472" spans="3:11" hidden="1" outlineLevel="2" x14ac:dyDescent="0.3">
      <c r="C472" s="231">
        <v>38</v>
      </c>
      <c r="D472" s="682"/>
      <c r="E472" s="683"/>
      <c r="F472" s="684"/>
      <c r="G472" s="685"/>
      <c r="H472" s="685"/>
      <c r="I472" s="685"/>
      <c r="J472" s="145"/>
      <c r="K472" s="17" t="str">
        <f t="shared" si="9"/>
        <v/>
      </c>
    </row>
    <row r="473" spans="3:11" hidden="1" outlineLevel="2" x14ac:dyDescent="0.3">
      <c r="C473" s="231">
        <v>39</v>
      </c>
      <c r="D473" s="682"/>
      <c r="E473" s="683"/>
      <c r="F473" s="684"/>
      <c r="G473" s="685"/>
      <c r="H473" s="685"/>
      <c r="I473" s="685"/>
      <c r="J473" s="145"/>
      <c r="K473" s="17" t="str">
        <f t="shared" si="9"/>
        <v/>
      </c>
    </row>
    <row r="474" spans="3:11" hidden="1" outlineLevel="2" x14ac:dyDescent="0.3">
      <c r="C474" s="231">
        <v>40</v>
      </c>
      <c r="D474" s="682"/>
      <c r="E474" s="683"/>
      <c r="F474" s="684"/>
      <c r="G474" s="685"/>
      <c r="H474" s="685"/>
      <c r="I474" s="685"/>
      <c r="J474" s="145"/>
      <c r="K474" s="17" t="str">
        <f t="shared" si="9"/>
        <v/>
      </c>
    </row>
    <row r="475" spans="3:11" hidden="1" outlineLevel="2" x14ac:dyDescent="0.3">
      <c r="C475" s="231">
        <v>41</v>
      </c>
      <c r="D475" s="682"/>
      <c r="E475" s="683"/>
      <c r="F475" s="684"/>
      <c r="G475" s="685"/>
      <c r="H475" s="685"/>
      <c r="I475" s="685"/>
      <c r="J475" s="145"/>
      <c r="K475" s="17" t="str">
        <f t="shared" si="9"/>
        <v/>
      </c>
    </row>
    <row r="476" spans="3:11" hidden="1" outlineLevel="2" x14ac:dyDescent="0.3">
      <c r="C476" s="231">
        <v>42</v>
      </c>
      <c r="D476" s="682"/>
      <c r="E476" s="683"/>
      <c r="F476" s="684"/>
      <c r="G476" s="685"/>
      <c r="H476" s="685"/>
      <c r="I476" s="685"/>
      <c r="J476" s="145"/>
      <c r="K476" s="17" t="str">
        <f t="shared" si="9"/>
        <v/>
      </c>
    </row>
    <row r="477" spans="3:11" hidden="1" outlineLevel="2" x14ac:dyDescent="0.3">
      <c r="C477" s="231">
        <v>43</v>
      </c>
      <c r="D477" s="682"/>
      <c r="E477" s="683"/>
      <c r="F477" s="684"/>
      <c r="G477" s="685"/>
      <c r="H477" s="685"/>
      <c r="I477" s="685"/>
      <c r="J477" s="145"/>
      <c r="K477" s="17" t="str">
        <f t="shared" si="9"/>
        <v/>
      </c>
    </row>
    <row r="478" spans="3:11" hidden="1" outlineLevel="2" x14ac:dyDescent="0.3">
      <c r="C478" s="231">
        <v>44</v>
      </c>
      <c r="D478" s="682"/>
      <c r="E478" s="683"/>
      <c r="F478" s="684"/>
      <c r="G478" s="685"/>
      <c r="H478" s="685"/>
      <c r="I478" s="685"/>
      <c r="J478" s="145"/>
      <c r="K478" s="17" t="str">
        <f t="shared" si="9"/>
        <v/>
      </c>
    </row>
    <row r="479" spans="3:11" hidden="1" outlineLevel="2" x14ac:dyDescent="0.3">
      <c r="C479" s="231">
        <v>45</v>
      </c>
      <c r="D479" s="682"/>
      <c r="E479" s="683"/>
      <c r="F479" s="684"/>
      <c r="G479" s="685"/>
      <c r="H479" s="685"/>
      <c r="I479" s="685"/>
      <c r="J479" s="145"/>
      <c r="K479" s="17" t="str">
        <f t="shared" si="9"/>
        <v/>
      </c>
    </row>
    <row r="480" spans="3:11" hidden="1" outlineLevel="2" x14ac:dyDescent="0.3">
      <c r="C480" s="231">
        <v>46</v>
      </c>
      <c r="D480" s="682"/>
      <c r="E480" s="683"/>
      <c r="F480" s="684"/>
      <c r="G480" s="685"/>
      <c r="H480" s="685"/>
      <c r="I480" s="685"/>
      <c r="J480" s="145"/>
      <c r="K480" s="17" t="str">
        <f t="shared" si="9"/>
        <v/>
      </c>
    </row>
    <row r="481" spans="3:11" hidden="1" outlineLevel="2" x14ac:dyDescent="0.3">
      <c r="C481" s="231">
        <v>47</v>
      </c>
      <c r="D481" s="682"/>
      <c r="E481" s="683"/>
      <c r="F481" s="684"/>
      <c r="G481" s="685"/>
      <c r="H481" s="685"/>
      <c r="I481" s="685"/>
      <c r="J481" s="145"/>
      <c r="K481" s="17" t="str">
        <f t="shared" si="9"/>
        <v/>
      </c>
    </row>
    <row r="482" spans="3:11" hidden="1" outlineLevel="2" x14ac:dyDescent="0.3">
      <c r="C482" s="231">
        <v>48</v>
      </c>
      <c r="D482" s="682"/>
      <c r="E482" s="683"/>
      <c r="F482" s="684"/>
      <c r="G482" s="685"/>
      <c r="H482" s="685"/>
      <c r="I482" s="685"/>
      <c r="J482" s="145"/>
      <c r="K482" s="17" t="str">
        <f t="shared" si="9"/>
        <v/>
      </c>
    </row>
    <row r="483" spans="3:11" hidden="1" outlineLevel="2" x14ac:dyDescent="0.3">
      <c r="C483" s="231">
        <v>49</v>
      </c>
      <c r="D483" s="682"/>
      <c r="E483" s="683"/>
      <c r="F483" s="684"/>
      <c r="G483" s="685"/>
      <c r="H483" s="685"/>
      <c r="I483" s="685"/>
      <c r="J483" s="145"/>
      <c r="K483" s="17" t="str">
        <f t="shared" si="9"/>
        <v/>
      </c>
    </row>
    <row r="484" spans="3:11" hidden="1" outlineLevel="2" x14ac:dyDescent="0.3">
      <c r="C484" s="231">
        <v>50</v>
      </c>
      <c r="D484" s="682"/>
      <c r="E484" s="683"/>
      <c r="F484" s="684"/>
      <c r="G484" s="685"/>
      <c r="H484" s="685"/>
      <c r="I484" s="685"/>
      <c r="J484" s="145"/>
      <c r="K484" s="17" t="str">
        <f t="shared" si="9"/>
        <v/>
      </c>
    </row>
    <row r="485" spans="3:11" hidden="1" outlineLevel="2" x14ac:dyDescent="0.3">
      <c r="C485" s="231">
        <v>51</v>
      </c>
      <c r="D485" s="682"/>
      <c r="E485" s="683"/>
      <c r="F485" s="684"/>
      <c r="G485" s="685"/>
      <c r="H485" s="685"/>
      <c r="I485" s="685"/>
      <c r="J485" s="145"/>
      <c r="K485" s="17" t="str">
        <f t="shared" si="9"/>
        <v/>
      </c>
    </row>
    <row r="486" spans="3:11" hidden="1" outlineLevel="2" x14ac:dyDescent="0.3">
      <c r="C486" s="231">
        <v>52</v>
      </c>
      <c r="D486" s="682"/>
      <c r="E486" s="683"/>
      <c r="F486" s="684"/>
      <c r="G486" s="685"/>
      <c r="H486" s="685"/>
      <c r="I486" s="685"/>
      <c r="J486" s="145"/>
      <c r="K486" s="17" t="str">
        <f t="shared" si="9"/>
        <v/>
      </c>
    </row>
    <row r="487" spans="3:11" hidden="1" outlineLevel="2" x14ac:dyDescent="0.3">
      <c r="C487" s="231">
        <v>53</v>
      </c>
      <c r="D487" s="682"/>
      <c r="E487" s="683"/>
      <c r="F487" s="684"/>
      <c r="G487" s="685"/>
      <c r="H487" s="685"/>
      <c r="I487" s="685"/>
      <c r="J487" s="145"/>
      <c r="K487" s="17" t="str">
        <f t="shared" si="9"/>
        <v/>
      </c>
    </row>
    <row r="488" spans="3:11" hidden="1" outlineLevel="2" x14ac:dyDescent="0.3">
      <c r="C488" s="231">
        <v>54</v>
      </c>
      <c r="D488" s="682"/>
      <c r="E488" s="683"/>
      <c r="F488" s="684"/>
      <c r="G488" s="685"/>
      <c r="H488" s="685"/>
      <c r="I488" s="685"/>
      <c r="J488" s="145"/>
      <c r="K488" s="17" t="str">
        <f t="shared" si="9"/>
        <v/>
      </c>
    </row>
    <row r="489" spans="3:11" hidden="1" outlineLevel="2" x14ac:dyDescent="0.3">
      <c r="C489" s="231">
        <v>55</v>
      </c>
      <c r="D489" s="682"/>
      <c r="E489" s="683"/>
      <c r="F489" s="684"/>
      <c r="G489" s="685"/>
      <c r="H489" s="685"/>
      <c r="I489" s="685"/>
      <c r="J489" s="145"/>
      <c r="K489" s="17" t="str">
        <f t="shared" si="9"/>
        <v/>
      </c>
    </row>
    <row r="490" spans="3:11" hidden="1" outlineLevel="2" x14ac:dyDescent="0.3">
      <c r="C490" s="231">
        <v>56</v>
      </c>
      <c r="D490" s="682"/>
      <c r="E490" s="683"/>
      <c r="F490" s="684"/>
      <c r="G490" s="685"/>
      <c r="H490" s="685"/>
      <c r="I490" s="685"/>
      <c r="J490" s="145"/>
      <c r="K490" s="17" t="str">
        <f t="shared" si="9"/>
        <v/>
      </c>
    </row>
    <row r="491" spans="3:11" hidden="1" outlineLevel="2" x14ac:dyDescent="0.3">
      <c r="C491" s="231">
        <v>57</v>
      </c>
      <c r="D491" s="682"/>
      <c r="E491" s="683"/>
      <c r="F491" s="684"/>
      <c r="G491" s="685"/>
      <c r="H491" s="685"/>
      <c r="I491" s="685"/>
      <c r="J491" s="145"/>
      <c r="K491" s="17" t="str">
        <f t="shared" si="9"/>
        <v/>
      </c>
    </row>
    <row r="492" spans="3:11" hidden="1" outlineLevel="2" x14ac:dyDescent="0.3">
      <c r="C492" s="231">
        <v>58</v>
      </c>
      <c r="D492" s="682"/>
      <c r="E492" s="683"/>
      <c r="F492" s="684"/>
      <c r="G492" s="685"/>
      <c r="H492" s="685"/>
      <c r="I492" s="685"/>
      <c r="J492" s="145"/>
      <c r="K492" s="17" t="str">
        <f t="shared" si="9"/>
        <v/>
      </c>
    </row>
    <row r="493" spans="3:11" hidden="1" outlineLevel="2" x14ac:dyDescent="0.3">
      <c r="C493" s="231">
        <v>59</v>
      </c>
      <c r="D493" s="682"/>
      <c r="E493" s="683"/>
      <c r="F493" s="684"/>
      <c r="G493" s="685"/>
      <c r="H493" s="685"/>
      <c r="I493" s="685"/>
      <c r="J493" s="145"/>
      <c r="K493" s="17" t="str">
        <f t="shared" si="9"/>
        <v/>
      </c>
    </row>
    <row r="494" spans="3:11" hidden="1" outlineLevel="2" x14ac:dyDescent="0.3">
      <c r="C494" s="231">
        <v>60</v>
      </c>
      <c r="D494" s="682"/>
      <c r="E494" s="683"/>
      <c r="F494" s="684"/>
      <c r="G494" s="685"/>
      <c r="H494" s="685"/>
      <c r="I494" s="685"/>
      <c r="J494" s="145"/>
      <c r="K494" s="17" t="str">
        <f t="shared" si="9"/>
        <v/>
      </c>
    </row>
    <row r="495" spans="3:11" hidden="1" outlineLevel="2" x14ac:dyDescent="0.3">
      <c r="C495" s="231">
        <v>61</v>
      </c>
      <c r="D495" s="682"/>
      <c r="E495" s="683"/>
      <c r="F495" s="684"/>
      <c r="G495" s="685"/>
      <c r="H495" s="685"/>
      <c r="I495" s="685"/>
      <c r="J495" s="145"/>
      <c r="K495" s="17" t="str">
        <f t="shared" si="9"/>
        <v/>
      </c>
    </row>
    <row r="496" spans="3:11" hidden="1" outlineLevel="2" x14ac:dyDescent="0.3">
      <c r="C496" s="231">
        <v>62</v>
      </c>
      <c r="D496" s="682"/>
      <c r="E496" s="683"/>
      <c r="F496" s="684"/>
      <c r="G496" s="685"/>
      <c r="H496" s="685"/>
      <c r="I496" s="685"/>
      <c r="J496" s="145"/>
      <c r="K496" s="17" t="str">
        <f t="shared" si="9"/>
        <v/>
      </c>
    </row>
    <row r="497" spans="3:11" hidden="1" outlineLevel="2" x14ac:dyDescent="0.3">
      <c r="C497" s="231">
        <v>63</v>
      </c>
      <c r="D497" s="682"/>
      <c r="E497" s="683"/>
      <c r="F497" s="684"/>
      <c r="G497" s="685"/>
      <c r="H497" s="685"/>
      <c r="I497" s="685"/>
      <c r="J497" s="145"/>
      <c r="K497" s="17" t="str">
        <f t="shared" si="9"/>
        <v/>
      </c>
    </row>
    <row r="498" spans="3:11" hidden="1" outlineLevel="2" x14ac:dyDescent="0.3">
      <c r="C498" s="231">
        <v>64</v>
      </c>
      <c r="D498" s="682"/>
      <c r="E498" s="683"/>
      <c r="F498" s="684"/>
      <c r="G498" s="685"/>
      <c r="H498" s="685"/>
      <c r="I498" s="685"/>
      <c r="J498" s="145"/>
      <c r="K498" s="17" t="str">
        <f t="shared" si="9"/>
        <v/>
      </c>
    </row>
    <row r="499" spans="3:11" hidden="1" outlineLevel="2" x14ac:dyDescent="0.3">
      <c r="C499" s="231">
        <v>65</v>
      </c>
      <c r="D499" s="682"/>
      <c r="E499" s="683"/>
      <c r="F499" s="684"/>
      <c r="G499" s="685"/>
      <c r="H499" s="685"/>
      <c r="I499" s="685"/>
      <c r="J499" s="145"/>
      <c r="K499" s="17" t="str">
        <f t="shared" si="9"/>
        <v/>
      </c>
    </row>
    <row r="500" spans="3:11" hidden="1" outlineLevel="2" x14ac:dyDescent="0.3">
      <c r="C500" s="231">
        <v>66</v>
      </c>
      <c r="D500" s="682"/>
      <c r="E500" s="683"/>
      <c r="F500" s="684"/>
      <c r="G500" s="685"/>
      <c r="H500" s="685"/>
      <c r="I500" s="685"/>
      <c r="J500" s="145"/>
      <c r="K500" s="17" t="str">
        <f t="shared" si="9"/>
        <v/>
      </c>
    </row>
    <row r="501" spans="3:11" hidden="1" outlineLevel="2" x14ac:dyDescent="0.3">
      <c r="C501" s="231">
        <v>67</v>
      </c>
      <c r="D501" s="682"/>
      <c r="E501" s="683"/>
      <c r="F501" s="684"/>
      <c r="G501" s="685"/>
      <c r="H501" s="685"/>
      <c r="I501" s="685"/>
      <c r="J501" s="145"/>
      <c r="K501" s="17" t="str">
        <f t="shared" si="9"/>
        <v/>
      </c>
    </row>
    <row r="502" spans="3:11" hidden="1" outlineLevel="2" x14ac:dyDescent="0.3">
      <c r="C502" s="231">
        <v>68</v>
      </c>
      <c r="D502" s="682"/>
      <c r="E502" s="683"/>
      <c r="F502" s="684"/>
      <c r="G502" s="685"/>
      <c r="H502" s="685"/>
      <c r="I502" s="685"/>
      <c r="J502" s="145"/>
      <c r="K502" s="17" t="str">
        <f t="shared" si="9"/>
        <v/>
      </c>
    </row>
    <row r="503" spans="3:11" hidden="1" outlineLevel="2" x14ac:dyDescent="0.3">
      <c r="C503" s="231">
        <v>69</v>
      </c>
      <c r="D503" s="682"/>
      <c r="E503" s="683"/>
      <c r="F503" s="684"/>
      <c r="G503" s="685"/>
      <c r="H503" s="685"/>
      <c r="I503" s="685"/>
      <c r="J503" s="145"/>
      <c r="K503" s="17" t="str">
        <f t="shared" si="9"/>
        <v/>
      </c>
    </row>
    <row r="504" spans="3:11" hidden="1" outlineLevel="2" x14ac:dyDescent="0.3">
      <c r="C504" s="231">
        <v>70</v>
      </c>
      <c r="D504" s="682"/>
      <c r="E504" s="683"/>
      <c r="F504" s="684"/>
      <c r="G504" s="685"/>
      <c r="H504" s="685"/>
      <c r="I504" s="685"/>
      <c r="J504" s="145"/>
      <c r="K504" s="17" t="str">
        <f t="shared" si="9"/>
        <v/>
      </c>
    </row>
    <row r="505" spans="3:11" hidden="1" outlineLevel="2" x14ac:dyDescent="0.3">
      <c r="C505" s="231">
        <v>71</v>
      </c>
      <c r="D505" s="682"/>
      <c r="E505" s="683"/>
      <c r="F505" s="684"/>
      <c r="G505" s="685"/>
      <c r="H505" s="685"/>
      <c r="I505" s="685"/>
      <c r="J505" s="145"/>
      <c r="K505" s="17" t="str">
        <f t="shared" si="9"/>
        <v/>
      </c>
    </row>
    <row r="506" spans="3:11" hidden="1" outlineLevel="2" x14ac:dyDescent="0.3">
      <c r="C506" s="231">
        <v>72</v>
      </c>
      <c r="D506" s="682"/>
      <c r="E506" s="683"/>
      <c r="F506" s="684"/>
      <c r="G506" s="685"/>
      <c r="H506" s="685"/>
      <c r="I506" s="685"/>
      <c r="J506" s="145"/>
      <c r="K506" s="17" t="str">
        <f t="shared" si="9"/>
        <v/>
      </c>
    </row>
    <row r="507" spans="3:11" hidden="1" outlineLevel="2" x14ac:dyDescent="0.3">
      <c r="C507" s="231">
        <v>73</v>
      </c>
      <c r="D507" s="682"/>
      <c r="E507" s="683"/>
      <c r="F507" s="684"/>
      <c r="G507" s="685"/>
      <c r="H507" s="685"/>
      <c r="I507" s="685"/>
      <c r="J507" s="145"/>
      <c r="K507" s="17" t="str">
        <f t="shared" si="9"/>
        <v/>
      </c>
    </row>
    <row r="508" spans="3:11" hidden="1" outlineLevel="2" x14ac:dyDescent="0.3">
      <c r="C508" s="231">
        <v>74</v>
      </c>
      <c r="D508" s="682"/>
      <c r="E508" s="683"/>
      <c r="F508" s="684"/>
      <c r="G508" s="685"/>
      <c r="H508" s="685"/>
      <c r="I508" s="685"/>
      <c r="J508" s="145"/>
      <c r="K508" s="17" t="str">
        <f t="shared" si="9"/>
        <v/>
      </c>
    </row>
    <row r="509" spans="3:11" hidden="1" outlineLevel="2" x14ac:dyDescent="0.3">
      <c r="C509" s="231">
        <v>75</v>
      </c>
      <c r="D509" s="682"/>
      <c r="E509" s="683"/>
      <c r="F509" s="684"/>
      <c r="G509" s="685"/>
      <c r="H509" s="685"/>
      <c r="I509" s="685"/>
      <c r="J509" s="145"/>
      <c r="K509" s="17" t="str">
        <f t="shared" si="9"/>
        <v/>
      </c>
    </row>
    <row r="510" spans="3:11" hidden="1" outlineLevel="2" x14ac:dyDescent="0.3">
      <c r="C510" s="231">
        <v>76</v>
      </c>
      <c r="D510" s="682"/>
      <c r="E510" s="683"/>
      <c r="F510" s="684"/>
      <c r="G510" s="685"/>
      <c r="H510" s="685"/>
      <c r="I510" s="685"/>
      <c r="J510" s="145"/>
      <c r="K510" s="17" t="str">
        <f t="shared" si="9"/>
        <v/>
      </c>
    </row>
    <row r="511" spans="3:11" hidden="1" outlineLevel="2" x14ac:dyDescent="0.3">
      <c r="C511" s="231">
        <v>77</v>
      </c>
      <c r="D511" s="682"/>
      <c r="E511" s="683"/>
      <c r="F511" s="684"/>
      <c r="G511" s="685"/>
      <c r="H511" s="685"/>
      <c r="I511" s="685"/>
      <c r="J511" s="145"/>
      <c r="K511" s="17" t="str">
        <f t="shared" si="9"/>
        <v/>
      </c>
    </row>
    <row r="512" spans="3:11" hidden="1" outlineLevel="2" x14ac:dyDescent="0.3">
      <c r="C512" s="231">
        <v>78</v>
      </c>
      <c r="D512" s="682"/>
      <c r="E512" s="683"/>
      <c r="F512" s="684"/>
      <c r="G512" s="685"/>
      <c r="H512" s="685"/>
      <c r="I512" s="685"/>
      <c r="J512" s="145"/>
      <c r="K512" s="17" t="str">
        <f t="shared" si="9"/>
        <v/>
      </c>
    </row>
    <row r="513" spans="3:11" hidden="1" outlineLevel="2" x14ac:dyDescent="0.3">
      <c r="C513" s="231">
        <v>79</v>
      </c>
      <c r="D513" s="682"/>
      <c r="E513" s="683"/>
      <c r="F513" s="684"/>
      <c r="G513" s="685"/>
      <c r="H513" s="685"/>
      <c r="I513" s="685"/>
      <c r="J513" s="145"/>
      <c r="K513" s="17" t="str">
        <f t="shared" si="9"/>
        <v/>
      </c>
    </row>
    <row r="514" spans="3:11" hidden="1" outlineLevel="2" x14ac:dyDescent="0.3">
      <c r="C514" s="231">
        <v>80</v>
      </c>
      <c r="D514" s="682"/>
      <c r="E514" s="683"/>
      <c r="F514" s="684"/>
      <c r="G514" s="685"/>
      <c r="H514" s="685"/>
      <c r="I514" s="685"/>
      <c r="J514" s="145"/>
      <c r="K514" s="17" t="str">
        <f t="shared" si="9"/>
        <v/>
      </c>
    </row>
    <row r="515" spans="3:11" hidden="1" outlineLevel="2" x14ac:dyDescent="0.3">
      <c r="C515" s="231">
        <v>81</v>
      </c>
      <c r="D515" s="682"/>
      <c r="E515" s="683"/>
      <c r="F515" s="684"/>
      <c r="G515" s="685"/>
      <c r="H515" s="685"/>
      <c r="I515" s="685"/>
      <c r="J515" s="145"/>
      <c r="K515" s="17" t="str">
        <f t="shared" si="9"/>
        <v/>
      </c>
    </row>
    <row r="516" spans="3:11" hidden="1" outlineLevel="2" x14ac:dyDescent="0.3">
      <c r="C516" s="231">
        <v>82</v>
      </c>
      <c r="D516" s="682"/>
      <c r="E516" s="683"/>
      <c r="F516" s="684"/>
      <c r="G516" s="685"/>
      <c r="H516" s="685"/>
      <c r="I516" s="685"/>
      <c r="J516" s="145"/>
      <c r="K516" s="17" t="str">
        <f t="shared" si="9"/>
        <v/>
      </c>
    </row>
    <row r="517" spans="3:11" hidden="1" outlineLevel="2" x14ac:dyDescent="0.3">
      <c r="C517" s="231">
        <v>83</v>
      </c>
      <c r="D517" s="682"/>
      <c r="E517" s="683"/>
      <c r="F517" s="684"/>
      <c r="G517" s="685"/>
      <c r="H517" s="685"/>
      <c r="I517" s="685"/>
      <c r="J517" s="145"/>
      <c r="K517" s="17" t="str">
        <f t="shared" si="9"/>
        <v/>
      </c>
    </row>
    <row r="518" spans="3:11" hidden="1" outlineLevel="2" x14ac:dyDescent="0.3">
      <c r="C518" s="231">
        <v>84</v>
      </c>
      <c r="D518" s="682"/>
      <c r="E518" s="683"/>
      <c r="F518" s="684"/>
      <c r="G518" s="685"/>
      <c r="H518" s="685"/>
      <c r="I518" s="685"/>
      <c r="J518" s="145"/>
      <c r="K518" s="17" t="str">
        <f t="shared" si="9"/>
        <v/>
      </c>
    </row>
    <row r="519" spans="3:11" hidden="1" outlineLevel="2" x14ac:dyDescent="0.3">
      <c r="C519" s="231">
        <v>85</v>
      </c>
      <c r="D519" s="682"/>
      <c r="E519" s="683"/>
      <c r="F519" s="684"/>
      <c r="G519" s="685"/>
      <c r="H519" s="685"/>
      <c r="I519" s="685"/>
      <c r="J519" s="145"/>
      <c r="K519" s="17" t="str">
        <f t="shared" si="9"/>
        <v/>
      </c>
    </row>
    <row r="520" spans="3:11" hidden="1" outlineLevel="2" x14ac:dyDescent="0.3">
      <c r="C520" s="231">
        <v>86</v>
      </c>
      <c r="D520" s="682"/>
      <c r="E520" s="683"/>
      <c r="F520" s="684"/>
      <c r="G520" s="685"/>
      <c r="H520" s="685"/>
      <c r="I520" s="685"/>
      <c r="J520" s="145"/>
      <c r="K520" s="17" t="str">
        <f t="shared" si="9"/>
        <v/>
      </c>
    </row>
    <row r="521" spans="3:11" hidden="1" outlineLevel="2" x14ac:dyDescent="0.3">
      <c r="C521" s="231">
        <v>87</v>
      </c>
      <c r="D521" s="682"/>
      <c r="E521" s="683"/>
      <c r="F521" s="684"/>
      <c r="G521" s="685"/>
      <c r="H521" s="685"/>
      <c r="I521" s="685"/>
      <c r="J521" s="145"/>
      <c r="K521" s="17" t="str">
        <f t="shared" si="9"/>
        <v/>
      </c>
    </row>
    <row r="522" spans="3:11" hidden="1" outlineLevel="2" x14ac:dyDescent="0.3">
      <c r="C522" s="231">
        <v>88</v>
      </c>
      <c r="D522" s="682"/>
      <c r="E522" s="683"/>
      <c r="F522" s="684"/>
      <c r="G522" s="685"/>
      <c r="H522" s="685"/>
      <c r="I522" s="685"/>
      <c r="J522" s="145"/>
      <c r="K522" s="17" t="str">
        <f t="shared" si="9"/>
        <v/>
      </c>
    </row>
    <row r="523" spans="3:11" hidden="1" outlineLevel="2" x14ac:dyDescent="0.3">
      <c r="C523" s="231">
        <v>89</v>
      </c>
      <c r="D523" s="682"/>
      <c r="E523" s="683"/>
      <c r="F523" s="684"/>
      <c r="G523" s="685"/>
      <c r="H523" s="685"/>
      <c r="I523" s="685"/>
      <c r="J523" s="145"/>
      <c r="K523" s="17" t="str">
        <f t="shared" si="9"/>
        <v/>
      </c>
    </row>
    <row r="524" spans="3:11" hidden="1" outlineLevel="2" x14ac:dyDescent="0.3">
      <c r="C524" s="231">
        <v>90</v>
      </c>
      <c r="D524" s="682"/>
      <c r="E524" s="683"/>
      <c r="F524" s="684"/>
      <c r="G524" s="685"/>
      <c r="H524" s="685"/>
      <c r="I524" s="685"/>
      <c r="J524" s="145"/>
      <c r="K524" s="17" t="str">
        <f t="shared" si="9"/>
        <v/>
      </c>
    </row>
    <row r="525" spans="3:11" hidden="1" outlineLevel="2" x14ac:dyDescent="0.3">
      <c r="C525" s="231">
        <v>91</v>
      </c>
      <c r="D525" s="682"/>
      <c r="E525" s="683"/>
      <c r="F525" s="684"/>
      <c r="G525" s="685"/>
      <c r="H525" s="685"/>
      <c r="I525" s="685"/>
      <c r="J525" s="145"/>
      <c r="K525" s="17" t="str">
        <f t="shared" si="9"/>
        <v/>
      </c>
    </row>
    <row r="526" spans="3:11" hidden="1" outlineLevel="2" x14ac:dyDescent="0.3">
      <c r="C526" s="231">
        <v>92</v>
      </c>
      <c r="D526" s="682"/>
      <c r="E526" s="683"/>
      <c r="F526" s="684"/>
      <c r="G526" s="685"/>
      <c r="H526" s="685"/>
      <c r="I526" s="685"/>
      <c r="J526" s="145"/>
      <c r="K526" s="17" t="str">
        <f t="shared" si="9"/>
        <v/>
      </c>
    </row>
    <row r="527" spans="3:11" hidden="1" outlineLevel="2" x14ac:dyDescent="0.3">
      <c r="C527" s="231">
        <v>93</v>
      </c>
      <c r="D527" s="682"/>
      <c r="E527" s="683"/>
      <c r="F527" s="684"/>
      <c r="G527" s="685"/>
      <c r="H527" s="685"/>
      <c r="I527" s="685"/>
      <c r="J527" s="145"/>
      <c r="K527" s="17" t="str">
        <f t="shared" si="9"/>
        <v/>
      </c>
    </row>
    <row r="528" spans="3:11" hidden="1" outlineLevel="2" x14ac:dyDescent="0.3">
      <c r="C528" s="231">
        <v>94</v>
      </c>
      <c r="D528" s="682"/>
      <c r="E528" s="683"/>
      <c r="F528" s="684"/>
      <c r="G528" s="685"/>
      <c r="H528" s="685"/>
      <c r="I528" s="685"/>
      <c r="J528" s="145"/>
      <c r="K528" s="17" t="str">
        <f t="shared" si="9"/>
        <v/>
      </c>
    </row>
    <row r="529" spans="1:12" hidden="1" outlineLevel="2" x14ac:dyDescent="0.3">
      <c r="C529" s="231">
        <v>95</v>
      </c>
      <c r="D529" s="682"/>
      <c r="E529" s="683"/>
      <c r="F529" s="684"/>
      <c r="G529" s="685"/>
      <c r="H529" s="685"/>
      <c r="I529" s="685"/>
      <c r="J529" s="145"/>
      <c r="K529" s="17" t="str">
        <f t="shared" si="9"/>
        <v/>
      </c>
    </row>
    <row r="530" spans="1:12" hidden="1" outlineLevel="2" x14ac:dyDescent="0.3">
      <c r="C530" s="231">
        <v>96</v>
      </c>
      <c r="D530" s="682"/>
      <c r="E530" s="683"/>
      <c r="F530" s="684"/>
      <c r="G530" s="685"/>
      <c r="H530" s="685"/>
      <c r="I530" s="685"/>
      <c r="J530" s="145"/>
      <c r="K530" s="17" t="str">
        <f t="shared" si="9"/>
        <v/>
      </c>
    </row>
    <row r="531" spans="1:12" hidden="1" outlineLevel="2" x14ac:dyDescent="0.3">
      <c r="C531" s="231">
        <v>97</v>
      </c>
      <c r="D531" s="682"/>
      <c r="E531" s="683"/>
      <c r="F531" s="684"/>
      <c r="G531" s="685"/>
      <c r="H531" s="685"/>
      <c r="I531" s="685"/>
      <c r="J531" s="145"/>
      <c r="K531" s="17" t="str">
        <f t="shared" si="9"/>
        <v/>
      </c>
    </row>
    <row r="532" spans="1:12" hidden="1" outlineLevel="2" x14ac:dyDescent="0.3">
      <c r="C532" s="231">
        <v>98</v>
      </c>
      <c r="D532" s="682"/>
      <c r="E532" s="683"/>
      <c r="F532" s="684"/>
      <c r="G532" s="685"/>
      <c r="H532" s="685"/>
      <c r="I532" s="685"/>
      <c r="J532" s="145"/>
      <c r="K532" s="17" t="str">
        <f t="shared" si="9"/>
        <v/>
      </c>
    </row>
    <row r="533" spans="1:12" hidden="1" outlineLevel="2" x14ac:dyDescent="0.3">
      <c r="C533" s="231">
        <v>99</v>
      </c>
      <c r="D533" s="682"/>
      <c r="E533" s="683"/>
      <c r="F533" s="684"/>
      <c r="G533" s="812"/>
      <c r="H533" s="813"/>
      <c r="I533" s="854"/>
      <c r="J533" s="145"/>
      <c r="K533" s="17" t="str">
        <f t="shared" si="9"/>
        <v/>
      </c>
    </row>
    <row r="534" spans="1:12" hidden="1" outlineLevel="2" x14ac:dyDescent="0.3">
      <c r="C534" s="231">
        <v>100</v>
      </c>
      <c r="D534" s="682"/>
      <c r="E534" s="683"/>
      <c r="F534" s="684"/>
      <c r="G534" s="812"/>
      <c r="H534" s="813"/>
      <c r="I534" s="854"/>
      <c r="J534" s="145"/>
      <c r="K534" s="17" t="str">
        <f t="shared" si="9"/>
        <v/>
      </c>
    </row>
    <row r="535" spans="1:12" collapsed="1" x14ac:dyDescent="0.3">
      <c r="C535" s="857" t="str">
        <f>template_label_total_annual_mass_flow_of_relevant_materials_used_mass</f>
        <v>Total annual mass-flow of relevant materials used (mass in kg)</v>
      </c>
      <c r="D535" s="858"/>
      <c r="E535" s="858"/>
      <c r="F535" s="858"/>
      <c r="G535" s="701" t="str">
        <f>IF(AND(G435="",G436="",J435="",J436="",G437="",J437=""),"-",(SUMIF($J$435:$J$444,"kilograms (kg)",$G$435:$G$444))+((SUMIF($J$435:$J$444,"metric tonnes (t)",$G$435:$G$444))*1000))</f>
        <v>-</v>
      </c>
      <c r="H535" s="701"/>
      <c r="I535" s="701"/>
      <c r="J535" s="143" t="str">
        <f>template_label_kilograms</f>
        <v>kilograms (kg)</v>
      </c>
    </row>
    <row r="536" spans="1:12" ht="15" thickBot="1" x14ac:dyDescent="0.35">
      <c r="C536" s="855" t="str">
        <f>template_label_total_annual_mass_flow_of_relevant_materials_used_volume</f>
        <v>Total annual mass-flow of relevant materials used (volume in m³)</v>
      </c>
      <c r="D536" s="856"/>
      <c r="E536" s="856"/>
      <c r="F536" s="856"/>
      <c r="G536" s="724" t="str">
        <f>IF(AND(G435="",G436="",J435="",J436="",G437="",J437=""),"-",SUMIF(J435:J444, "cubic meters (m3)", G435:G444))</f>
        <v>-</v>
      </c>
      <c r="H536" s="724"/>
      <c r="I536" s="724"/>
      <c r="J536" s="141" t="str">
        <f>template_label_cubic_meters</f>
        <v>cubic meters (m³)</v>
      </c>
      <c r="K536" s="17"/>
    </row>
    <row r="537" spans="1:12" ht="15" thickBot="1" x14ac:dyDescent="0.35">
      <c r="D537" s="12"/>
      <c r="E537" s="12"/>
      <c r="F537" s="12"/>
      <c r="G537" s="12"/>
      <c r="H537" s="12"/>
      <c r="I537" s="12"/>
      <c r="J537" s="12"/>
    </row>
    <row r="538" spans="1:12" x14ac:dyDescent="0.3">
      <c r="C538" s="845" t="str">
        <f>template_label_c4_climate_risks&amp;" "&amp;template_label_from&amp;" "&amp;template_starting_date_display&amp;" "&amp;template_label_to&amp;" "&amp;template_ending_date_display&amp;" "&amp;template_label_if_applicable</f>
        <v>C4 – Climate risks from - to - [If applicable]</v>
      </c>
      <c r="D538" s="846"/>
      <c r="E538" s="846"/>
      <c r="F538" s="846"/>
      <c r="G538" s="846"/>
      <c r="H538" s="846"/>
      <c r="I538" s="846"/>
      <c r="J538" s="846"/>
      <c r="K538" s="847"/>
    </row>
    <row r="539" spans="1:12" ht="39.6" customHeight="1" x14ac:dyDescent="0.3">
      <c r="C539" s="568" t="str">
        <f>template_label_has_the_undertaking_identified_climate_related_hazards_and_climate_related_transition_events</f>
        <v>Has the undertaking identified climate-related hazards and climate-related transition events creating gross climate-related risks for the undertaking?</v>
      </c>
      <c r="D539" s="811"/>
      <c r="E539" s="851" t="b">
        <v>0</v>
      </c>
      <c r="F539" s="852"/>
      <c r="G539" s="852"/>
      <c r="H539" s="852"/>
      <c r="I539" s="852"/>
      <c r="J539" s="852"/>
      <c r="K539" s="853"/>
    </row>
    <row r="540" spans="1:12" x14ac:dyDescent="0.3">
      <c r="A540" s="460" t="s">
        <v>3750</v>
      </c>
      <c r="B540" s="460" t="s">
        <v>5656</v>
      </c>
      <c r="C540" s="549" t="str">
        <f>template_label_description_of_climate_related_hazards_and_climate_related_transition_events</f>
        <v>Description of climate-related hazards and climate-related transition events</v>
      </c>
      <c r="D540" s="549"/>
      <c r="E540" s="543"/>
      <c r="F540" s="544"/>
      <c r="G540" s="544"/>
      <c r="H540" s="544"/>
      <c r="I540" s="544"/>
      <c r="J540" s="544"/>
      <c r="K540" s="545"/>
      <c r="L540" s="16" t="str">
        <f>IF(AND($E$539=TRUE,E540&lt;&gt;""),
    template_label_ok,
    IF(AND($E$539=TRUE,G540=""),
        template_label_missing_value,
        ""
    )
)</f>
        <v/>
      </c>
    </row>
    <row r="541" spans="1:12" x14ac:dyDescent="0.3">
      <c r="A541" s="460" t="s">
        <v>3751</v>
      </c>
      <c r="B541" s="460" t="s">
        <v>5656</v>
      </c>
      <c r="C541" s="549" t="str">
        <f>template_label_disclosure_of_how_it_has_assessed_the_exposure_and_sensitivity_of_its_assets</f>
        <v>Disclosure of how it has assessed the exposure and sensitivity of its assets activities and value chain to these hazards and transition events</v>
      </c>
      <c r="D541" s="549"/>
      <c r="E541" s="543"/>
      <c r="F541" s="544"/>
      <c r="G541" s="544"/>
      <c r="H541" s="544"/>
      <c r="I541" s="544"/>
      <c r="J541" s="544"/>
      <c r="K541" s="545"/>
      <c r="L541" s="16" t="str">
        <f>IF(AND($E$539=TRUE,E541&lt;&gt;""),
    template_label_ok,
    IF(AND($E$539=TRUE,G541=""),
        template_label_missing_value,
        ""
    )
)</f>
        <v/>
      </c>
    </row>
    <row r="542" spans="1:12" x14ac:dyDescent="0.3">
      <c r="A542" s="460" t="s">
        <v>3752</v>
      </c>
      <c r="B542" s="460" t="s">
        <v>5656</v>
      </c>
      <c r="C542" s="549" t="str">
        <f>template_label_time_horizons_of_any_climate_related_hazards_and_transition_events_identified</f>
        <v>Time horizons of any climate-related hazards and transition events identified</v>
      </c>
      <c r="D542" s="549"/>
      <c r="E542" s="543"/>
      <c r="F542" s="544"/>
      <c r="G542" s="544"/>
      <c r="H542" s="544"/>
      <c r="I542" s="544"/>
      <c r="J542" s="544"/>
      <c r="K542" s="545"/>
      <c r="L542" s="16" t="str">
        <f>IF(AND($E$539=TRUE,E542&lt;&gt;""),
    template_label_ok,
    IF(AND($E$539=TRUE,G542=""),
        template_label_missing_value,
        ""
    )
)</f>
        <v/>
      </c>
    </row>
    <row r="543" spans="1:12" ht="27" customHeight="1" x14ac:dyDescent="0.3">
      <c r="A543" s="460" t="s">
        <v>3753</v>
      </c>
      <c r="B543" s="460" t="s">
        <v>5656</v>
      </c>
      <c r="C543" s="549" t="str">
        <f>template_label_disclosure_of_whether_it_has_undertaken_climate_change_adaptation_actions</f>
        <v>Disclosure of whether it has undertaken climate change adaptation actions for any climate-related hazards and transition events</v>
      </c>
      <c r="D543" s="549"/>
      <c r="E543" s="848"/>
      <c r="F543" s="849"/>
      <c r="G543" s="849"/>
      <c r="H543" s="849"/>
      <c r="I543" s="849"/>
      <c r="J543" s="849"/>
      <c r="K543" s="850"/>
      <c r="L543" s="16" t="str">
        <f>IF(AND($E$539=TRUE,E543&lt;&gt;""),
    template_label_ok,
    IF(AND($E$539=TRUE,G543=""),
        template_label_missing_value,
        ""
    )
)</f>
        <v/>
      </c>
    </row>
    <row r="544" spans="1:12" ht="29.4" customHeight="1" thickBot="1" x14ac:dyDescent="0.35">
      <c r="A544" s="460">
        <v>58</v>
      </c>
      <c r="B544" s="460" t="s">
        <v>5656</v>
      </c>
      <c r="C544" s="541"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541"/>
      <c r="E544" s="546"/>
      <c r="F544" s="547"/>
      <c r="G544" s="547"/>
      <c r="H544" s="547"/>
      <c r="I544" s="547"/>
      <c r="J544" s="547"/>
      <c r="K544" s="548"/>
      <c r="L544" s="16" t="str">
        <f>IF(AND($E$539=TRUE,E544&lt;&gt;""),
    template_label_ok,
    ""
)</f>
        <v/>
      </c>
    </row>
    <row r="545" spans="3:13" ht="15" thickBot="1" x14ac:dyDescent="0.35"/>
    <row r="546" spans="3:13" x14ac:dyDescent="0.3">
      <c r="C546" s="656"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 to - [May (optional)]</v>
      </c>
      <c r="D546" s="657"/>
      <c r="E546" s="657"/>
      <c r="F546" s="657"/>
      <c r="G546" s="657"/>
      <c r="H546" s="657"/>
      <c r="I546" s="657"/>
      <c r="J546" s="657"/>
      <c r="K546" s="657"/>
      <c r="L546" s="658"/>
    </row>
    <row r="547" spans="3:13" x14ac:dyDescent="0.3">
      <c r="C547" s="576">
        <v>10</v>
      </c>
      <c r="D547" s="577"/>
      <c r="E547" s="577"/>
      <c r="F547" s="577"/>
      <c r="G547" s="577"/>
      <c r="H547" s="577"/>
      <c r="I547" s="577"/>
      <c r="J547" s="577"/>
      <c r="K547" s="577"/>
      <c r="L547" s="578"/>
      <c r="M547" s="8"/>
    </row>
    <row r="548" spans="3:13" ht="15" thickBot="1" x14ac:dyDescent="0.35">
      <c r="C548" s="650"/>
      <c r="D548" s="651"/>
      <c r="E548" s="651"/>
      <c r="F548" s="651"/>
      <c r="G548" s="651"/>
      <c r="H548" s="651"/>
      <c r="I548" s="651"/>
      <c r="J548" s="651"/>
      <c r="K548" s="651"/>
      <c r="L548" s="651"/>
      <c r="M548" s="104" t="str">
        <f>IF(C548&lt;&gt;"", template_label_ok, "")</f>
        <v/>
      </c>
    </row>
  </sheetData>
  <sheetProtection algorithmName="SHA-512" hashValue="QnVVNcTN6avidJDD+BDB+XQgv5lS87hYoc8Jez8HVfOUQ/0pqsnEHx1mMdX9P70Um4W3L+/wBIf4164STf2YLA==" saltValue="QUPIZrjlTOAa9aj+FiI8ng==" spinCount="100000" sheet="1" formatColumns="0" formatRows="0" insertRows="0"/>
  <mergeCells count="941">
    <mergeCell ref="G283:I283"/>
    <mergeCell ref="G284:I284"/>
    <mergeCell ref="G285:I285"/>
    <mergeCell ref="G273:I273"/>
    <mergeCell ref="G274:I274"/>
    <mergeCell ref="G275:I275"/>
    <mergeCell ref="G276:I276"/>
    <mergeCell ref="G277:I277"/>
    <mergeCell ref="G278:I278"/>
    <mergeCell ref="G279:I279"/>
    <mergeCell ref="G280:I280"/>
    <mergeCell ref="G281:I281"/>
    <mergeCell ref="G265:I265"/>
    <mergeCell ref="G266:I266"/>
    <mergeCell ref="G267:I267"/>
    <mergeCell ref="G268:I268"/>
    <mergeCell ref="G269:I269"/>
    <mergeCell ref="G270:I270"/>
    <mergeCell ref="G271:I271"/>
    <mergeCell ref="G272:I272"/>
    <mergeCell ref="G282:I282"/>
    <mergeCell ref="G256:I256"/>
    <mergeCell ref="G257:I257"/>
    <mergeCell ref="G258:I258"/>
    <mergeCell ref="G259:I259"/>
    <mergeCell ref="G260:I260"/>
    <mergeCell ref="G261:I261"/>
    <mergeCell ref="G262:I262"/>
    <mergeCell ref="G263:I263"/>
    <mergeCell ref="G264:I264"/>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28:I228"/>
    <mergeCell ref="G229:I229"/>
    <mergeCell ref="G230:I230"/>
    <mergeCell ref="G519:I519"/>
    <mergeCell ref="G520:I520"/>
    <mergeCell ref="G521:I521"/>
    <mergeCell ref="G522:I522"/>
    <mergeCell ref="G523:I523"/>
    <mergeCell ref="G524:I524"/>
    <mergeCell ref="G525:I525"/>
    <mergeCell ref="G526:I526"/>
    <mergeCell ref="G527:I527"/>
    <mergeCell ref="G510:I510"/>
    <mergeCell ref="G511:I511"/>
    <mergeCell ref="G512:I512"/>
    <mergeCell ref="G513:I513"/>
    <mergeCell ref="G514:I514"/>
    <mergeCell ref="G515:I515"/>
    <mergeCell ref="G516:I516"/>
    <mergeCell ref="G517:I517"/>
    <mergeCell ref="G518:I518"/>
    <mergeCell ref="G501:I501"/>
    <mergeCell ref="G502:I502"/>
    <mergeCell ref="G503:I503"/>
    <mergeCell ref="G504:I504"/>
    <mergeCell ref="G505:I505"/>
    <mergeCell ref="G506:I506"/>
    <mergeCell ref="G507:I507"/>
    <mergeCell ref="G508:I508"/>
    <mergeCell ref="G509:I509"/>
    <mergeCell ref="G492:I492"/>
    <mergeCell ref="G493:I493"/>
    <mergeCell ref="G494:I494"/>
    <mergeCell ref="G495:I495"/>
    <mergeCell ref="G496:I496"/>
    <mergeCell ref="G497:I497"/>
    <mergeCell ref="G498:I498"/>
    <mergeCell ref="G499:I499"/>
    <mergeCell ref="G500:I500"/>
    <mergeCell ref="G483:I483"/>
    <mergeCell ref="G484:I484"/>
    <mergeCell ref="G485:I485"/>
    <mergeCell ref="G486:I486"/>
    <mergeCell ref="G487:I487"/>
    <mergeCell ref="G488:I488"/>
    <mergeCell ref="G489:I489"/>
    <mergeCell ref="G490:I490"/>
    <mergeCell ref="G491:I491"/>
    <mergeCell ref="G474:I474"/>
    <mergeCell ref="G475:I475"/>
    <mergeCell ref="G476:I476"/>
    <mergeCell ref="G477:I477"/>
    <mergeCell ref="G478:I478"/>
    <mergeCell ref="G479:I479"/>
    <mergeCell ref="G480:I480"/>
    <mergeCell ref="G481:I481"/>
    <mergeCell ref="G482:I482"/>
    <mergeCell ref="G465:I465"/>
    <mergeCell ref="G466:I466"/>
    <mergeCell ref="G467:I467"/>
    <mergeCell ref="G468:I468"/>
    <mergeCell ref="G469:I469"/>
    <mergeCell ref="G470:I470"/>
    <mergeCell ref="G471:I471"/>
    <mergeCell ref="G472:I472"/>
    <mergeCell ref="G473:I473"/>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D517:F517"/>
    <mergeCell ref="D518:F518"/>
    <mergeCell ref="D519:F519"/>
    <mergeCell ref="D520:F520"/>
    <mergeCell ref="D521:F521"/>
    <mergeCell ref="D522:F522"/>
    <mergeCell ref="D523:F523"/>
    <mergeCell ref="D524:F524"/>
    <mergeCell ref="D525:F525"/>
    <mergeCell ref="D508:F508"/>
    <mergeCell ref="D509:F509"/>
    <mergeCell ref="D510:F510"/>
    <mergeCell ref="D511:F511"/>
    <mergeCell ref="D512:F512"/>
    <mergeCell ref="D513:F513"/>
    <mergeCell ref="D514:F514"/>
    <mergeCell ref="D515:F515"/>
    <mergeCell ref="D516:F516"/>
    <mergeCell ref="D499:F499"/>
    <mergeCell ref="D500:F500"/>
    <mergeCell ref="D501:F501"/>
    <mergeCell ref="D502:F502"/>
    <mergeCell ref="D503:F503"/>
    <mergeCell ref="D504:F504"/>
    <mergeCell ref="D505:F505"/>
    <mergeCell ref="D506:F506"/>
    <mergeCell ref="D507:F507"/>
    <mergeCell ref="D490:F490"/>
    <mergeCell ref="D491:F491"/>
    <mergeCell ref="D492:F492"/>
    <mergeCell ref="D493:F493"/>
    <mergeCell ref="D494:F494"/>
    <mergeCell ref="D495:F495"/>
    <mergeCell ref="D496:F496"/>
    <mergeCell ref="D497:F497"/>
    <mergeCell ref="D498:F498"/>
    <mergeCell ref="D481:F481"/>
    <mergeCell ref="D482:F482"/>
    <mergeCell ref="D483:F483"/>
    <mergeCell ref="D484:F484"/>
    <mergeCell ref="D485:F485"/>
    <mergeCell ref="D486:F486"/>
    <mergeCell ref="D487:F487"/>
    <mergeCell ref="D488:F488"/>
    <mergeCell ref="D489:F489"/>
    <mergeCell ref="D472:F472"/>
    <mergeCell ref="D473:F473"/>
    <mergeCell ref="D474:F474"/>
    <mergeCell ref="D475:F475"/>
    <mergeCell ref="D476:F476"/>
    <mergeCell ref="D477:F477"/>
    <mergeCell ref="D478:F478"/>
    <mergeCell ref="D479:F479"/>
    <mergeCell ref="D480:F480"/>
    <mergeCell ref="D463:F463"/>
    <mergeCell ref="D464:F464"/>
    <mergeCell ref="D465:F465"/>
    <mergeCell ref="D466:F466"/>
    <mergeCell ref="D467:F467"/>
    <mergeCell ref="D468:F468"/>
    <mergeCell ref="D469:F469"/>
    <mergeCell ref="D470:F470"/>
    <mergeCell ref="D471:F471"/>
    <mergeCell ref="D454:F454"/>
    <mergeCell ref="D455:F455"/>
    <mergeCell ref="D456:F456"/>
    <mergeCell ref="D457:F457"/>
    <mergeCell ref="D458:F458"/>
    <mergeCell ref="D459:F459"/>
    <mergeCell ref="D460:F460"/>
    <mergeCell ref="D461:F461"/>
    <mergeCell ref="D462:F462"/>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G410:I410"/>
    <mergeCell ref="G411:I411"/>
    <mergeCell ref="G412:I412"/>
    <mergeCell ref="G413:I413"/>
    <mergeCell ref="G414:I414"/>
    <mergeCell ref="G415:I415"/>
    <mergeCell ref="G416:I416"/>
    <mergeCell ref="G417:I417"/>
    <mergeCell ref="G418:I418"/>
    <mergeCell ref="G401:I401"/>
    <mergeCell ref="G402:I402"/>
    <mergeCell ref="G403:I403"/>
    <mergeCell ref="G404:I404"/>
    <mergeCell ref="G405:I405"/>
    <mergeCell ref="G406:I406"/>
    <mergeCell ref="G407:I407"/>
    <mergeCell ref="G408:I408"/>
    <mergeCell ref="G409:I409"/>
    <mergeCell ref="G392:I392"/>
    <mergeCell ref="G393:I393"/>
    <mergeCell ref="G394:I394"/>
    <mergeCell ref="G395:I395"/>
    <mergeCell ref="G396:I396"/>
    <mergeCell ref="G397:I397"/>
    <mergeCell ref="G398:I398"/>
    <mergeCell ref="G399:I399"/>
    <mergeCell ref="G400:I400"/>
    <mergeCell ref="G383:I383"/>
    <mergeCell ref="G384:I384"/>
    <mergeCell ref="G385:I385"/>
    <mergeCell ref="G386:I386"/>
    <mergeCell ref="G387:I387"/>
    <mergeCell ref="G388:I388"/>
    <mergeCell ref="G389:I389"/>
    <mergeCell ref="G390:I390"/>
    <mergeCell ref="G391:I391"/>
    <mergeCell ref="G374:I374"/>
    <mergeCell ref="G375:I375"/>
    <mergeCell ref="G376:I376"/>
    <mergeCell ref="G377:I377"/>
    <mergeCell ref="G378:I378"/>
    <mergeCell ref="G379:I379"/>
    <mergeCell ref="G380:I380"/>
    <mergeCell ref="G381:I381"/>
    <mergeCell ref="G382:I382"/>
    <mergeCell ref="G365:I365"/>
    <mergeCell ref="G366:I366"/>
    <mergeCell ref="G367:I367"/>
    <mergeCell ref="G368:I368"/>
    <mergeCell ref="G369:I369"/>
    <mergeCell ref="G370:I370"/>
    <mergeCell ref="G371:I371"/>
    <mergeCell ref="G372:I372"/>
    <mergeCell ref="G373:I373"/>
    <mergeCell ref="G356:I356"/>
    <mergeCell ref="G357:I357"/>
    <mergeCell ref="G358:I358"/>
    <mergeCell ref="G359:I359"/>
    <mergeCell ref="G360:I360"/>
    <mergeCell ref="G361:I361"/>
    <mergeCell ref="G362:I362"/>
    <mergeCell ref="G363:I363"/>
    <mergeCell ref="G364:I364"/>
    <mergeCell ref="D417:F417"/>
    <mergeCell ref="D418:F418"/>
    <mergeCell ref="D419:F419"/>
    <mergeCell ref="D420:F420"/>
    <mergeCell ref="D421:F421"/>
    <mergeCell ref="G337:I337"/>
    <mergeCell ref="G338:I338"/>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54:I354"/>
    <mergeCell ref="G355:I35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G173:I173"/>
    <mergeCell ref="G174:I174"/>
    <mergeCell ref="G175:I175"/>
    <mergeCell ref="G176:I176"/>
    <mergeCell ref="G177:I177"/>
    <mergeCell ref="D337:F337"/>
    <mergeCell ref="D338:F338"/>
    <mergeCell ref="D339:F339"/>
    <mergeCell ref="D340:F340"/>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164:I164"/>
    <mergeCell ref="G165:I165"/>
    <mergeCell ref="G166:I166"/>
    <mergeCell ref="G167:I167"/>
    <mergeCell ref="G168:I168"/>
    <mergeCell ref="G169:I169"/>
    <mergeCell ref="G170:I170"/>
    <mergeCell ref="G171:I171"/>
    <mergeCell ref="G172:I172"/>
    <mergeCell ref="G155:I155"/>
    <mergeCell ref="G156:I156"/>
    <mergeCell ref="G157:I157"/>
    <mergeCell ref="G158:I158"/>
    <mergeCell ref="G159:I159"/>
    <mergeCell ref="G160:I160"/>
    <mergeCell ref="G161:I161"/>
    <mergeCell ref="G162:I162"/>
    <mergeCell ref="G163:I163"/>
    <mergeCell ref="G146:I146"/>
    <mergeCell ref="G147:I147"/>
    <mergeCell ref="G148:I148"/>
    <mergeCell ref="G149:I149"/>
    <mergeCell ref="G150:I150"/>
    <mergeCell ref="G151:I151"/>
    <mergeCell ref="G152:I152"/>
    <mergeCell ref="G153:I153"/>
    <mergeCell ref="G154:I154"/>
    <mergeCell ref="G137:I137"/>
    <mergeCell ref="G138:I138"/>
    <mergeCell ref="G139:I139"/>
    <mergeCell ref="G140:I140"/>
    <mergeCell ref="G141:I141"/>
    <mergeCell ref="G142:I142"/>
    <mergeCell ref="G143:I143"/>
    <mergeCell ref="G144:I144"/>
    <mergeCell ref="G145:I145"/>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D164:F164"/>
    <mergeCell ref="D165:F165"/>
    <mergeCell ref="D166:F166"/>
    <mergeCell ref="D167:F167"/>
    <mergeCell ref="D168:F168"/>
    <mergeCell ref="D169:F169"/>
    <mergeCell ref="D170:F170"/>
    <mergeCell ref="D171:F171"/>
    <mergeCell ref="D172:F172"/>
    <mergeCell ref="D155:F155"/>
    <mergeCell ref="D156:F156"/>
    <mergeCell ref="D157:F157"/>
    <mergeCell ref="D158:F158"/>
    <mergeCell ref="D159:F159"/>
    <mergeCell ref="D160:F160"/>
    <mergeCell ref="D161:F161"/>
    <mergeCell ref="D162:F162"/>
    <mergeCell ref="D163:F163"/>
    <mergeCell ref="D146:F146"/>
    <mergeCell ref="D147:F147"/>
    <mergeCell ref="D148:F148"/>
    <mergeCell ref="D149:F149"/>
    <mergeCell ref="D150:F150"/>
    <mergeCell ref="D151:F151"/>
    <mergeCell ref="D152:F152"/>
    <mergeCell ref="D153:F153"/>
    <mergeCell ref="D154:F154"/>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G287:I287"/>
    <mergeCell ref="G97:I97"/>
    <mergeCell ref="G98:I98"/>
    <mergeCell ref="C292:F292"/>
    <mergeCell ref="C293:F293"/>
    <mergeCell ref="G207:I207"/>
    <mergeCell ref="G208:I208"/>
    <mergeCell ref="G209:I209"/>
    <mergeCell ref="D196:F196"/>
    <mergeCell ref="D199:F199"/>
    <mergeCell ref="D200:F200"/>
    <mergeCell ref="D201:F201"/>
    <mergeCell ref="D202:F202"/>
    <mergeCell ref="G197:I197"/>
    <mergeCell ref="G198:I198"/>
    <mergeCell ref="G199:I199"/>
    <mergeCell ref="G200:I200"/>
    <mergeCell ref="G201:I201"/>
    <mergeCell ref="G203:I203"/>
    <mergeCell ref="G204:I204"/>
    <mergeCell ref="G104:I104"/>
    <mergeCell ref="D188:F188"/>
    <mergeCell ref="D189:F189"/>
    <mergeCell ref="D118:F118"/>
    <mergeCell ref="D119:F119"/>
    <mergeCell ref="D106:F106"/>
    <mergeCell ref="D107:F107"/>
    <mergeCell ref="D108:F108"/>
    <mergeCell ref="D109:F109"/>
    <mergeCell ref="D93:F93"/>
    <mergeCell ref="D101:F101"/>
    <mergeCell ref="D98:F98"/>
    <mergeCell ref="D94:F94"/>
    <mergeCell ref="D95:F95"/>
    <mergeCell ref="D113:F113"/>
    <mergeCell ref="D112:F112"/>
    <mergeCell ref="D111:F111"/>
    <mergeCell ref="D100:F100"/>
    <mergeCell ref="G536:I536"/>
    <mergeCell ref="G535:I535"/>
    <mergeCell ref="G434:I434"/>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110:F110"/>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79:F179"/>
    <mergeCell ref="C181:K181"/>
    <mergeCell ref="C183:K183"/>
    <mergeCell ref="G187:I187"/>
    <mergeCell ref="G188:I188"/>
    <mergeCell ref="G189:I189"/>
    <mergeCell ref="G190:I190"/>
    <mergeCell ref="G191:I191"/>
    <mergeCell ref="G178:I178"/>
    <mergeCell ref="C184:F184"/>
    <mergeCell ref="D120:F120"/>
    <mergeCell ref="D121:F121"/>
    <mergeCell ref="D122:F122"/>
    <mergeCell ref="D123:F123"/>
    <mergeCell ref="D124:F124"/>
    <mergeCell ref="D125:F125"/>
    <mergeCell ref="D126:F126"/>
    <mergeCell ref="D127:F127"/>
    <mergeCell ref="D128:F128"/>
    <mergeCell ref="D129:F129"/>
    <mergeCell ref="D130:F130"/>
    <mergeCell ref="D131:F131"/>
    <mergeCell ref="D132:F132"/>
    <mergeCell ref="G86:I86"/>
    <mergeCell ref="D83:F83"/>
    <mergeCell ref="D84:F84"/>
    <mergeCell ref="D85:F85"/>
    <mergeCell ref="D86:F86"/>
    <mergeCell ref="G106:I106"/>
    <mergeCell ref="G107:I107"/>
    <mergeCell ref="G105:I105"/>
    <mergeCell ref="D102:F102"/>
    <mergeCell ref="D103:F103"/>
    <mergeCell ref="D104:F104"/>
    <mergeCell ref="D88:F88"/>
    <mergeCell ref="D89:F89"/>
    <mergeCell ref="D105:F105"/>
    <mergeCell ref="G99:I99"/>
    <mergeCell ref="G90:I90"/>
    <mergeCell ref="G91:I91"/>
    <mergeCell ref="G92:I92"/>
    <mergeCell ref="G93:I93"/>
    <mergeCell ref="G94:I94"/>
    <mergeCell ref="G87:I87"/>
    <mergeCell ref="D87:F87"/>
    <mergeCell ref="C77:K77"/>
    <mergeCell ref="C78:K78"/>
    <mergeCell ref="C75:F75"/>
    <mergeCell ref="G85:I85"/>
    <mergeCell ref="G75:K75"/>
    <mergeCell ref="D79:F79"/>
    <mergeCell ref="G79:I79"/>
    <mergeCell ref="G42:I42"/>
    <mergeCell ref="G43:I43"/>
    <mergeCell ref="G20:I20"/>
    <mergeCell ref="G21:I21"/>
    <mergeCell ref="G22:I22"/>
    <mergeCell ref="G23:I23"/>
    <mergeCell ref="G27:J27"/>
    <mergeCell ref="G24:I24"/>
    <mergeCell ref="G29:K29"/>
    <mergeCell ref="G28:I28"/>
    <mergeCell ref="G40:I40"/>
    <mergeCell ref="G41:I41"/>
    <mergeCell ref="D44:F44"/>
    <mergeCell ref="D24:F24"/>
    <mergeCell ref="D28:F28"/>
    <mergeCell ref="D45:F45"/>
    <mergeCell ref="D25:F25"/>
    <mergeCell ref="D26:F26"/>
    <mergeCell ref="C27:F27"/>
    <mergeCell ref="D43:F43"/>
    <mergeCell ref="D34:F34"/>
    <mergeCell ref="D35:F35"/>
    <mergeCell ref="D40:F40"/>
    <mergeCell ref="D41:F41"/>
    <mergeCell ref="D42:F42"/>
    <mergeCell ref="D46:F46"/>
    <mergeCell ref="D57:K57"/>
    <mergeCell ref="D58:K58"/>
    <mergeCell ref="C52:K52"/>
    <mergeCell ref="C50:K50"/>
    <mergeCell ref="C49:K49"/>
    <mergeCell ref="C71:K71"/>
    <mergeCell ref="G68:K68"/>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J425:L425"/>
    <mergeCell ref="J426:L426"/>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G102:I102"/>
    <mergeCell ref="G103:I103"/>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D139:F139"/>
    <mergeCell ref="D140:F140"/>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332:F332"/>
    <mergeCell ref="D333:F333"/>
    <mergeCell ref="D342:F342"/>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D195:F195"/>
    <mergeCell ref="D197:F197"/>
    <mergeCell ref="G193:I193"/>
    <mergeCell ref="G194:I194"/>
    <mergeCell ref="G195:I195"/>
    <mergeCell ref="G196:I196"/>
    <mergeCell ref="D287:F287"/>
    <mergeCell ref="C290:F290"/>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141:F141"/>
    <mergeCell ref="D142:F142"/>
    <mergeCell ref="D143:F143"/>
    <mergeCell ref="D144:F144"/>
    <mergeCell ref="D145:F145"/>
    <mergeCell ref="D445:F445"/>
    <mergeCell ref="G445:I445"/>
    <mergeCell ref="D446:F446"/>
    <mergeCell ref="C432:J432"/>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s>
  <phoneticPr fontId="3" type="noConversion"/>
  <conditionalFormatting sqref="C52:K52">
    <cfRule type="expression" dxfId="247" priority="161">
      <formula>$J$19=TRUE</formula>
    </cfRule>
  </conditionalFormatting>
  <conditionalFormatting sqref="C78:K78">
    <cfRule type="expression" dxfId="246" priority="146">
      <formula>$G$75=TRUE</formula>
    </cfRule>
    <cfRule type="expression" dxfId="245" priority="168">
      <formula>$G$75=TRUE</formula>
    </cfRule>
    <cfRule type="expression" dxfId="244" priority="158">
      <formula>$G$74=TRUE</formula>
    </cfRule>
  </conditionalFormatting>
  <conditionalFormatting sqref="C186:K186 G189:I286 J189:K287 G287">
    <cfRule type="expression" dxfId="243" priority="156">
      <formula>$G$184=TRUE</formula>
    </cfRule>
  </conditionalFormatting>
  <conditionalFormatting sqref="D58">
    <cfRule type="expression" dxfId="242" priority="182">
      <formula>AND($D$56=TRUE,$D$57="A transition plan has already been adopted")</formula>
    </cfRule>
  </conditionalFormatting>
  <conditionalFormatting sqref="D310">
    <cfRule type="expression" dxfId="241" priority="153">
      <formula>$D$309=TRUE</formula>
    </cfRule>
  </conditionalFormatting>
  <conditionalFormatting sqref="D30:F44">
    <cfRule type="expression" dxfId="240" priority="31">
      <formula>$G$29=TRUE</formula>
    </cfRule>
  </conditionalFormatting>
  <conditionalFormatting sqref="D45:F47">
    <cfRule type="expression" dxfId="239" priority="29">
      <formula>$G$29=FALSE</formula>
    </cfRule>
  </conditionalFormatting>
  <conditionalFormatting sqref="D80:F179">
    <cfRule type="expression" dxfId="238" priority="19">
      <formula>$G$74=TRUE</formula>
    </cfRule>
    <cfRule type="expression" dxfId="237" priority="20">
      <formula>$G$75=TRUE</formula>
    </cfRule>
  </conditionalFormatting>
  <conditionalFormatting sqref="D188:F188">
    <cfRule type="expression" dxfId="236" priority="25">
      <formula>$D$188="VALUE INCONSISTENCY"</formula>
    </cfRule>
  </conditionalFormatting>
  <conditionalFormatting sqref="D189:F287">
    <cfRule type="expression" dxfId="235" priority="80">
      <formula>$D189="VALUE INCONSISTENCY"</formula>
    </cfRule>
  </conditionalFormatting>
  <conditionalFormatting sqref="D317:G317">
    <cfRule type="expression" dxfId="234" priority="190">
      <formula>$D$316="YES"</formula>
    </cfRule>
  </conditionalFormatting>
  <conditionalFormatting sqref="D80:I80 G81:I82 D81:F179">
    <cfRule type="expression" dxfId="233" priority="17">
      <formula>$G$75=TRUE</formula>
    </cfRule>
  </conditionalFormatting>
  <conditionalFormatting sqref="D435:J441 D442:F444 G442:I532 J442:J534 D445:D534 G533:J533 G534">
    <cfRule type="expression" dxfId="232" priority="8">
      <formula>$G$433=TRUE</formula>
    </cfRule>
  </conditionalFormatting>
  <conditionalFormatting sqref="D57:K57">
    <cfRule type="expression" dxfId="231" priority="3">
      <formula>$D$56=FALSE</formula>
    </cfRule>
  </conditionalFormatting>
  <conditionalFormatting sqref="D59:K62">
    <cfRule type="expression" dxfId="230" priority="4">
      <formula>$D$57=""</formula>
    </cfRule>
    <cfRule type="expression" dxfId="229" priority="5">
      <formula>$D$57="A transition plan has already been adopted"</formula>
    </cfRule>
  </conditionalFormatting>
  <conditionalFormatting sqref="E303:E304">
    <cfRule type="expression" dxfId="228" priority="221">
      <formula>$E303=template_label_missing_value</formula>
    </cfRule>
    <cfRule type="expression" dxfId="227" priority="220">
      <formula>$E303=template_label_ok</formula>
    </cfRule>
  </conditionalFormatting>
  <conditionalFormatting sqref="E310">
    <cfRule type="expression" dxfId="226" priority="196">
      <formula>$E$310=template_label_missing_value</formula>
    </cfRule>
    <cfRule type="expression" dxfId="225" priority="197">
      <formula>$E$310=template_label_ok</formula>
    </cfRule>
  </conditionalFormatting>
  <conditionalFormatting sqref="E540:K544">
    <cfRule type="expression" dxfId="224" priority="149">
      <formula>$E$539=TRUE</formula>
    </cfRule>
  </conditionalFormatting>
  <conditionalFormatting sqref="G76">
    <cfRule type="expression" dxfId="223" priority="173">
      <formula>$G$75=TRUE</formula>
    </cfRule>
  </conditionalFormatting>
  <conditionalFormatting sqref="G293:G295">
    <cfRule type="expression" dxfId="222" priority="143">
      <formula>$G293=template_label_missing_value</formula>
    </cfRule>
    <cfRule type="expression" dxfId="221" priority="144">
      <formula>$G293=template_label_ok</formula>
    </cfRule>
    <cfRule type="expression" dxfId="220" priority="23">
      <formula>$G293=template_label_value_inconsistency</formula>
    </cfRule>
  </conditionalFormatting>
  <conditionalFormatting sqref="G80:I82">
    <cfRule type="expression" dxfId="219" priority="16">
      <formula>$G$74=TRUE</formula>
    </cfRule>
  </conditionalFormatting>
  <conditionalFormatting sqref="G12:J13">
    <cfRule type="expression" dxfId="218" priority="165">
      <formula>$G$10=TRUE</formula>
    </cfRule>
  </conditionalFormatting>
  <conditionalFormatting sqref="G14:J14">
    <cfRule type="expression" dxfId="217" priority="34">
      <formula>$G$10=FALSE</formula>
    </cfRule>
  </conditionalFormatting>
  <conditionalFormatting sqref="G21:J24">
    <cfRule type="expression" dxfId="216" priority="164">
      <formula>$J$19=TRUE</formula>
    </cfRule>
  </conditionalFormatting>
  <conditionalFormatting sqref="G30:J44">
    <cfRule type="expression" dxfId="215" priority="30">
      <formula>AND($G$29=TRUE,$J$19=TRUE)</formula>
    </cfRule>
  </conditionalFormatting>
  <conditionalFormatting sqref="G45:J47">
    <cfRule type="expression" dxfId="214" priority="28">
      <formula>OR($J$19=FALSE,$G$29=FALSE)</formula>
    </cfRule>
  </conditionalFormatting>
  <conditionalFormatting sqref="G80:J82">
    <cfRule type="expression" dxfId="213" priority="14">
      <formula>$G$75=TRUE</formula>
    </cfRule>
  </conditionalFormatting>
  <conditionalFormatting sqref="G10:K10">
    <cfRule type="expression" dxfId="212" priority="166">
      <formula>$D$105="YES"</formula>
    </cfRule>
  </conditionalFormatting>
  <conditionalFormatting sqref="G68:K69">
    <cfRule type="expression" dxfId="211" priority="93">
      <formula>$G$29=FALSE</formula>
    </cfRule>
  </conditionalFormatting>
  <conditionalFormatting sqref="G75:K75">
    <cfRule type="expression" dxfId="210" priority="159">
      <formula>$G$74=TRUE</formula>
    </cfRule>
  </conditionalFormatting>
  <conditionalFormatting sqref="G83:K179">
    <cfRule type="expression" dxfId="209" priority="157">
      <formula>$G$75=TRUE</formula>
    </cfRule>
    <cfRule type="expression" dxfId="208" priority="160">
      <formula>$G$74=TRUE</formula>
    </cfRule>
    <cfRule type="expression" dxfId="207" priority="172">
      <formula>$G$75=TRUE</formula>
    </cfRule>
  </conditionalFormatting>
  <conditionalFormatting sqref="G188:K188">
    <cfRule type="expression" dxfId="206" priority="155">
      <formula>$G$184=TRUE</formula>
    </cfRule>
  </conditionalFormatting>
  <conditionalFormatting sqref="H316">
    <cfRule type="expression" dxfId="205" priority="192">
      <formula>$H$316=template_label_missing_value</formula>
    </cfRule>
    <cfRule type="expression" dxfId="204" priority="191">
      <formula>$H$316=template_label_ok</formula>
    </cfRule>
  </conditionalFormatting>
  <conditionalFormatting sqref="H317">
    <cfRule type="expression" dxfId="203" priority="189">
      <formula>$H$317=template_label_ok</formula>
    </cfRule>
    <cfRule type="expression" dxfId="202" priority="188">
      <formula>$H$317=template_label_missing_value</formula>
    </cfRule>
    <cfRule type="expression" dxfId="201" priority="1">
      <formula>$H$317=template_label_value_inconsistency</formula>
    </cfRule>
  </conditionalFormatting>
  <conditionalFormatting sqref="J80:J82">
    <cfRule type="expression" dxfId="200" priority="13">
      <formula>$G$74=TRUE</formula>
    </cfRule>
  </conditionalFormatting>
  <conditionalFormatting sqref="J80:K82">
    <cfRule type="expression" dxfId="199" priority="11">
      <formula>$G$75=TRUE</formula>
    </cfRule>
  </conditionalFormatting>
  <conditionalFormatting sqref="K30:K44">
    <cfRule type="expression" dxfId="198" priority="2">
      <formula>AND($G30&lt;&gt;"", $J30&lt;&gt;"")</formula>
    </cfRule>
  </conditionalFormatting>
  <conditionalFormatting sqref="K30:K47">
    <cfRule type="expression" dxfId="197" priority="27">
      <formula>OR($J$19=FALSE,$G$29=FALSE)</formula>
    </cfRule>
  </conditionalFormatting>
  <conditionalFormatting sqref="K80:K82">
    <cfRule type="expression" dxfId="196" priority="10">
      <formula>$G$74=TRUE</formula>
    </cfRule>
    <cfRule type="expression" dxfId="195" priority="9">
      <formula>$G$75=TRUE</formula>
    </cfRule>
  </conditionalFormatting>
  <conditionalFormatting sqref="K293:K294">
    <cfRule type="expression" dxfId="194" priority="231">
      <formula>$K$293="OK"</formula>
    </cfRule>
    <cfRule type="expression" dxfId="193" priority="237">
      <formula>$K$293="MISSING VALUE"</formula>
    </cfRule>
  </conditionalFormatting>
  <conditionalFormatting sqref="K295:K298 K300 K536">
    <cfRule type="expression" dxfId="192" priority="223">
      <formula>$K295="OK"</formula>
    </cfRule>
    <cfRule type="expression" dxfId="191" priority="222">
      <formula>$K295="MISSING VALUE"</formula>
    </cfRule>
  </conditionalFormatting>
  <conditionalFormatting sqref="K435:K534">
    <cfRule type="expression" dxfId="190" priority="235">
      <formula>$K435=template_label_missing_value</formula>
    </cfRule>
    <cfRule type="expression" dxfId="189" priority="236">
      <formula>$K435=template_label_ok</formula>
    </cfRule>
  </conditionalFormatting>
  <conditionalFormatting sqref="L5">
    <cfRule type="expression" dxfId="188" priority="195">
      <formula>$L$5=template_label_missing_value</formula>
    </cfRule>
    <cfRule type="expression" dxfId="187" priority="193">
      <formula>$L$5= template_label_ok</formula>
    </cfRule>
  </conditionalFormatting>
  <conditionalFormatting sqref="L12">
    <cfRule type="expression" dxfId="186" priority="24">
      <formula>$L$12=template_label_value_inconsistency</formula>
    </cfRule>
    <cfRule type="expression" dxfId="185" priority="148">
      <formula>$L$12=template_label_missing_value</formula>
    </cfRule>
    <cfRule type="expression" dxfId="184" priority="218">
      <formula>$L12=template_label_ok</formula>
    </cfRule>
  </conditionalFormatting>
  <conditionalFormatting sqref="L21">
    <cfRule type="expression" dxfId="183" priority="200">
      <formula>$L$21=template_label_missing_value</formula>
    </cfRule>
    <cfRule type="expression" dxfId="182" priority="201">
      <formula>$L$21=template_label_ok</formula>
    </cfRule>
  </conditionalFormatting>
  <conditionalFormatting sqref="L22">
    <cfRule type="expression" dxfId="181" priority="211">
      <formula>$L$22="OK"</formula>
    </cfRule>
  </conditionalFormatting>
  <conditionalFormatting sqref="L22:L24">
    <cfRule type="expression" dxfId="180" priority="205">
      <formula>$L22=template_label_missing_value</formula>
    </cfRule>
  </conditionalFormatting>
  <conditionalFormatting sqref="L23:L24">
    <cfRule type="expression" dxfId="179" priority="206">
      <formula>$L23=template_label_ok</formula>
    </cfRule>
  </conditionalFormatting>
  <conditionalFormatting sqref="L30:L44">
    <cfRule type="expression" dxfId="178" priority="32">
      <formula>$L$30=template_label_ok</formula>
    </cfRule>
    <cfRule type="expression" dxfId="177" priority="33">
      <formula>$L$30=template_label_missing_value</formula>
    </cfRule>
  </conditionalFormatting>
  <conditionalFormatting sqref="L45">
    <cfRule type="expression" dxfId="176" priority="384">
      <formula>$L$45="OK"</formula>
    </cfRule>
    <cfRule type="expression" dxfId="175" priority="383">
      <formula>$L$45="MISSING VALUE"</formula>
    </cfRule>
  </conditionalFormatting>
  <conditionalFormatting sqref="L52">
    <cfRule type="expression" dxfId="174" priority="147">
      <formula>$L$52=template_label_missing_value</formula>
    </cfRule>
    <cfRule type="expression" dxfId="173" priority="234">
      <formula>$L$52=template_label_ok</formula>
    </cfRule>
  </conditionalFormatting>
  <conditionalFormatting sqref="L56:L59 L62">
    <cfRule type="expression" dxfId="172" priority="176">
      <formula>$L56=template_label_error</formula>
    </cfRule>
    <cfRule type="expression" dxfId="171" priority="179">
      <formula>$L56=template_label_missing_value</formula>
    </cfRule>
    <cfRule type="expression" dxfId="170" priority="180">
      <formula>$L56=template_label_ok</formula>
    </cfRule>
  </conditionalFormatting>
  <conditionalFormatting sqref="L62">
    <cfRule type="expression" dxfId="169" priority="232">
      <formula>$L$62="OK"</formula>
    </cfRule>
  </conditionalFormatting>
  <conditionalFormatting sqref="L74:L75">
    <cfRule type="expression" dxfId="168" priority="170">
      <formula>$L74=template_label_value_inconsistency</formula>
    </cfRule>
  </conditionalFormatting>
  <conditionalFormatting sqref="L74:L76">
    <cfRule type="expression" dxfId="167" priority="171">
      <formula>$L74=template_label_ok</formula>
    </cfRule>
  </conditionalFormatting>
  <conditionalFormatting sqref="L76">
    <cfRule type="expression" dxfId="166" priority="7">
      <formula>$L$76=template_label_invalid_url</formula>
    </cfRule>
    <cfRule type="expression" dxfId="165" priority="169">
      <formula>$L$76=template_label_missing_value</formula>
    </cfRule>
  </conditionalFormatting>
  <conditionalFormatting sqref="L78">
    <cfRule type="expression" dxfId="164" priority="177">
      <formula>$L$78=template_label_ok</formula>
    </cfRule>
    <cfRule type="expression" dxfId="163" priority="178">
      <formula>$L$78=template_label_missing_value</formula>
    </cfRule>
    <cfRule type="expression" dxfId="162" priority="6">
      <formula>$L$78=template_label_value_inconsistency</formula>
    </cfRule>
  </conditionalFormatting>
  <conditionalFormatting sqref="L80:L179">
    <cfRule type="expression" dxfId="161" priority="22">
      <formula>$L80=template_label_value_inconsistency</formula>
    </cfRule>
    <cfRule type="expression" dxfId="160" priority="175">
      <formula>$L80=template_label_ok</formula>
    </cfRule>
    <cfRule type="expression" dxfId="159" priority="174">
      <formula>$L80=template_label_missing_value</formula>
    </cfRule>
  </conditionalFormatting>
  <conditionalFormatting sqref="L186">
    <cfRule type="expression" dxfId="158" priority="186">
      <formula>$L$186=template_label_missing_value</formula>
    </cfRule>
    <cfRule type="expression" dxfId="157" priority="185">
      <formula>$L$186=template_label_ok</formula>
    </cfRule>
  </conditionalFormatting>
  <conditionalFormatting sqref="L188">
    <cfRule type="expression" dxfId="156" priority="84">
      <formula>$D$188=template_label_value_inconsistency</formula>
    </cfRule>
  </conditionalFormatting>
  <conditionalFormatting sqref="L188:L287">
    <cfRule type="expression" dxfId="155" priority="238">
      <formula>$L188=template_label_missing_value</formula>
    </cfRule>
    <cfRule type="expression" dxfId="154" priority="187">
      <formula>$L188=template_label_value_inconcistency</formula>
    </cfRule>
    <cfRule type="expression" dxfId="153" priority="239">
      <formula>$L188=template_label_ok</formula>
    </cfRule>
  </conditionalFormatting>
  <conditionalFormatting sqref="L189:L287">
    <cfRule type="expression" dxfId="152" priority="83">
      <formula>$D$189=template_label_value_inconsistency</formula>
    </cfRule>
  </conditionalFormatting>
  <conditionalFormatting sqref="L190">
    <cfRule type="expression" dxfId="151" priority="82">
      <formula>$D$190=template_label_value_inconsistency</formula>
    </cfRule>
  </conditionalFormatting>
  <conditionalFormatting sqref="L191">
    <cfRule type="expression" dxfId="150" priority="85">
      <formula>$D$191=template_label_value_inconsistency</formula>
    </cfRule>
  </conditionalFormatting>
  <conditionalFormatting sqref="L192">
    <cfRule type="expression" dxfId="149" priority="81">
      <formula>$D$192=template_label_value_inconsistency</formula>
    </cfRule>
  </conditionalFormatting>
  <conditionalFormatting sqref="L193">
    <cfRule type="expression" dxfId="148" priority="56">
      <formula>$D$193=template_label_value_inconsistency</formula>
    </cfRule>
  </conditionalFormatting>
  <conditionalFormatting sqref="L194:L287">
    <cfRule type="expression" dxfId="147" priority="55">
      <formula>$D$194=template_label_value_inconsistency</formula>
    </cfRule>
  </conditionalFormatting>
  <conditionalFormatting sqref="L195">
    <cfRule type="expression" dxfId="146" priority="54">
      <formula>$D$195=template_label_value_inconsistency</formula>
    </cfRule>
  </conditionalFormatting>
  <conditionalFormatting sqref="L196">
    <cfRule type="expression" dxfId="145" priority="53">
      <formula>$D$196=template_label_value_inconsistency</formula>
    </cfRule>
  </conditionalFormatting>
  <conditionalFormatting sqref="L197">
    <cfRule type="expression" dxfId="144" priority="52">
      <formula>$D$197=template_label_value_inconsistency</formula>
    </cfRule>
  </conditionalFormatting>
  <conditionalFormatting sqref="L198">
    <cfRule type="expression" dxfId="143" priority="51">
      <formula>$D$198=template_label_value_inconsistency</formula>
    </cfRule>
  </conditionalFormatting>
  <conditionalFormatting sqref="L199">
    <cfRule type="expression" dxfId="142" priority="50">
      <formula>$D$199=template_label_value_inconsistency</formula>
    </cfRule>
  </conditionalFormatting>
  <conditionalFormatting sqref="L200">
    <cfRule type="expression" dxfId="141" priority="49">
      <formula>$D$200=template_label_value_inconsistency</formula>
    </cfRule>
  </conditionalFormatting>
  <conditionalFormatting sqref="L201">
    <cfRule type="expression" dxfId="140" priority="48">
      <formula>$D$201=template_label_value_inconsistency</formula>
    </cfRule>
  </conditionalFormatting>
  <conditionalFormatting sqref="L202">
    <cfRule type="expression" dxfId="139" priority="47">
      <formula>$D$202=template_label_value_inconsistency</formula>
    </cfRule>
  </conditionalFormatting>
  <conditionalFormatting sqref="L203">
    <cfRule type="expression" dxfId="138" priority="46">
      <formula>$D$203=template_label_value_inconsistency</formula>
    </cfRule>
  </conditionalFormatting>
  <conditionalFormatting sqref="L204">
    <cfRule type="expression" dxfId="137" priority="45">
      <formula>$D$204=template_label_value_inconsistency</formula>
    </cfRule>
  </conditionalFormatting>
  <conditionalFormatting sqref="L205">
    <cfRule type="expression" dxfId="136" priority="44">
      <formula>$D$205=template_label_value_inconsistency</formula>
    </cfRule>
  </conditionalFormatting>
  <conditionalFormatting sqref="L206">
    <cfRule type="expression" dxfId="135" priority="43">
      <formula>$D$206=template_label_value_inconsistency</formula>
    </cfRule>
  </conditionalFormatting>
  <conditionalFormatting sqref="L207:L208">
    <cfRule type="expression" dxfId="134" priority="41">
      <formula>$D$207=template_label_value_inconsistency</formula>
    </cfRule>
  </conditionalFormatting>
  <conditionalFormatting sqref="L209">
    <cfRule type="expression" dxfId="133" priority="40">
      <formula>$D$209=template_label_value_inconsistency</formula>
    </cfRule>
  </conditionalFormatting>
  <conditionalFormatting sqref="L210">
    <cfRule type="expression" dxfId="132" priority="39">
      <formula>$D$210=template_label_value_inconsistency</formula>
    </cfRule>
  </conditionalFormatting>
  <conditionalFormatting sqref="L211:L285">
    <cfRule type="expression" dxfId="131" priority="38">
      <formula>$D$211=template_label_value_inconsistency</formula>
    </cfRule>
  </conditionalFormatting>
  <conditionalFormatting sqref="L286">
    <cfRule type="expression" dxfId="130" priority="37">
      <formula>$D$286=template_label_value_inconsistency</formula>
    </cfRule>
  </conditionalFormatting>
  <conditionalFormatting sqref="L287">
    <cfRule type="expression" dxfId="129" priority="36">
      <formula>$D$287=template_label_value_inconsistency</formula>
    </cfRule>
  </conditionalFormatting>
  <conditionalFormatting sqref="L540:L544">
    <cfRule type="expression" dxfId="128" priority="145">
      <formula>$L540=template_label_missing_value</formula>
    </cfRule>
    <cfRule type="expression" dxfId="127" priority="229">
      <formula>$L540=template_label_ok</formula>
    </cfRule>
  </conditionalFormatting>
  <conditionalFormatting sqref="M323:M423">
    <cfRule type="expression" dxfId="126" priority="380">
      <formula>$M323=template_label_error</formula>
    </cfRule>
    <cfRule type="expression" dxfId="125" priority="381">
      <formula>$M323=template_label_missing_value</formula>
    </cfRule>
    <cfRule type="expression" dxfId="124" priority="382">
      <formula>$M323=template_label_ok</formula>
    </cfRule>
    <cfRule type="expression" dxfId="123" priority="21">
      <formula>$M323=template_label_value_inconsistency</formula>
    </cfRule>
  </conditionalFormatting>
  <conditionalFormatting sqref="M548">
    <cfRule type="expression" dxfId="122" priority="228">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J435:J534 G323:I422" xr:uid="{468FA835-924F-4099-92AB-F4A9369DDA2E}">
      <formula1>enum_ListUnitMeasurement</formula1>
    </dataValidation>
    <dataValidation type="custom" showInputMessage="1" showErrorMessage="1" sqref="G10:K10 G29 J19 G75:K75 D56:K56 G184:K184 G433:J433 E539:K539 D30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290" r:id="rId12" location="id-76" display="https://xbrl.efrag.org/e-esrs/2024-12-17-efrag-vsme.xhtml - id-76" xr:uid="{2B618F2F-2DC0-4B63-9CF0-7E12FA147AFC}"/>
    <hyperlink ref="C314" r:id="rId13" location="id-83" display="https://xbrl.efrag.org/e-esrs/2024-12-17-efrag-vsme.xhtml - id-83" xr:uid="{323BFE79-70EB-4CE2-B9C3-91002A40B67F}"/>
    <hyperlink ref="C320" r:id="rId14" location="id-85" xr:uid="{34774E4F-7D92-4F86-BA01-3E69B542A9F0}"/>
    <hyperlink ref="C291" r:id="rId15" location="id-264" display="138-141" xr:uid="{DE71F164-3008-4FB9-8EB2-54AB4ECA1636}"/>
    <hyperlink ref="C315" r:id="rId16" location="id-290" display="https://xbrl.efrag.org/e-esrs/2024-12-17-efrag-vsme.xhtml - id-290" xr:uid="{4787EE6B-65DD-4D37-9003-F57D95D7C3E3}"/>
    <hyperlink ref="C321" r:id="rId17" location="id-291" display="160-172" xr:uid="{303B2981-FEC6-4744-9300-EA413929D31B}"/>
    <hyperlink ref="A540" r:id="rId18" xr:uid="{CE1E6101-0E49-497A-B96E-9AA552B3DA6C}"/>
    <hyperlink ref="A541" r:id="rId19" xr:uid="{D6097D81-5D35-4F54-B57E-EE02A65BAB6D}"/>
    <hyperlink ref="A542" r:id="rId20" xr:uid="{7D374740-6DC7-48F4-A99B-089AC209753B}"/>
    <hyperlink ref="A543" r:id="rId21" xr:uid="{150D4BD8-5DE5-4581-8DAE-4C82C7A62056}"/>
    <hyperlink ref="A544" r:id="rId22" display="https://xbrl.efrag.org/eng/interactive/vsme/vsme-standard-annex-i/2025-07-30-ec-rec/58" xr:uid="{EC797813-6429-4DF9-9AA7-E7EF9CEF1CEF}"/>
    <hyperlink ref="B540" r:id="rId23" xr:uid="{13F06C86-825D-430E-ABF7-7903D099B2C8}"/>
    <hyperlink ref="K17" r:id="rId24" xr:uid="{80C232F7-EF01-47F1-B37B-B9465DA971AE}"/>
    <hyperlink ref="C182" r:id="rId25" location="id-75" display="https://xbrl.efrag.org/e-esrs/2024-12-17-efrag-vsme.xhtml - id-75" xr:uid="{477C8E1D-8E11-49EC-A489-12E70C4FFE67}"/>
    <hyperlink ref="C183" r:id="rId26" location="id-260" display="134-137" xr:uid="{79B9B2C7-556F-4990-B4AB-2754EB7A61A1}"/>
    <hyperlink ref="C431" r:id="rId27" location="id-87" xr:uid="{6BE3DB22-1314-4A4E-8418-B1701C7E0A19}"/>
    <hyperlink ref="C432" r:id="rId28" location="id-353" display="173-174" xr:uid="{6218306B-0419-442B-876E-2B32619A0D96}"/>
    <hyperlink ref="C65" r:id="rId29" location="id-73" display="https://xbrl.efrag.org/e-esrs/2024-12-17-efrag-vsme.xhtml - id-73" xr:uid="{1F3ACB44-AE6B-4E80-908F-73BEA496FD95}"/>
    <hyperlink ref="C547" r:id="rId30" location="id-30" display="https://xbrl.efrag.org/e-esrs/2024-12-17-efrag-vsme.xhtml - id-30" xr:uid="{8191E0B1-15FD-4663-A70D-17A84E710C3E}"/>
    <hyperlink ref="C301" r:id="rId31" location="id-81" display="https://xbrl.efrag.org/e-esrs/2024-12-17-efrag-vsme.xhtml - id-81" xr:uid="{50BA1BA2-81A0-434C-BE2B-6B94DE19A97B}"/>
    <hyperlink ref="C302" r:id="rId32" location="id-287" display="156-158" xr:uid="{C3E10B43-4D88-4B0F-993A-7DC6D4C5CC2C}"/>
    <hyperlink ref="C307" r:id="rId33" location="id-81" display="35-36" xr:uid="{9EB17F31-FED5-4A9A-843D-A89DC4708454}"/>
    <hyperlink ref="C308" r:id="rId34" location="id-268" display="142-155" xr:uid="{62AC2A99-3F34-4CBE-BDAF-11563855801F}"/>
    <hyperlink ref="C17:D17" r:id="rId35" location="id-70" display="https://xbrl.efrag.org/e-esrs/2024-12-17-efrag-vsme.xhtml - id-70" xr:uid="{365B931A-E911-46E5-8026-EF90DCBF85DB}"/>
    <hyperlink ref="C27:D27" r:id="rId36" location="id-112" display="50-53" xr:uid="{3DBD1A28-DC3E-40DC-9509-EA926F607751}"/>
    <hyperlink ref="G27:J27" r:id="rId37" display="https://xbrl.efrag.org/eng/interactive/vsme/vsme-standard-annex-i/2025-07-30-ec-rec/54/d" xr:uid="{FA2393F6-873E-45A0-B6D3-FA6AD5E1230A}"/>
    <hyperlink ref="A59" r:id="rId38" location="id-123" display="https://xbrl.efrag.org/e-esrs/2024-12-17-efrag-vsme.xhtml - id-123" xr:uid="{5155F932-F89F-44F2-BA89-74CDEA4817F0}"/>
    <hyperlink ref="C9" r:id="rId39" location="id-182" display="82-89" xr:uid="{029124E6-E37E-4A98-93EE-BBDACB0FCB2C}"/>
    <hyperlink ref="A56" r:id="rId40" display="https://xbrl.efrag.org/eng/interactive/vsme/vsme-standard-annex-i/2025-07-30-ec-rec/55" xr:uid="{23B02246-8F88-4A95-9887-8E8471F2E145}"/>
    <hyperlink ref="B56" r:id="rId41" xr:uid="{9F22D8E3-2E8E-40D0-AC4E-03DD91E3F81F}"/>
    <hyperlink ref="C307:D307" r:id="rId42"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3" display="https://xbrl.efrag.org/eng/interactive/vsme/vsme-standard-annex-i/2025-07-30-ec-rec/29" xr:uid="{A7F34C4A-10FB-4424-87DE-42EEA8CEA76B}"/>
    <hyperlink ref="C17:F17" r:id="rId44" display="https://xbrl.efrag.org/eng/interactive/vsme/vsme-standard-annex-i/2025-07-30-ec-rec/30" xr:uid="{6C59972C-0668-42F7-8CCD-9AE86FBC38EC}"/>
    <hyperlink ref="G17:I17" r:id="rId45" display="54(b)" xr:uid="{364F15A6-5B4F-4259-A406-B7092E211F2F}"/>
    <hyperlink ref="C27:F27" r:id="rId46" display="50-53" xr:uid="{8F729633-44CB-405F-AA82-B6C89F3DC8FB}"/>
    <hyperlink ref="C50:K50" r:id="rId47" display="54(e)" xr:uid="{81FE59B6-40CF-4742-9ED9-F7B4E2BB2BA2}"/>
    <hyperlink ref="A59:A62" r:id="rId48" display="https://xbrl.efrag.org/eng/interactive/vsme/vsme-standard-annex-i/2025-07-30-ec-rec/56" xr:uid="{E5EC0612-0918-4B4B-A021-782AE8A55141}"/>
    <hyperlink ref="C65:K65" r:id="rId49" display="https://xbrl.efrag.org/eng/interactive/vsme/vsme-standard-annex-i/2025-07-30-ec-rec/31" xr:uid="{6BA0BFF5-A51C-400C-923E-90191FD8A81A}"/>
    <hyperlink ref="C72:K72" r:id="rId50" display="https://xbrl.efrag.org/eng/interactive/vsme/vsme-standard-annex-i/2025-07-30-ec-rec/32" xr:uid="{E0C050FC-D9FD-4445-912B-9ECE1F8C79C6}"/>
    <hyperlink ref="C182:K182" r:id="rId51" display="https://xbrl.efrag.org/eng/interactive/vsme/vsme-standard-annex-i/2025-07-30-ec-rec/33" xr:uid="{18D02725-37E9-4912-AE40-1A2F1932692F}"/>
    <hyperlink ref="C290:F290" r:id="rId52" display="https://xbrl.efrag.org/eng/interactive/vsme/vsme-standard-annex-i/2025-07-30-ec-rec/34" xr:uid="{1E725C46-C679-4052-AC6C-9B43FAF420E9}"/>
    <hyperlink ref="C301:D301" r:id="rId53" display="https://xbrl.efrag.org/eng/interactive/vsme/vsme-standard-annex-i/2025-07-30-ec-rec/35" xr:uid="{C5F7B0AA-FEE2-4F07-BF55-E0D6B598140A}"/>
    <hyperlink ref="C314:G314" r:id="rId54" display="https://xbrl.efrag.org/eng/interactive/vsme/vsme-standard-annex-i/2025-07-30-ec-rec/37" xr:uid="{CF11B702-3061-477D-9A98-D7C8FC2FC832}"/>
    <hyperlink ref="C320:L320" r:id="rId55" display="38(a) and 38(b)" xr:uid="{2916048F-E00D-4F8E-AA1D-D98CC76634A5}"/>
    <hyperlink ref="C431:J431" r:id="rId56" display="38(c)" xr:uid="{A7A770CA-3A79-460E-AE7B-758D7EA2788E}"/>
    <hyperlink ref="C547:L547" r:id="rId57" display="https://xbrl.efrag.org/eng/interactive/vsme/vsme-standard-annex-i/2025-07-30-ec-rec/10" xr:uid="{6FEDD8C0-AEF6-4F30-9CF0-705DD5797E5C}"/>
    <hyperlink ref="C4:K4" r:id="rId58" display="18-25" xr:uid="{9EF65291-E505-474B-9BE5-B5513B30FAE6}"/>
    <hyperlink ref="C9:K9" r:id="rId59" display="18-25" xr:uid="{7644CC2E-A677-4966-AD28-38088652B08F}"/>
    <hyperlink ref="D18:F18" r:id="rId60" display="26-45" xr:uid="{54415CE9-C842-4018-BC58-63FE91DAE286}"/>
    <hyperlink ref="G18:I18" r:id="rId61" display="152-158" xr:uid="{A90AEE1E-5ECE-408D-9BD8-277E2DDFCB76}"/>
    <hyperlink ref="K18" r:id="rId62" xr:uid="{0BF03DAE-C5A3-44DA-BFFE-62B915B319D5}"/>
    <hyperlink ref="J18" r:id="rId63" xr:uid="{0ABBAA9C-B0D1-4D7C-9925-9696EA01191B}"/>
    <hyperlink ref="D28:F28" r:id="rId64" display="150-151" xr:uid="{6241CA82-2598-4088-946B-5FE503CFC4E2}"/>
    <hyperlink ref="C51:K51" r:id="rId65" display="https://xbrl.efrag.org/eng/interactive/vsme/vsme-guidance-annex-ii/2025-07-30-ec-rec/159" xr:uid="{9853AE71-58EB-44FC-8CCE-6D936F389CAD}"/>
    <hyperlink ref="B59:B62" r:id="rId66" display="160-163" xr:uid="{1AAF8898-D351-4F85-AB32-DF4AFB737470}"/>
    <hyperlink ref="C73:K73" r:id="rId67" display="46-69" xr:uid="{093BCEF6-7E0E-4310-B894-FE2122CAA6D0}"/>
    <hyperlink ref="C183:K183" r:id="rId68" display="70-73" xr:uid="{ADDB76C3-31EF-4D03-989E-01BA41940AF0}"/>
    <hyperlink ref="C291:F291" r:id="rId69" display="74-76" xr:uid="{838EAE7C-DEF6-45AF-93B2-5485EB91BDBA}"/>
    <hyperlink ref="C302:D302" r:id="rId70" display="91-93" xr:uid="{64255AC5-0D7D-4A44-A10E-4AC1C376065E}"/>
    <hyperlink ref="C308:D308" r:id="rId71" display="77-90" xr:uid="{049A5BD7-EF46-4CF5-878F-A00421D86BF2}"/>
    <hyperlink ref="C315:G315" r:id="rId72" display="https://xbrl.efrag.org/eng/interactive/vsme/vsme-guidance-annex-ii/2025-07-30-ec-rec/94" xr:uid="{D20F3F3A-72EE-4E84-8911-A4E5F49DEFBB}"/>
    <hyperlink ref="C321:L321" r:id="rId73" display="95-107" xr:uid="{5A214E87-D657-4C42-B387-6E155E48A5C4}"/>
    <hyperlink ref="C432:J432" r:id="rId74" display="108-109" xr:uid="{0AB5E17B-E870-404D-AFF4-29BA2E5C3CDB}"/>
    <hyperlink ref="A57" r:id="rId75" display="https://xbrl.efrag.org/eng/interactive/vsme/vsme-standard-annex-i/2025-07-30-ec-rec/55" xr:uid="{B6903554-697A-4452-BEBE-247674A76982}"/>
    <hyperlink ref="A58" r:id="rId76" display="https://xbrl.efrag.org/eng/interactive/vsme/vsme-standard-annex-i/2025-07-30-ec-rec/55" xr:uid="{D40997F3-EF24-42C9-B393-8ADB9CCD237A}"/>
    <hyperlink ref="C8" r:id="rId77" location="id-69" display="https://xbrl.efrag.org/e-esrs/2024-12-17-efrag-vsme.xhtml - id-69" xr:uid="{F3F27717-5413-4050-89AF-53FE39F2890B}"/>
    <hyperlink ref="C8:K8" r:id="rId78" display="https://xbrl.efrag.org/eng/interactive/vsme/vsme-standard-annex-i/2025-07-30-ec-rec/29" xr:uid="{0387C2A5-8C66-45EA-B369-FB19C4F01A64}"/>
    <hyperlink ref="B544" r:id="rId79" xr:uid="{AC7CCD47-0010-4354-8D4F-FA1ED42CD433}"/>
    <hyperlink ref="B57" r:id="rId80" xr:uid="{59702F8A-53C4-4D6F-88E3-3025243DA959}"/>
    <hyperlink ref="B58" r:id="rId81" xr:uid="{9AF9DFDD-D473-498C-9909-9497928C6F53}"/>
    <hyperlink ref="B541" r:id="rId82" xr:uid="{108E1487-6984-4E23-821C-A1ED53D1FEFD}"/>
    <hyperlink ref="B542" r:id="rId83" xr:uid="{F192B5CB-E03F-42CC-A5C4-D47E630D689F}"/>
    <hyperlink ref="B543" r:id="rId84" xr:uid="{F5FDA725-30B0-43F6-920A-EC7CD1344B13}"/>
  </hyperlinks>
  <pageMargins left="0.7" right="0.7" top="0.75" bottom="0.75" header="0.3" footer="0.3"/>
  <pageSetup orientation="portrait" r:id="rId85"/>
  <drawing r:id="rId8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200"/>
  <sheetViews>
    <sheetView zoomScaleNormal="100" workbookViewId="0"/>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9" width="21.33203125" style="10" bestFit="1" customWidth="1"/>
    <col min="10" max="16384" width="8.88671875" style="10"/>
  </cols>
  <sheetData>
    <row r="1" spans="1:8" ht="43.8" thickBot="1" x14ac:dyDescent="0.35">
      <c r="A1" s="257" t="str">
        <f>template_label_paragraph_reference</f>
        <v>Paragraph Reference</v>
      </c>
      <c r="B1" s="257" t="str">
        <f>template_label_paragraph_guidance_reference</f>
        <v>Paragraph Guidance Reference</v>
      </c>
    </row>
    <row r="2" spans="1:8" ht="15" thickBot="1" x14ac:dyDescent="0.35">
      <c r="C2" s="1057" t="str">
        <f>template_label_employee_counting_methodology_for_the_disclosures_below_headcount_full_time_equivalent</f>
        <v>Employee counting methodology for the disclosures below (Headcount or Full time Equivalent linked from B1</v>
      </c>
      <c r="D2" s="1058"/>
      <c r="E2" s="1059"/>
      <c r="F2" s="1060" t="str">
        <f>IF('General Information'!$E$330="","-",'General Information'!$E$330)</f>
        <v>-</v>
      </c>
      <c r="G2" s="1060"/>
      <c r="H2" s="1061"/>
    </row>
    <row r="3" spans="1:8" ht="15" thickBot="1" x14ac:dyDescent="0.35">
      <c r="C3" s="1057" t="str">
        <f>template_label_employee_counting_methodology_for_the_disclosures_below_period</f>
        <v>Employee counting methodology for the disclosures below (At the end of the reporting period or as an average across the reporting period linked from B1)</v>
      </c>
      <c r="D3" s="1058"/>
      <c r="E3" s="1059"/>
      <c r="F3" s="1062" t="str">
        <f>IF('General Information'!$E$329="","-",'General Information'!$E$329)</f>
        <v>-</v>
      </c>
      <c r="G3" s="1063"/>
      <c r="H3" s="1064"/>
    </row>
    <row r="5" spans="1:8" ht="15" thickBot="1" x14ac:dyDescent="0.35"/>
    <row r="6" spans="1:8" x14ac:dyDescent="0.3">
      <c r="C6" s="579" t="str">
        <f>template_label_b8_workforce_general_characteristics_type_of_contract&amp;" "&amp;template_label_always_to_be_reported</f>
        <v>B8 – Workforce – General characteristics - Type of contract [Always to be reported]</v>
      </c>
      <c r="D6" s="580"/>
      <c r="E6" s="580"/>
      <c r="F6" s="580"/>
      <c r="G6" s="581"/>
      <c r="H6"/>
    </row>
    <row r="7" spans="1:8" x14ac:dyDescent="0.3">
      <c r="C7" s="576" t="s">
        <v>3754</v>
      </c>
      <c r="D7" s="577"/>
      <c r="E7" s="577"/>
      <c r="F7" s="577"/>
      <c r="G7" s="578"/>
    </row>
    <row r="8" spans="1:8" x14ac:dyDescent="0.3">
      <c r="C8" s="561" t="s">
        <v>5657</v>
      </c>
      <c r="D8" s="1005"/>
      <c r="E8" s="1005"/>
      <c r="F8" s="1005"/>
      <c r="G8" s="1075"/>
    </row>
    <row r="9" spans="1:8" x14ac:dyDescent="0.3">
      <c r="C9" s="148" t="str">
        <f>template_label_type_of_contract</f>
        <v>Type of contract</v>
      </c>
      <c r="D9" s="1076" t="str">
        <f>template_label_number_of_employees</f>
        <v>Number of employees</v>
      </c>
      <c r="E9" s="1077"/>
      <c r="F9" s="1077"/>
      <c r="G9" s="1078"/>
      <c r="H9" s="149"/>
    </row>
    <row r="10" spans="1:8" x14ac:dyDescent="0.3">
      <c r="C10" s="150" t="str">
        <f>template_label_permanent_contract</f>
        <v>Permanent contract</v>
      </c>
      <c r="D10" s="1068"/>
      <c r="E10" s="1069"/>
      <c r="F10" s="1069"/>
      <c r="G10" s="1070"/>
      <c r="H10" s="15" t="str">
        <f>IF(
    AND(
        OR(
            'General Information'!E122="Option A (Basic Module only)",
            'General Information'!E122="Option B (Basic Module and Comprehensive Module)"
        ),
        D10=""
    ),
    template_label_missing_value,
    IF('General Information'!E122="",
        "",
        template_label_ok
    )
)</f>
        <v/>
      </c>
    </row>
    <row r="11" spans="1:8" x14ac:dyDescent="0.3">
      <c r="C11" s="150" t="str">
        <f>template_label_temporary_contract</f>
        <v>Temporary contract</v>
      </c>
      <c r="D11" s="1079" t="str">
        <f>IFERROR(IF(D10="", "-", $D$12 - $D$10), "-")</f>
        <v>-</v>
      </c>
      <c r="E11" s="1080"/>
      <c r="F11" s="1080"/>
      <c r="G11" s="1081"/>
      <c r="H11" s="15"/>
    </row>
    <row r="12" spans="1:8" ht="15" thickBot="1" x14ac:dyDescent="0.35">
      <c r="C12" s="151" t="str">
        <f>template_label_total_employees</f>
        <v>Total employees (linked to B1)</v>
      </c>
      <c r="D12" s="1048" t="str">
        <f>IF('General Information'!$E$328="", "-", VALUE(SUBSTITUTE('General Information'!$E$328, "-", "0")))</f>
        <v>-</v>
      </c>
      <c r="E12" s="1048"/>
      <c r="F12" s="1048"/>
      <c r="G12" s="1044"/>
      <c r="H12" s="17"/>
    </row>
    <row r="13" spans="1:8" ht="15" thickBot="1" x14ac:dyDescent="0.35"/>
    <row r="14" spans="1:8" x14ac:dyDescent="0.3">
      <c r="C14" s="579" t="str">
        <f>template_label_b8_workforce_general_characteristics_gender&amp;" "&amp;template_label_always_to_be_reported</f>
        <v>B8 – Workforce – General characteristics - Gender [Always to be reported]</v>
      </c>
      <c r="D14" s="580"/>
      <c r="E14" s="580"/>
      <c r="F14" s="580"/>
      <c r="G14" s="581"/>
      <c r="H14"/>
    </row>
    <row r="15" spans="1:8" x14ac:dyDescent="0.3">
      <c r="C15" s="576" t="s">
        <v>3755</v>
      </c>
      <c r="D15" s="577"/>
      <c r="E15" s="577"/>
      <c r="F15" s="577"/>
      <c r="G15" s="578"/>
    </row>
    <row r="16" spans="1:8" x14ac:dyDescent="0.3">
      <c r="C16" s="561" t="s">
        <v>5657</v>
      </c>
      <c r="D16" s="562"/>
      <c r="E16" s="562"/>
      <c r="F16" s="562"/>
      <c r="G16" s="563"/>
    </row>
    <row r="17" spans="3:22" x14ac:dyDescent="0.3">
      <c r="C17" s="152" t="str">
        <f>template_label_gender</f>
        <v>Gender</v>
      </c>
      <c r="D17" s="1065" t="str">
        <f>template_label_number_of_employees</f>
        <v>Number of employees</v>
      </c>
      <c r="E17" s="1066"/>
      <c r="F17" s="1066"/>
      <c r="G17" s="1067"/>
    </row>
    <row r="18" spans="3:22" x14ac:dyDescent="0.3">
      <c r="C18" s="153" t="str">
        <f>template_label_male</f>
        <v>Male</v>
      </c>
      <c r="D18" s="1068"/>
      <c r="E18" s="1069"/>
      <c r="F18" s="1069"/>
      <c r="G18" s="1070"/>
      <c r="H18" s="1071" t="str">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
      </c>
      <c r="I18" s="1055" t="str">
        <f>template_label_number_of_employees_warning</f>
        <v xml:space="preserve">ℹ️  Please make sure that the total number of employees is the same as the one provided in the "General Information" sheet cell E55
</v>
      </c>
      <c r="J18" s="1055"/>
      <c r="K18" s="1055"/>
      <c r="L18" s="1055"/>
      <c r="M18" s="1055"/>
    </row>
    <row r="19" spans="3:22" x14ac:dyDescent="0.3">
      <c r="C19" s="153" t="str">
        <f>template_label_female</f>
        <v>Female</v>
      </c>
      <c r="D19" s="1068"/>
      <c r="E19" s="1069"/>
      <c r="F19" s="1069"/>
      <c r="G19" s="1070"/>
      <c r="H19" s="1071"/>
      <c r="I19" s="1055"/>
      <c r="J19" s="1055"/>
      <c r="K19" s="1055"/>
      <c r="L19" s="1055"/>
      <c r="M19" s="1055"/>
    </row>
    <row r="20" spans="3:22" x14ac:dyDescent="0.3">
      <c r="C20" s="153" t="str">
        <f>template_label_other</f>
        <v>Other</v>
      </c>
      <c r="D20" s="1068"/>
      <c r="E20" s="1069"/>
      <c r="F20" s="1069"/>
      <c r="G20" s="1070"/>
      <c r="H20" s="1071"/>
      <c r="I20" s="1055"/>
      <c r="J20" s="1055"/>
      <c r="K20" s="1055"/>
      <c r="L20" s="1055"/>
      <c r="M20" s="1055"/>
    </row>
    <row r="21" spans="3:22" x14ac:dyDescent="0.3">
      <c r="C21" s="153" t="str">
        <f>template_label_not_reported</f>
        <v>Not reported</v>
      </c>
      <c r="D21" s="1072"/>
      <c r="E21" s="1073"/>
      <c r="F21" s="1073"/>
      <c r="G21" s="1074"/>
      <c r="H21" s="1071"/>
      <c r="I21" s="1055"/>
      <c r="J21" s="1055"/>
      <c r="K21" s="1055"/>
      <c r="L21" s="1055"/>
      <c r="M21" s="1055"/>
    </row>
    <row r="22" spans="3:22" ht="15" thickBot="1" x14ac:dyDescent="0.35">
      <c r="C22" s="151" t="str">
        <f>template_label_total_employees</f>
        <v>Total employees (linked to B1)</v>
      </c>
      <c r="D22" s="1048" t="str">
        <f>IF('General Information'!$E$328="","-",'General Information'!$E$328)</f>
        <v>-</v>
      </c>
      <c r="E22" s="1048"/>
      <c r="F22" s="1048"/>
      <c r="G22" s="1044"/>
      <c r="H22" s="18"/>
    </row>
    <row r="23" spans="3:22" ht="15" thickBot="1" x14ac:dyDescent="0.35"/>
    <row r="24" spans="3:22" x14ac:dyDescent="0.3">
      <c r="C24" s="1045" t="str">
        <f>template_label_b8_workforce_general_characteristics_country_of_employment&amp;" "&amp;template_label_if_applicable</f>
        <v>B8 – Workforce – General characteristics - Country of employment [If applicable]</v>
      </c>
      <c r="D24" s="1046"/>
      <c r="E24" s="1046"/>
      <c r="F24" s="1046"/>
      <c r="G24" s="1046"/>
      <c r="H24" s="1047"/>
    </row>
    <row r="25" spans="3:22" x14ac:dyDescent="0.3">
      <c r="C25" s="692" t="s">
        <v>3756</v>
      </c>
      <c r="D25" s="693"/>
      <c r="E25" s="693"/>
      <c r="F25" s="693"/>
      <c r="G25" s="693"/>
      <c r="H25" s="694"/>
    </row>
    <row r="26" spans="3:22" x14ac:dyDescent="0.3">
      <c r="C26" s="686" t="s">
        <v>5657</v>
      </c>
      <c r="D26" s="687"/>
      <c r="E26" s="687"/>
      <c r="F26" s="687"/>
      <c r="G26" s="687"/>
      <c r="H26" s="688"/>
    </row>
    <row r="27" spans="3:22" x14ac:dyDescent="0.3">
      <c r="C27" s="1053" t="str">
        <f>template_label_undertaking_operating_in_more_than_one_country</f>
        <v>Does the undertaking operate in more than one country?</v>
      </c>
      <c r="D27" s="1054"/>
      <c r="E27" s="570" t="b">
        <v>0</v>
      </c>
      <c r="F27" s="571"/>
      <c r="G27" s="571"/>
      <c r="H27" s="572"/>
    </row>
    <row r="28" spans="3:22" x14ac:dyDescent="0.3">
      <c r="C28" s="1049" t="str">
        <f>template_label_country_of_employment_contract</f>
        <v>Country of employment contract</v>
      </c>
      <c r="D28" s="1050"/>
      <c r="E28" s="1051" t="str">
        <f>template_label_number_of_employees</f>
        <v>Number of employees</v>
      </c>
      <c r="F28" s="1051"/>
      <c r="G28" s="1051"/>
      <c r="H28" s="1052"/>
    </row>
    <row r="29" spans="3:22" ht="14.55" customHeight="1" x14ac:dyDescent="0.3">
      <c r="C29" s="1037"/>
      <c r="D29" s="1038"/>
      <c r="E29" s="1039"/>
      <c r="F29" s="1039"/>
      <c r="G29" s="1039"/>
      <c r="H29" s="1040"/>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
      </c>
      <c r="J29" s="1056" t="str">
        <f>template_label_number_of_employees_warning</f>
        <v xml:space="preserve">ℹ️  Please make sure that the total number of employees is the same as the one provided in the "General Information" sheet cell E55
</v>
      </c>
      <c r="K29" s="1056"/>
      <c r="L29" s="1056"/>
      <c r="M29" s="1056"/>
      <c r="N29" s="1056"/>
      <c r="O29" s="1056"/>
      <c r="P29" s="1056"/>
      <c r="Q29" s="1056"/>
      <c r="R29" s="1056"/>
      <c r="S29" s="1056"/>
      <c r="T29" s="1056"/>
      <c r="U29" s="1056"/>
      <c r="V29" s="1056"/>
    </row>
    <row r="30" spans="3:22" x14ac:dyDescent="0.3">
      <c r="C30" s="1037"/>
      <c r="D30" s="1038"/>
      <c r="E30" s="1039"/>
      <c r="F30" s="1039"/>
      <c r="G30" s="1039"/>
      <c r="H30" s="1040"/>
      <c r="I30" s="15" t="str">
        <f t="shared" si="0"/>
        <v/>
      </c>
      <c r="J30" s="1056"/>
      <c r="K30" s="1056"/>
      <c r="L30" s="1056"/>
      <c r="M30" s="1056"/>
      <c r="N30" s="1056"/>
      <c r="O30" s="1056"/>
      <c r="P30" s="1056"/>
      <c r="Q30" s="1056"/>
      <c r="R30" s="1056"/>
      <c r="S30" s="1056"/>
      <c r="T30" s="1056"/>
      <c r="U30" s="1056"/>
      <c r="V30" s="1056"/>
    </row>
    <row r="31" spans="3:22" x14ac:dyDescent="0.3">
      <c r="C31" s="1037"/>
      <c r="D31" s="1038"/>
      <c r="E31" s="1039"/>
      <c r="F31" s="1039"/>
      <c r="G31" s="1039"/>
      <c r="H31" s="1040"/>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1037"/>
      <c r="D32" s="1038"/>
      <c r="E32" s="1039"/>
      <c r="F32" s="1039"/>
      <c r="G32" s="1039"/>
      <c r="H32" s="1040"/>
      <c r="I32" s="15" t="str">
        <f t="shared" si="0"/>
        <v/>
      </c>
    </row>
    <row r="33" spans="3:9" hidden="1" outlineLevel="1" x14ac:dyDescent="0.3">
      <c r="C33" s="1037"/>
      <c r="D33" s="1038"/>
      <c r="E33" s="1039"/>
      <c r="F33" s="1039"/>
      <c r="G33" s="1039"/>
      <c r="H33" s="1040"/>
      <c r="I33" s="15" t="str">
        <f t="shared" si="0"/>
        <v/>
      </c>
    </row>
    <row r="34" spans="3:9" hidden="1" outlineLevel="1" x14ac:dyDescent="0.3">
      <c r="C34" s="1037"/>
      <c r="D34" s="1038"/>
      <c r="E34" s="1039"/>
      <c r="F34" s="1039"/>
      <c r="G34" s="1039"/>
      <c r="H34" s="1040"/>
      <c r="I34" s="15" t="str">
        <f t="shared" si="0"/>
        <v/>
      </c>
    </row>
    <row r="35" spans="3:9" hidden="1" outlineLevel="1" x14ac:dyDescent="0.3">
      <c r="C35" s="1037"/>
      <c r="D35" s="1038"/>
      <c r="E35" s="1039"/>
      <c r="F35" s="1039"/>
      <c r="G35" s="1039"/>
      <c r="H35" s="1040"/>
      <c r="I35" s="15" t="str">
        <f t="shared" si="0"/>
        <v/>
      </c>
    </row>
    <row r="36" spans="3:9" hidden="1" outlineLevel="1" x14ac:dyDescent="0.3">
      <c r="C36" s="1037"/>
      <c r="D36" s="1038"/>
      <c r="E36" s="1039"/>
      <c r="F36" s="1039"/>
      <c r="G36" s="1039"/>
      <c r="H36" s="1040"/>
      <c r="I36" s="15" t="str">
        <f t="shared" si="0"/>
        <v/>
      </c>
    </row>
    <row r="37" spans="3:9" hidden="1" outlineLevel="1" x14ac:dyDescent="0.3">
      <c r="C37" s="1037"/>
      <c r="D37" s="1038"/>
      <c r="E37" s="1039"/>
      <c r="F37" s="1039"/>
      <c r="G37" s="1039"/>
      <c r="H37" s="1040"/>
      <c r="I37" s="15" t="str">
        <f t="shared" si="0"/>
        <v/>
      </c>
    </row>
    <row r="38" spans="3:9" hidden="1" outlineLevel="1" x14ac:dyDescent="0.3">
      <c r="C38" s="1037"/>
      <c r="D38" s="1038"/>
      <c r="E38" s="1039"/>
      <c r="F38" s="1039"/>
      <c r="G38" s="1039"/>
      <c r="H38" s="1040"/>
      <c r="I38" s="15" t="str">
        <f t="shared" si="0"/>
        <v/>
      </c>
    </row>
    <row r="39" spans="3:9" hidden="1" outlineLevel="1" x14ac:dyDescent="0.3">
      <c r="C39" s="1037"/>
      <c r="D39" s="1038"/>
      <c r="E39" s="1039"/>
      <c r="F39" s="1039"/>
      <c r="G39" s="1039"/>
      <c r="H39" s="1040"/>
      <c r="I39" s="15" t="str">
        <f t="shared" si="0"/>
        <v/>
      </c>
    </row>
    <row r="40" spans="3:9" hidden="1" outlineLevel="1" x14ac:dyDescent="0.3">
      <c r="C40" s="1037"/>
      <c r="D40" s="1038"/>
      <c r="E40" s="1039"/>
      <c r="F40" s="1039"/>
      <c r="G40" s="1039"/>
      <c r="H40" s="1040"/>
      <c r="I40" s="15" t="str">
        <f t="shared" si="0"/>
        <v/>
      </c>
    </row>
    <row r="41" spans="3:9" hidden="1" outlineLevel="1" x14ac:dyDescent="0.3">
      <c r="C41" s="1037"/>
      <c r="D41" s="1038"/>
      <c r="E41" s="1039"/>
      <c r="F41" s="1039"/>
      <c r="G41" s="1039"/>
      <c r="H41" s="1040"/>
      <c r="I41" s="15" t="str">
        <f t="shared" si="0"/>
        <v/>
      </c>
    </row>
    <row r="42" spans="3:9" hidden="1" outlineLevel="1" x14ac:dyDescent="0.3">
      <c r="C42" s="1037"/>
      <c r="D42" s="1038"/>
      <c r="E42" s="1039"/>
      <c r="F42" s="1039"/>
      <c r="G42" s="1039"/>
      <c r="H42" s="1040"/>
      <c r="I42" s="15" t="str">
        <f t="shared" si="0"/>
        <v/>
      </c>
    </row>
    <row r="43" spans="3:9" hidden="1" outlineLevel="1" x14ac:dyDescent="0.3">
      <c r="C43" s="1037"/>
      <c r="D43" s="1038"/>
      <c r="E43" s="1039"/>
      <c r="F43" s="1039"/>
      <c r="G43" s="1039"/>
      <c r="H43" s="1040"/>
      <c r="I43" s="15" t="str">
        <f t="shared" si="0"/>
        <v/>
      </c>
    </row>
    <row r="44" spans="3:9" hidden="1" outlineLevel="1" x14ac:dyDescent="0.3">
      <c r="C44" s="1037"/>
      <c r="D44" s="1038"/>
      <c r="E44" s="1039"/>
      <c r="F44" s="1039"/>
      <c r="G44" s="1039"/>
      <c r="H44" s="1040"/>
      <c r="I44" s="15" t="str">
        <f t="shared" si="0"/>
        <v/>
      </c>
    </row>
    <row r="45" spans="3:9" hidden="1" outlineLevel="1" x14ac:dyDescent="0.3">
      <c r="C45" s="1037"/>
      <c r="D45" s="1038"/>
      <c r="E45" s="1039"/>
      <c r="F45" s="1039"/>
      <c r="G45" s="1039"/>
      <c r="H45" s="1040"/>
      <c r="I45" s="15" t="str">
        <f t="shared" si="0"/>
        <v/>
      </c>
    </row>
    <row r="46" spans="3:9" hidden="1" outlineLevel="1" x14ac:dyDescent="0.3">
      <c r="C46" s="1037"/>
      <c r="D46" s="1038"/>
      <c r="E46" s="1039"/>
      <c r="F46" s="1039"/>
      <c r="G46" s="1039"/>
      <c r="H46" s="1040"/>
      <c r="I46" s="15" t="str">
        <f t="shared" si="0"/>
        <v/>
      </c>
    </row>
    <row r="47" spans="3:9" hidden="1" outlineLevel="1" x14ac:dyDescent="0.3">
      <c r="C47" s="1037"/>
      <c r="D47" s="1038"/>
      <c r="E47" s="1039"/>
      <c r="F47" s="1039"/>
      <c r="G47" s="1039"/>
      <c r="H47" s="1040"/>
      <c r="I47" s="15" t="str">
        <f t="shared" si="0"/>
        <v/>
      </c>
    </row>
    <row r="48" spans="3:9" hidden="1" outlineLevel="1" x14ac:dyDescent="0.3">
      <c r="C48" s="1037"/>
      <c r="D48" s="1038"/>
      <c r="E48" s="1039"/>
      <c r="F48" s="1039"/>
      <c r="G48" s="1039"/>
      <c r="H48" s="1040"/>
      <c r="I48" s="15" t="str">
        <f t="shared" si="0"/>
        <v/>
      </c>
    </row>
    <row r="49" spans="3:9" hidden="1" outlineLevel="1" x14ac:dyDescent="0.3">
      <c r="C49" s="1037"/>
      <c r="D49" s="1038"/>
      <c r="E49" s="1039"/>
      <c r="F49" s="1039"/>
      <c r="G49" s="1039"/>
      <c r="H49" s="1040"/>
      <c r="I49" s="15" t="str">
        <f t="shared" si="0"/>
        <v/>
      </c>
    </row>
    <row r="50" spans="3:9" hidden="1" outlineLevel="1" x14ac:dyDescent="0.3">
      <c r="C50" s="1037"/>
      <c r="D50" s="1038"/>
      <c r="E50" s="1039"/>
      <c r="F50" s="1039"/>
      <c r="G50" s="1039"/>
      <c r="H50" s="1040"/>
      <c r="I50" s="15" t="str">
        <f t="shared" si="0"/>
        <v/>
      </c>
    </row>
    <row r="51" spans="3:9" hidden="1" outlineLevel="1" x14ac:dyDescent="0.3">
      <c r="C51" s="1037"/>
      <c r="D51" s="1038"/>
      <c r="E51" s="1039"/>
      <c r="F51" s="1039"/>
      <c r="G51" s="1039"/>
      <c r="H51" s="1040"/>
      <c r="I51" s="15" t="str">
        <f t="shared" si="0"/>
        <v/>
      </c>
    </row>
    <row r="52" spans="3:9" hidden="1" outlineLevel="1" x14ac:dyDescent="0.3">
      <c r="C52" s="1037"/>
      <c r="D52" s="1038"/>
      <c r="E52" s="1039"/>
      <c r="F52" s="1039"/>
      <c r="G52" s="1039"/>
      <c r="H52" s="1040"/>
      <c r="I52" s="15" t="str">
        <f t="shared" si="0"/>
        <v/>
      </c>
    </row>
    <row r="53" spans="3:9" hidden="1" outlineLevel="1" x14ac:dyDescent="0.3">
      <c r="C53" s="1037"/>
      <c r="D53" s="1038"/>
      <c r="E53" s="1039"/>
      <c r="F53" s="1039"/>
      <c r="G53" s="1039"/>
      <c r="H53" s="1040"/>
      <c r="I53" s="15" t="str">
        <f t="shared" si="0"/>
        <v/>
      </c>
    </row>
    <row r="54" spans="3:9" hidden="1" outlineLevel="1" x14ac:dyDescent="0.3">
      <c r="C54" s="1037"/>
      <c r="D54" s="1038"/>
      <c r="E54" s="1039"/>
      <c r="F54" s="1039"/>
      <c r="G54" s="1039"/>
      <c r="H54" s="1040"/>
      <c r="I54" s="15" t="str">
        <f t="shared" si="0"/>
        <v/>
      </c>
    </row>
    <row r="55" spans="3:9" hidden="1" outlineLevel="1" x14ac:dyDescent="0.3">
      <c r="C55" s="1037"/>
      <c r="D55" s="1038"/>
      <c r="E55" s="1039"/>
      <c r="F55" s="1039"/>
      <c r="G55" s="1039"/>
      <c r="H55" s="1040"/>
      <c r="I55" s="15" t="str">
        <f t="shared" si="0"/>
        <v/>
      </c>
    </row>
    <row r="56" spans="3:9" hidden="1" outlineLevel="1" x14ac:dyDescent="0.3">
      <c r="C56" s="1037"/>
      <c r="D56" s="1038"/>
      <c r="E56" s="1039"/>
      <c r="F56" s="1039"/>
      <c r="G56" s="1039"/>
      <c r="H56" s="1040"/>
      <c r="I56" s="15" t="str">
        <f t="shared" si="0"/>
        <v/>
      </c>
    </row>
    <row r="57" spans="3:9" hidden="1" outlineLevel="1" x14ac:dyDescent="0.3">
      <c r="C57" s="1037"/>
      <c r="D57" s="1038"/>
      <c r="E57" s="1039"/>
      <c r="F57" s="1039"/>
      <c r="G57" s="1039"/>
      <c r="H57" s="1040"/>
      <c r="I57" s="15" t="str">
        <f t="shared" si="0"/>
        <v/>
      </c>
    </row>
    <row r="58" spans="3:9" hidden="1" outlineLevel="1" x14ac:dyDescent="0.3">
      <c r="C58" s="1037"/>
      <c r="D58" s="1038"/>
      <c r="E58" s="1039"/>
      <c r="F58" s="1039"/>
      <c r="G58" s="1039"/>
      <c r="H58" s="1040"/>
      <c r="I58" s="15" t="str">
        <f t="shared" si="0"/>
        <v/>
      </c>
    </row>
    <row r="59" spans="3:9" hidden="1" outlineLevel="1" x14ac:dyDescent="0.3">
      <c r="C59" s="1037"/>
      <c r="D59" s="1038"/>
      <c r="E59" s="1039"/>
      <c r="F59" s="1039"/>
      <c r="G59" s="1039"/>
      <c r="H59" s="1040"/>
      <c r="I59" s="15" t="str">
        <f t="shared" si="0"/>
        <v/>
      </c>
    </row>
    <row r="60" spans="3:9" hidden="1" outlineLevel="1" x14ac:dyDescent="0.3">
      <c r="C60" s="1037"/>
      <c r="D60" s="1038"/>
      <c r="E60" s="1039"/>
      <c r="F60" s="1039"/>
      <c r="G60" s="1039"/>
      <c r="H60" s="1040"/>
      <c r="I60" s="15" t="str">
        <f t="shared" si="0"/>
        <v/>
      </c>
    </row>
    <row r="61" spans="3:9" hidden="1" outlineLevel="1" x14ac:dyDescent="0.3">
      <c r="C61" s="1037"/>
      <c r="D61" s="1038"/>
      <c r="E61" s="1039"/>
      <c r="F61" s="1039"/>
      <c r="G61" s="1039"/>
      <c r="H61" s="1040"/>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3">
      <c r="C62" s="1037"/>
      <c r="D62" s="1038"/>
      <c r="E62" s="1039"/>
      <c r="F62" s="1039"/>
      <c r="G62" s="1039"/>
      <c r="H62" s="1040"/>
      <c r="I62" s="15" t="str">
        <f t="shared" si="1"/>
        <v/>
      </c>
    </row>
    <row r="63" spans="3:9" hidden="1" outlineLevel="1" x14ac:dyDescent="0.3">
      <c r="C63" s="1037"/>
      <c r="D63" s="1038"/>
      <c r="E63" s="1039"/>
      <c r="F63" s="1039"/>
      <c r="G63" s="1039"/>
      <c r="H63" s="1040"/>
      <c r="I63" s="15" t="str">
        <f t="shared" si="1"/>
        <v/>
      </c>
    </row>
    <row r="64" spans="3:9" hidden="1" outlineLevel="1" x14ac:dyDescent="0.3">
      <c r="C64" s="1037"/>
      <c r="D64" s="1038"/>
      <c r="E64" s="1039"/>
      <c r="F64" s="1039"/>
      <c r="G64" s="1039"/>
      <c r="H64" s="1040"/>
      <c r="I64" s="15" t="str">
        <f t="shared" si="1"/>
        <v/>
      </c>
    </row>
    <row r="65" spans="3:9" hidden="1" outlineLevel="1" x14ac:dyDescent="0.3">
      <c r="C65" s="1037"/>
      <c r="D65" s="1038"/>
      <c r="E65" s="1039"/>
      <c r="F65" s="1039"/>
      <c r="G65" s="1039"/>
      <c r="H65" s="1040"/>
      <c r="I65" s="15" t="str">
        <f t="shared" si="1"/>
        <v/>
      </c>
    </row>
    <row r="66" spans="3:9" hidden="1" outlineLevel="1" x14ac:dyDescent="0.3">
      <c r="C66" s="1037"/>
      <c r="D66" s="1038"/>
      <c r="E66" s="1039"/>
      <c r="F66" s="1039"/>
      <c r="G66" s="1039"/>
      <c r="H66" s="1040"/>
      <c r="I66" s="15" t="str">
        <f t="shared" si="1"/>
        <v/>
      </c>
    </row>
    <row r="67" spans="3:9" hidden="1" outlineLevel="1" x14ac:dyDescent="0.3">
      <c r="C67" s="1037"/>
      <c r="D67" s="1038"/>
      <c r="E67" s="1039"/>
      <c r="F67" s="1039"/>
      <c r="G67" s="1039"/>
      <c r="H67" s="1040"/>
      <c r="I67" s="15" t="str">
        <f t="shared" si="1"/>
        <v/>
      </c>
    </row>
    <row r="68" spans="3:9" hidden="1" outlineLevel="1" x14ac:dyDescent="0.3">
      <c r="C68" s="1037"/>
      <c r="D68" s="1038"/>
      <c r="E68" s="1039"/>
      <c r="F68" s="1039"/>
      <c r="G68" s="1039"/>
      <c r="H68" s="1040"/>
      <c r="I68" s="15" t="str">
        <f t="shared" si="1"/>
        <v/>
      </c>
    </row>
    <row r="69" spans="3:9" hidden="1" outlineLevel="1" x14ac:dyDescent="0.3">
      <c r="C69" s="1037"/>
      <c r="D69" s="1038"/>
      <c r="E69" s="1039"/>
      <c r="F69" s="1039"/>
      <c r="G69" s="1039"/>
      <c r="H69" s="1040"/>
      <c r="I69" s="15" t="str">
        <f t="shared" si="1"/>
        <v/>
      </c>
    </row>
    <row r="70" spans="3:9" hidden="1" outlineLevel="1" x14ac:dyDescent="0.3">
      <c r="C70" s="1037"/>
      <c r="D70" s="1038"/>
      <c r="E70" s="1039"/>
      <c r="F70" s="1039"/>
      <c r="G70" s="1039"/>
      <c r="H70" s="1040"/>
      <c r="I70" s="15" t="str">
        <f t="shared" si="1"/>
        <v/>
      </c>
    </row>
    <row r="71" spans="3:9" hidden="1" outlineLevel="1" x14ac:dyDescent="0.3">
      <c r="C71" s="1037"/>
      <c r="D71" s="1038"/>
      <c r="E71" s="1039"/>
      <c r="F71" s="1039"/>
      <c r="G71" s="1039"/>
      <c r="H71" s="1040"/>
      <c r="I71" s="15" t="str">
        <f t="shared" si="1"/>
        <v/>
      </c>
    </row>
    <row r="72" spans="3:9" hidden="1" outlineLevel="1" x14ac:dyDescent="0.3">
      <c r="C72" s="1037"/>
      <c r="D72" s="1038"/>
      <c r="E72" s="1039"/>
      <c r="F72" s="1039"/>
      <c r="G72" s="1039"/>
      <c r="H72" s="1040"/>
      <c r="I72" s="15" t="str">
        <f t="shared" si="1"/>
        <v/>
      </c>
    </row>
    <row r="73" spans="3:9" hidden="1" outlineLevel="1" x14ac:dyDescent="0.3">
      <c r="C73" s="1037"/>
      <c r="D73" s="1038"/>
      <c r="E73" s="1039"/>
      <c r="F73" s="1039"/>
      <c r="G73" s="1039"/>
      <c r="H73" s="1040"/>
      <c r="I73" s="15" t="str">
        <f t="shared" si="1"/>
        <v/>
      </c>
    </row>
    <row r="74" spans="3:9" hidden="1" outlineLevel="1" x14ac:dyDescent="0.3">
      <c r="C74" s="1037"/>
      <c r="D74" s="1038"/>
      <c r="E74" s="1039"/>
      <c r="F74" s="1039"/>
      <c r="G74" s="1039"/>
      <c r="H74" s="1040"/>
      <c r="I74" s="15" t="str">
        <f t="shared" si="1"/>
        <v/>
      </c>
    </row>
    <row r="75" spans="3:9" hidden="1" outlineLevel="1" x14ac:dyDescent="0.3">
      <c r="C75" s="1037"/>
      <c r="D75" s="1038"/>
      <c r="E75" s="1039"/>
      <c r="F75" s="1039"/>
      <c r="G75" s="1039"/>
      <c r="H75" s="1040"/>
      <c r="I75" s="15" t="str">
        <f t="shared" si="1"/>
        <v/>
      </c>
    </row>
    <row r="76" spans="3:9" hidden="1" outlineLevel="1" x14ac:dyDescent="0.3">
      <c r="C76" s="1037"/>
      <c r="D76" s="1038"/>
      <c r="E76" s="1039"/>
      <c r="F76" s="1039"/>
      <c r="G76" s="1039"/>
      <c r="H76" s="1040"/>
      <c r="I76" s="15" t="str">
        <f t="shared" si="1"/>
        <v/>
      </c>
    </row>
    <row r="77" spans="3:9" hidden="1" outlineLevel="1" x14ac:dyDescent="0.3">
      <c r="C77" s="1037"/>
      <c r="D77" s="1038"/>
      <c r="E77" s="1039"/>
      <c r="F77" s="1039"/>
      <c r="G77" s="1039"/>
      <c r="H77" s="1040"/>
      <c r="I77" s="15" t="str">
        <f t="shared" si="1"/>
        <v/>
      </c>
    </row>
    <row r="78" spans="3:9" hidden="1" outlineLevel="1" x14ac:dyDescent="0.3">
      <c r="C78" s="1037"/>
      <c r="D78" s="1038"/>
      <c r="E78" s="1039"/>
      <c r="F78" s="1039"/>
      <c r="G78" s="1039"/>
      <c r="H78" s="1040"/>
      <c r="I78" s="15" t="str">
        <f t="shared" si="1"/>
        <v/>
      </c>
    </row>
    <row r="79" spans="3:9" hidden="1" outlineLevel="1" x14ac:dyDescent="0.3">
      <c r="C79" s="1037"/>
      <c r="D79" s="1038"/>
      <c r="E79" s="1039"/>
      <c r="F79" s="1039"/>
      <c r="G79" s="1039"/>
      <c r="H79" s="1040"/>
      <c r="I79" s="15" t="str">
        <f t="shared" si="1"/>
        <v/>
      </c>
    </row>
    <row r="80" spans="3:9" hidden="1" outlineLevel="1" x14ac:dyDescent="0.3">
      <c r="C80" s="1037"/>
      <c r="D80" s="1038"/>
      <c r="E80" s="1039"/>
      <c r="F80" s="1039"/>
      <c r="G80" s="1039"/>
      <c r="H80" s="1040"/>
      <c r="I80" s="15" t="str">
        <f t="shared" si="1"/>
        <v/>
      </c>
    </row>
    <row r="81" spans="3:9" hidden="1" outlineLevel="1" x14ac:dyDescent="0.3">
      <c r="C81" s="1037"/>
      <c r="D81" s="1038"/>
      <c r="E81" s="1039"/>
      <c r="F81" s="1039"/>
      <c r="G81" s="1039"/>
      <c r="H81" s="1040"/>
      <c r="I81" s="15" t="str">
        <f t="shared" si="1"/>
        <v/>
      </c>
    </row>
    <row r="82" spans="3:9" hidden="1" outlineLevel="1" x14ac:dyDescent="0.3">
      <c r="C82" s="1037"/>
      <c r="D82" s="1038"/>
      <c r="E82" s="1039"/>
      <c r="F82" s="1039"/>
      <c r="G82" s="1039"/>
      <c r="H82" s="1040"/>
      <c r="I82" s="15" t="str">
        <f t="shared" si="1"/>
        <v/>
      </c>
    </row>
    <row r="83" spans="3:9" hidden="1" outlineLevel="1" x14ac:dyDescent="0.3">
      <c r="C83" s="1037"/>
      <c r="D83" s="1038"/>
      <c r="E83" s="1039"/>
      <c r="F83" s="1039"/>
      <c r="G83" s="1039"/>
      <c r="H83" s="1040"/>
      <c r="I83" s="15" t="str">
        <f t="shared" si="1"/>
        <v/>
      </c>
    </row>
    <row r="84" spans="3:9" hidden="1" outlineLevel="1" x14ac:dyDescent="0.3">
      <c r="C84" s="1037"/>
      <c r="D84" s="1038"/>
      <c r="E84" s="1039"/>
      <c r="F84" s="1039"/>
      <c r="G84" s="1039"/>
      <c r="H84" s="1040"/>
      <c r="I84" s="15" t="str">
        <f t="shared" si="1"/>
        <v/>
      </c>
    </row>
    <row r="85" spans="3:9" hidden="1" outlineLevel="1" x14ac:dyDescent="0.3">
      <c r="C85" s="1037"/>
      <c r="D85" s="1038"/>
      <c r="E85" s="1039"/>
      <c r="F85" s="1039"/>
      <c r="G85" s="1039"/>
      <c r="H85" s="1040"/>
      <c r="I85" s="15" t="str">
        <f t="shared" si="1"/>
        <v/>
      </c>
    </row>
    <row r="86" spans="3:9" hidden="1" outlineLevel="1" x14ac:dyDescent="0.3">
      <c r="C86" s="1037"/>
      <c r="D86" s="1038"/>
      <c r="E86" s="1039"/>
      <c r="F86" s="1039"/>
      <c r="G86" s="1039"/>
      <c r="H86" s="1040"/>
      <c r="I86" s="15" t="str">
        <f t="shared" si="1"/>
        <v/>
      </c>
    </row>
    <row r="87" spans="3:9" hidden="1" outlineLevel="1" x14ac:dyDescent="0.3">
      <c r="C87" s="1037"/>
      <c r="D87" s="1038"/>
      <c r="E87" s="1039"/>
      <c r="F87" s="1039"/>
      <c r="G87" s="1039"/>
      <c r="H87" s="1040"/>
      <c r="I87" s="15" t="str">
        <f t="shared" si="1"/>
        <v/>
      </c>
    </row>
    <row r="88" spans="3:9" hidden="1" outlineLevel="1" x14ac:dyDescent="0.3">
      <c r="C88" s="1037"/>
      <c r="D88" s="1038"/>
      <c r="E88" s="1039"/>
      <c r="F88" s="1039"/>
      <c r="G88" s="1039"/>
      <c r="H88" s="1040"/>
      <c r="I88" s="15" t="str">
        <f t="shared" si="1"/>
        <v/>
      </c>
    </row>
    <row r="89" spans="3:9" hidden="1" outlineLevel="1" x14ac:dyDescent="0.3">
      <c r="C89" s="1037"/>
      <c r="D89" s="1038"/>
      <c r="E89" s="1039"/>
      <c r="F89" s="1039"/>
      <c r="G89" s="1039"/>
      <c r="H89" s="1040"/>
      <c r="I89" s="15" t="str">
        <f t="shared" si="1"/>
        <v/>
      </c>
    </row>
    <row r="90" spans="3:9" hidden="1" outlineLevel="1" x14ac:dyDescent="0.3">
      <c r="C90" s="1037"/>
      <c r="D90" s="1038"/>
      <c r="E90" s="1039"/>
      <c r="F90" s="1039"/>
      <c r="G90" s="1039"/>
      <c r="H90" s="1040"/>
      <c r="I90" s="15" t="str">
        <f t="shared" si="1"/>
        <v/>
      </c>
    </row>
    <row r="91" spans="3:9" hidden="1" outlineLevel="1" x14ac:dyDescent="0.3">
      <c r="C91" s="1037"/>
      <c r="D91" s="1038"/>
      <c r="E91" s="1039"/>
      <c r="F91" s="1039"/>
      <c r="G91" s="1039"/>
      <c r="H91" s="1040"/>
      <c r="I91" s="15" t="str">
        <f t="shared" si="1"/>
        <v/>
      </c>
    </row>
    <row r="92" spans="3:9" hidden="1" outlineLevel="1" x14ac:dyDescent="0.3">
      <c r="C92" s="1037"/>
      <c r="D92" s="1038"/>
      <c r="E92" s="1039"/>
      <c r="F92" s="1039"/>
      <c r="G92" s="1039"/>
      <c r="H92" s="1040"/>
      <c r="I92" s="15" t="str">
        <f t="shared" si="1"/>
        <v/>
      </c>
    </row>
    <row r="93" spans="3:9" hidden="1" outlineLevel="1" x14ac:dyDescent="0.3">
      <c r="C93" s="1037"/>
      <c r="D93" s="1038"/>
      <c r="E93" s="1039"/>
      <c r="F93" s="1039"/>
      <c r="G93" s="1039"/>
      <c r="H93" s="1040"/>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3">
      <c r="C94" s="1037"/>
      <c r="D94" s="1038"/>
      <c r="E94" s="1039"/>
      <c r="F94" s="1039"/>
      <c r="G94" s="1039"/>
      <c r="H94" s="1040"/>
      <c r="I94" s="15" t="str">
        <f t="shared" si="2"/>
        <v/>
      </c>
    </row>
    <row r="95" spans="3:9" hidden="1" outlineLevel="1" x14ac:dyDescent="0.3">
      <c r="C95" s="1037"/>
      <c r="D95" s="1038"/>
      <c r="E95" s="1039"/>
      <c r="F95" s="1039"/>
      <c r="G95" s="1039"/>
      <c r="H95" s="1040"/>
      <c r="I95" s="15" t="str">
        <f t="shared" si="2"/>
        <v/>
      </c>
    </row>
    <row r="96" spans="3:9" hidden="1" outlineLevel="1" x14ac:dyDescent="0.3">
      <c r="C96" s="1037"/>
      <c r="D96" s="1038"/>
      <c r="E96" s="1039"/>
      <c r="F96" s="1039"/>
      <c r="G96" s="1039"/>
      <c r="H96" s="1040"/>
      <c r="I96" s="15" t="str">
        <f t="shared" si="2"/>
        <v/>
      </c>
    </row>
    <row r="97" spans="3:9" hidden="1" outlineLevel="1" x14ac:dyDescent="0.3">
      <c r="C97" s="1037"/>
      <c r="D97" s="1038"/>
      <c r="E97" s="1039"/>
      <c r="F97" s="1039"/>
      <c r="G97" s="1039"/>
      <c r="H97" s="1040"/>
      <c r="I97" s="15" t="str">
        <f t="shared" si="2"/>
        <v/>
      </c>
    </row>
    <row r="98" spans="3:9" hidden="1" outlineLevel="1" x14ac:dyDescent="0.3">
      <c r="C98" s="1037"/>
      <c r="D98" s="1038"/>
      <c r="E98" s="1039"/>
      <c r="F98" s="1039"/>
      <c r="G98" s="1039"/>
      <c r="H98" s="1040"/>
      <c r="I98" s="15" t="str">
        <f t="shared" si="2"/>
        <v/>
      </c>
    </row>
    <row r="99" spans="3:9" hidden="1" outlineLevel="1" x14ac:dyDescent="0.3">
      <c r="C99" s="1037"/>
      <c r="D99" s="1038"/>
      <c r="E99" s="1039"/>
      <c r="F99" s="1039"/>
      <c r="G99" s="1039"/>
      <c r="H99" s="1040"/>
      <c r="I99" s="15" t="str">
        <f t="shared" si="2"/>
        <v/>
      </c>
    </row>
    <row r="100" spans="3:9" hidden="1" outlineLevel="1" x14ac:dyDescent="0.3">
      <c r="C100" s="1037"/>
      <c r="D100" s="1038"/>
      <c r="E100" s="1039"/>
      <c r="F100" s="1039"/>
      <c r="G100" s="1039"/>
      <c r="H100" s="1040"/>
      <c r="I100" s="15" t="str">
        <f t="shared" si="2"/>
        <v/>
      </c>
    </row>
    <row r="101" spans="3:9" hidden="1" outlineLevel="1" x14ac:dyDescent="0.3">
      <c r="C101" s="1037"/>
      <c r="D101" s="1038"/>
      <c r="E101" s="1039"/>
      <c r="F101" s="1039"/>
      <c r="G101" s="1039"/>
      <c r="H101" s="1040"/>
      <c r="I101" s="15" t="str">
        <f t="shared" si="2"/>
        <v/>
      </c>
    </row>
    <row r="102" spans="3:9" hidden="1" outlineLevel="1" x14ac:dyDescent="0.3">
      <c r="C102" s="1037"/>
      <c r="D102" s="1038"/>
      <c r="E102" s="1039"/>
      <c r="F102" s="1039"/>
      <c r="G102" s="1039"/>
      <c r="H102" s="1040"/>
      <c r="I102" s="15" t="str">
        <f t="shared" si="2"/>
        <v/>
      </c>
    </row>
    <row r="103" spans="3:9" hidden="1" outlineLevel="1" x14ac:dyDescent="0.3">
      <c r="C103" s="1037"/>
      <c r="D103" s="1038"/>
      <c r="E103" s="1039"/>
      <c r="F103" s="1039"/>
      <c r="G103" s="1039"/>
      <c r="H103" s="1040"/>
      <c r="I103" s="15" t="str">
        <f t="shared" si="2"/>
        <v/>
      </c>
    </row>
    <row r="104" spans="3:9" hidden="1" outlineLevel="1" x14ac:dyDescent="0.3">
      <c r="C104" s="1037"/>
      <c r="D104" s="1038"/>
      <c r="E104" s="1039"/>
      <c r="F104" s="1039"/>
      <c r="G104" s="1039"/>
      <c r="H104" s="1040"/>
      <c r="I104" s="15" t="str">
        <f t="shared" si="2"/>
        <v/>
      </c>
    </row>
    <row r="105" spans="3:9" hidden="1" outlineLevel="1" x14ac:dyDescent="0.3">
      <c r="C105" s="1037"/>
      <c r="D105" s="1038"/>
      <c r="E105" s="1039"/>
      <c r="F105" s="1039"/>
      <c r="G105" s="1039"/>
      <c r="H105" s="1040"/>
      <c r="I105" s="15" t="str">
        <f t="shared" si="2"/>
        <v/>
      </c>
    </row>
    <row r="106" spans="3:9" hidden="1" outlineLevel="1" x14ac:dyDescent="0.3">
      <c r="C106" s="1037"/>
      <c r="D106" s="1038"/>
      <c r="E106" s="1039"/>
      <c r="F106" s="1039"/>
      <c r="G106" s="1039"/>
      <c r="H106" s="1040"/>
      <c r="I106" s="15" t="str">
        <f t="shared" si="2"/>
        <v/>
      </c>
    </row>
    <row r="107" spans="3:9" hidden="1" outlineLevel="1" x14ac:dyDescent="0.3">
      <c r="C107" s="1037"/>
      <c r="D107" s="1038"/>
      <c r="E107" s="1039"/>
      <c r="F107" s="1039"/>
      <c r="G107" s="1039"/>
      <c r="H107" s="1040"/>
      <c r="I107" s="15" t="str">
        <f t="shared" si="2"/>
        <v/>
      </c>
    </row>
    <row r="108" spans="3:9" hidden="1" outlineLevel="1" x14ac:dyDescent="0.3">
      <c r="C108" s="1037"/>
      <c r="D108" s="1038"/>
      <c r="E108" s="1039"/>
      <c r="F108" s="1039"/>
      <c r="G108" s="1039"/>
      <c r="H108" s="1040"/>
      <c r="I108" s="15" t="str">
        <f t="shared" si="2"/>
        <v/>
      </c>
    </row>
    <row r="109" spans="3:9" hidden="1" outlineLevel="1" x14ac:dyDescent="0.3">
      <c r="C109" s="1037"/>
      <c r="D109" s="1038"/>
      <c r="E109" s="1039"/>
      <c r="F109" s="1039"/>
      <c r="G109" s="1039"/>
      <c r="H109" s="1040"/>
      <c r="I109" s="15" t="str">
        <f t="shared" si="2"/>
        <v/>
      </c>
    </row>
    <row r="110" spans="3:9" hidden="1" outlineLevel="1" x14ac:dyDescent="0.3">
      <c r="C110" s="1037"/>
      <c r="D110" s="1038"/>
      <c r="E110" s="1039"/>
      <c r="F110" s="1039"/>
      <c r="G110" s="1039"/>
      <c r="H110" s="1040"/>
      <c r="I110" s="15" t="str">
        <f t="shared" si="2"/>
        <v/>
      </c>
    </row>
    <row r="111" spans="3:9" hidden="1" outlineLevel="1" x14ac:dyDescent="0.3">
      <c r="C111" s="1037"/>
      <c r="D111" s="1038"/>
      <c r="E111" s="1039"/>
      <c r="F111" s="1039"/>
      <c r="G111" s="1039"/>
      <c r="H111" s="1040"/>
      <c r="I111" s="15" t="str">
        <f t="shared" si="2"/>
        <v/>
      </c>
    </row>
    <row r="112" spans="3:9" hidden="1" outlineLevel="1" x14ac:dyDescent="0.3">
      <c r="C112" s="1037"/>
      <c r="D112" s="1038"/>
      <c r="E112" s="1039"/>
      <c r="F112" s="1039"/>
      <c r="G112" s="1039"/>
      <c r="H112" s="1040"/>
      <c r="I112" s="15" t="str">
        <f t="shared" si="2"/>
        <v/>
      </c>
    </row>
    <row r="113" spans="3:9" hidden="1" outlineLevel="1" x14ac:dyDescent="0.3">
      <c r="C113" s="1037"/>
      <c r="D113" s="1038"/>
      <c r="E113" s="1039"/>
      <c r="F113" s="1039"/>
      <c r="G113" s="1039"/>
      <c r="H113" s="1040"/>
      <c r="I113" s="15" t="str">
        <f t="shared" si="2"/>
        <v/>
      </c>
    </row>
    <row r="114" spans="3:9" hidden="1" outlineLevel="1" x14ac:dyDescent="0.3">
      <c r="C114" s="1037"/>
      <c r="D114" s="1038"/>
      <c r="E114" s="1039"/>
      <c r="F114" s="1039"/>
      <c r="G114" s="1039"/>
      <c r="H114" s="1040"/>
      <c r="I114" s="15" t="str">
        <f t="shared" si="2"/>
        <v/>
      </c>
    </row>
    <row r="115" spans="3:9" hidden="1" outlineLevel="1" x14ac:dyDescent="0.3">
      <c r="C115" s="1037"/>
      <c r="D115" s="1038"/>
      <c r="E115" s="1039"/>
      <c r="F115" s="1039"/>
      <c r="G115" s="1039"/>
      <c r="H115" s="1040"/>
      <c r="I115" s="15" t="str">
        <f t="shared" si="2"/>
        <v/>
      </c>
    </row>
    <row r="116" spans="3:9" hidden="1" outlineLevel="1" x14ac:dyDescent="0.3">
      <c r="C116" s="1037"/>
      <c r="D116" s="1038"/>
      <c r="E116" s="1039"/>
      <c r="F116" s="1039"/>
      <c r="G116" s="1039"/>
      <c r="H116" s="1040"/>
      <c r="I116" s="15" t="str">
        <f t="shared" si="2"/>
        <v/>
      </c>
    </row>
    <row r="117" spans="3:9" hidden="1" outlineLevel="1" x14ac:dyDescent="0.3">
      <c r="C117" s="1037"/>
      <c r="D117" s="1038"/>
      <c r="E117" s="1039"/>
      <c r="F117" s="1039"/>
      <c r="G117" s="1039"/>
      <c r="H117" s="1040"/>
      <c r="I117" s="15" t="str">
        <f t="shared" si="2"/>
        <v/>
      </c>
    </row>
    <row r="118" spans="3:9" hidden="1" outlineLevel="1" x14ac:dyDescent="0.3">
      <c r="C118" s="1037"/>
      <c r="D118" s="1038"/>
      <c r="E118" s="1039"/>
      <c r="F118" s="1039"/>
      <c r="G118" s="1039"/>
      <c r="H118" s="1040"/>
      <c r="I118" s="15" t="str">
        <f t="shared" si="2"/>
        <v/>
      </c>
    </row>
    <row r="119" spans="3:9" hidden="1" outlineLevel="1" x14ac:dyDescent="0.3">
      <c r="C119" s="1037"/>
      <c r="D119" s="1038"/>
      <c r="E119" s="1039"/>
      <c r="F119" s="1039"/>
      <c r="G119" s="1039"/>
      <c r="H119" s="1040"/>
      <c r="I119" s="15" t="str">
        <f t="shared" si="2"/>
        <v/>
      </c>
    </row>
    <row r="120" spans="3:9" hidden="1" outlineLevel="1" x14ac:dyDescent="0.3">
      <c r="C120" s="1037"/>
      <c r="D120" s="1038"/>
      <c r="E120" s="1039"/>
      <c r="F120" s="1039"/>
      <c r="G120" s="1039"/>
      <c r="H120" s="1040"/>
      <c r="I120" s="15" t="str">
        <f t="shared" si="2"/>
        <v/>
      </c>
    </row>
    <row r="121" spans="3:9" hidden="1" outlineLevel="1" x14ac:dyDescent="0.3">
      <c r="C121" s="1037"/>
      <c r="D121" s="1038"/>
      <c r="E121" s="1039"/>
      <c r="F121" s="1039"/>
      <c r="G121" s="1039"/>
      <c r="H121" s="1040"/>
      <c r="I121" s="15" t="str">
        <f t="shared" si="2"/>
        <v/>
      </c>
    </row>
    <row r="122" spans="3:9" hidden="1" outlineLevel="1" x14ac:dyDescent="0.3">
      <c r="C122" s="1037"/>
      <c r="D122" s="1038"/>
      <c r="E122" s="1039"/>
      <c r="F122" s="1039"/>
      <c r="G122" s="1039"/>
      <c r="H122" s="1040"/>
      <c r="I122" s="15" t="str">
        <f t="shared" si="2"/>
        <v/>
      </c>
    </row>
    <row r="123" spans="3:9" hidden="1" outlineLevel="1" x14ac:dyDescent="0.3">
      <c r="C123" s="1037"/>
      <c r="D123" s="1038"/>
      <c r="E123" s="1039"/>
      <c r="F123" s="1039"/>
      <c r="G123" s="1039"/>
      <c r="H123" s="1040"/>
      <c r="I123" s="15" t="str">
        <f t="shared" si="2"/>
        <v/>
      </c>
    </row>
    <row r="124" spans="3:9" hidden="1" outlineLevel="1" x14ac:dyDescent="0.3">
      <c r="C124" s="1037"/>
      <c r="D124" s="1038"/>
      <c r="E124" s="1039"/>
      <c r="F124" s="1039"/>
      <c r="G124" s="1039"/>
      <c r="H124" s="1040"/>
      <c r="I124" s="15" t="str">
        <f t="shared" si="2"/>
        <v/>
      </c>
    </row>
    <row r="125" spans="3:9" hidden="1" outlineLevel="1" x14ac:dyDescent="0.3">
      <c r="C125" s="1037"/>
      <c r="D125" s="1038"/>
      <c r="E125" s="1039"/>
      <c r="F125" s="1039"/>
      <c r="G125" s="1039"/>
      <c r="H125" s="1040"/>
      <c r="I125" s="15" t="str">
        <f t="shared" si="2"/>
        <v/>
      </c>
    </row>
    <row r="126" spans="3:9" hidden="1" outlineLevel="1" x14ac:dyDescent="0.3">
      <c r="C126" s="1037"/>
      <c r="D126" s="1038"/>
      <c r="E126" s="1039"/>
      <c r="F126" s="1039"/>
      <c r="G126" s="1039"/>
      <c r="H126" s="1040"/>
      <c r="I126" s="15" t="str">
        <f t="shared" si="2"/>
        <v/>
      </c>
    </row>
    <row r="127" spans="3:9" hidden="1" outlineLevel="1" x14ac:dyDescent="0.3">
      <c r="C127" s="1037"/>
      <c r="D127" s="1038"/>
      <c r="E127" s="1039"/>
      <c r="F127" s="1039"/>
      <c r="G127" s="1039"/>
      <c r="H127" s="1040"/>
      <c r="I127" s="15" t="str">
        <f t="shared" si="2"/>
        <v/>
      </c>
    </row>
    <row r="128" spans="3:9" hidden="1" outlineLevel="1" x14ac:dyDescent="0.3">
      <c r="C128" s="1037"/>
      <c r="D128" s="1038"/>
      <c r="E128" s="1039"/>
      <c r="F128" s="1039"/>
      <c r="G128" s="1039"/>
      <c r="H128" s="1040"/>
      <c r="I128" s="15" t="str">
        <f t="shared" si="2"/>
        <v/>
      </c>
    </row>
    <row r="129" spans="1:10" ht="15" collapsed="1" thickBot="1" x14ac:dyDescent="0.35">
      <c r="C129" s="1041" t="str">
        <f>template_label_total_employees</f>
        <v>Total employees (linked to B1)</v>
      </c>
      <c r="D129" s="1042"/>
      <c r="E129" s="1043" t="str">
        <f>IF('General Information'!$E$328="","-",'General Information'!$E$328)</f>
        <v>-</v>
      </c>
      <c r="F129" s="1043"/>
      <c r="G129" s="1043"/>
      <c r="H129" s="1044"/>
      <c r="I129" s="15"/>
    </row>
    <row r="130" spans="1:10" ht="15" thickBot="1" x14ac:dyDescent="0.35"/>
    <row r="131" spans="1:10" x14ac:dyDescent="0.3">
      <c r="C131" s="1045"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 to - [If applicable]</v>
      </c>
      <c r="D131" s="1046"/>
      <c r="E131" s="1046"/>
      <c r="F131" s="1046"/>
      <c r="G131" s="1046"/>
      <c r="H131" s="1047"/>
    </row>
    <row r="132" spans="1:10" x14ac:dyDescent="0.3">
      <c r="C132" s="576">
        <v>40</v>
      </c>
      <c r="D132" s="577"/>
      <c r="E132" s="577"/>
      <c r="F132" s="577"/>
      <c r="G132" s="577"/>
      <c r="H132" s="578"/>
    </row>
    <row r="133" spans="1:10" x14ac:dyDescent="0.3">
      <c r="C133" s="561">
        <v>118</v>
      </c>
      <c r="D133" s="562"/>
      <c r="E133" s="562"/>
      <c r="F133" s="562"/>
      <c r="G133" s="562"/>
      <c r="H133" s="563"/>
    </row>
    <row r="134" spans="1:10" x14ac:dyDescent="0.3">
      <c r="C134" s="154" t="str">
        <f>template_label_number_of_employees_who_left_during_the_reporting_period</f>
        <v>Number of employees who left during the reporting period</v>
      </c>
      <c r="D134" s="1033"/>
      <c r="E134" s="1033"/>
      <c r="F134" s="1033"/>
      <c r="G134" s="1033"/>
      <c r="H134" s="1034"/>
      <c r="I134" s="15" t="str">
        <f>IF(
    AND('General Information'!$E$328&lt;50, D134=""),
    "",
    IF(
        AND('General Information'!$E$328&lt;50, D134&lt;&gt;""),
        template_label_ok,
        IF(
            AND('General Information'!$E$328&gt;=50, D134&lt;&gt;""),
            template_label_ok,
            template_label_missing_value
        )
    )
)</f>
        <v/>
      </c>
    </row>
    <row r="135" spans="1:10" x14ac:dyDescent="0.3">
      <c r="C135" s="154" t="str">
        <f>template_label_number_of_employees_at_the_beginning_of_the_reporting_period</f>
        <v>Number of employees at the beginning of the reporting period</v>
      </c>
      <c r="D135" s="1033"/>
      <c r="E135" s="1033"/>
      <c r="F135" s="1033"/>
      <c r="G135" s="1033"/>
      <c r="H135" s="1034"/>
      <c r="I135" s="15" t="str">
        <f>IF(
    AND('General Information'!$E$328&lt;50, D135=""),
    "",
    IF(
        AND('General Information'!$E$328&lt;50, D135&lt;&gt;""),
        template_label_ok,
        IF(
            AND('General Information'!$E$328&gt;=50, D135&lt;&gt;""),
            template_label_ok,
            template_label_missing_value
        )
    )
)</f>
        <v/>
      </c>
    </row>
    <row r="136" spans="1:10" x14ac:dyDescent="0.3">
      <c r="C136" s="154" t="str">
        <f>template_label_number_of_employees_at_the_end_of_the_reporting_period</f>
        <v>Number of employees at the end of the reporting period</v>
      </c>
      <c r="D136" s="1033"/>
      <c r="E136" s="1033"/>
      <c r="F136" s="1033"/>
      <c r="G136" s="1033"/>
      <c r="H136" s="1034"/>
      <c r="I136" s="15" t="str">
        <f>IF(
    AND('General Information'!$E$328&lt;50, D136=""),
    "",
    IF(
        AND('General Information'!$E$328&lt;50, D136&lt;&gt;""),
        template_label_ok,
        IF(
            AND('General Information'!$E$328&gt;=50, D136&lt;&gt;""),
            template_label_ok,
            template_label_missing_value
        )
    )
)</f>
        <v/>
      </c>
    </row>
    <row r="137" spans="1:10" ht="15" thickBot="1" x14ac:dyDescent="0.35">
      <c r="C137" s="100" t="str">
        <f>template_label_employee_turnover_rate_in_the_reporting_period</f>
        <v>Employee turnover rate [%]  in the reporting period</v>
      </c>
      <c r="D137" s="1035" t="str">
        <f>IF(AND(D134&lt;&gt;"",D135&lt;&gt;"",D136&lt;&gt;""),(D134/((D135+D136)/2)),"-")</f>
        <v>-</v>
      </c>
      <c r="E137" s="1035"/>
      <c r="F137" s="1035"/>
      <c r="G137" s="1035"/>
      <c r="H137" s="1036"/>
    </row>
    <row r="138" spans="1:10" ht="15" thickBot="1" x14ac:dyDescent="0.35"/>
    <row r="139" spans="1:10" ht="15" thickBot="1" x14ac:dyDescent="0.35">
      <c r="C139" s="555" t="str">
        <f>template_label_b9_workforce_health_and_safety&amp;" "&amp;template_label_from&amp;" "&amp;template_starting_date_display&amp;" "&amp;template_label_to&amp;" "&amp;template_ending_date_display&amp;" "&amp;template_label_always_to_be_reported</f>
        <v>B9 – Workforce – Health and safety from - to - [Always to be reported]</v>
      </c>
      <c r="D139" s="556"/>
      <c r="E139" s="556"/>
      <c r="F139" s="556"/>
      <c r="G139" s="556"/>
      <c r="H139" s="557"/>
    </row>
    <row r="140" spans="1:10" x14ac:dyDescent="0.3">
      <c r="A140" s="460" t="s">
        <v>3757</v>
      </c>
      <c r="B140" s="463" t="s">
        <v>5658</v>
      </c>
      <c r="C140" s="259" t="str">
        <f>template_label_number_of_recordable_work_related_accidents_in_the_reporting_period</f>
        <v>Number of recordable work-related accidents in the reporting period</v>
      </c>
      <c r="D140" s="1022"/>
      <c r="E140" s="1022"/>
      <c r="F140" s="1022"/>
      <c r="G140" s="1022"/>
      <c r="H140" s="1023"/>
      <c r="I140" s="15" t="str">
        <f>IF(
    AND(
        OR('General Information'!E122="Option A (Basic Module only)", 'General Information'!E122="Option B (Basic Module and Comprehensive Module)"),
        NumberOfRecordableWorkRelatedAccidentsInTheReportingPeriod=""
    ),
    template_label_missing_value,
    IF('General Information'!E122="", "", template_label_ok)
)</f>
        <v/>
      </c>
    </row>
    <row r="141" spans="1:10" x14ac:dyDescent="0.3">
      <c r="A141" s="460" t="s">
        <v>3757</v>
      </c>
      <c r="B141" s="463" t="s">
        <v>5658</v>
      </c>
      <c r="C141" s="155" t="str">
        <f>template_label_number_of_hours_worked_by_one_fulltime_employee_in_the_reporting_period</f>
        <v>Number of hours worked by  one full-time employee in the reporting period</v>
      </c>
      <c r="D141" s="1024">
        <v>2000</v>
      </c>
      <c r="E141" s="1025"/>
      <c r="F141" s="1025"/>
      <c r="G141" s="1025"/>
      <c r="H141" s="1026"/>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460" t="s">
        <v>3757</v>
      </c>
      <c r="B142" s="463" t="s">
        <v>5658</v>
      </c>
      <c r="C142" s="155" t="str">
        <f>template_label_total_number_of_hours_worked_in_a_year_by_all_employees_in_the_reporting_period</f>
        <v>Total number of hours worked in a year by all employees in the reporting period</v>
      </c>
      <c r="D142" s="1027" t="str">
        <f>IF('General Information'!E328="","-",D141*'General Information'!E328)</f>
        <v>-</v>
      </c>
      <c r="E142" s="1028"/>
      <c r="F142" s="1028"/>
      <c r="G142" s="1028"/>
      <c r="H142" s="1029"/>
      <c r="I142" s="15"/>
    </row>
    <row r="143" spans="1:10" ht="15" thickBot="1" x14ac:dyDescent="0.35">
      <c r="A143" s="460" t="s">
        <v>3757</v>
      </c>
      <c r="B143" s="463" t="s">
        <v>5658</v>
      </c>
      <c r="C143" s="214" t="str">
        <f>template_label_rate_of_recordable_work_related_accidents_in_the_reporting_period</f>
        <v>Rate of recordable work-related accidents in the reporting period</v>
      </c>
      <c r="D143" s="1030" t="str">
        <f>IFERROR(IF(AND(D140&lt;&gt;"", D142&lt;&gt;""), ($D$140/$D$142)*200000, "-"), "-")</f>
        <v>-</v>
      </c>
      <c r="E143" s="1031"/>
      <c r="F143" s="1031"/>
      <c r="G143" s="1031"/>
      <c r="H143" s="1032"/>
    </row>
    <row r="144" spans="1:10" ht="15" thickBot="1" x14ac:dyDescent="0.35">
      <c r="A144" s="460" t="s">
        <v>3758</v>
      </c>
      <c r="B144" s="463" t="s">
        <v>5658</v>
      </c>
      <c r="C144" s="213" t="str">
        <f>template_label_number_of_fatalities_as_a_result_of_work_related_injuries_and_work_related_ill_health</f>
        <v>Number of fatalities as a result of work-related injuries and work-related ill health</v>
      </c>
      <c r="D144" s="1015"/>
      <c r="E144" s="1015"/>
      <c r="F144" s="1015"/>
      <c r="G144" s="1015"/>
      <c r="H144" s="1016"/>
      <c r="I144" s="15" t="str">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
      </c>
    </row>
    <row r="145" spans="1:9" ht="15" thickBot="1" x14ac:dyDescent="0.35"/>
    <row r="146" spans="1:9" x14ac:dyDescent="0.3">
      <c r="C146" s="1012"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 to - [Always to be reported + If applicable]</v>
      </c>
      <c r="D146" s="1013"/>
      <c r="E146" s="1013"/>
      <c r="F146" s="1013"/>
      <c r="G146" s="1013"/>
      <c r="H146" s="1014"/>
    </row>
    <row r="147" spans="1:9" ht="29.4" thickBot="1" x14ac:dyDescent="0.35">
      <c r="A147" s="460" t="s">
        <v>3759</v>
      </c>
      <c r="B147" s="460" t="s">
        <v>5659</v>
      </c>
      <c r="C147" s="211" t="str">
        <f>template_label_employees_receive_pay_that_is_equal_or_above_applicable_minimum_wage</f>
        <v>Employees receive pay that is equal or above applicable minimum wage determined directly by the national minimum wage law or through a collective bargaining agreement</v>
      </c>
      <c r="D147" s="1017"/>
      <c r="E147" s="1017"/>
      <c r="F147" s="1017"/>
      <c r="G147" s="1017"/>
      <c r="H147" s="1018"/>
      <c r="I147" s="15" t="str">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
      </c>
    </row>
    <row r="148" spans="1:9" x14ac:dyDescent="0.3">
      <c r="A148" s="470" t="s">
        <v>3760</v>
      </c>
      <c r="B148" s="472" t="s">
        <v>5660</v>
      </c>
      <c r="C148" s="212" t="str">
        <f>template_label_average_gross_hourly_pay_level_of_male_employees &amp; " " &amp; "(" &amp; template_label_amount_in &amp; " " &amp; template_currency &amp; ")"</f>
        <v>Average gross hourly pay level of male employees (amount in )</v>
      </c>
      <c r="D148" s="991"/>
      <c r="E148" s="992"/>
      <c r="F148" s="992"/>
      <c r="G148" s="992"/>
      <c r="H148" s="993"/>
      <c r="I148" s="15" t="str">
        <f>IF(
    AND('General Information'!$E$328&lt;150, D148=""),
    "",
    IF(
        AND('General Information'!$E$328&lt;150, D148&lt;&gt;""),
        template_label_ok,
        IF(
            AND('General Information'!$E$328&gt;=150, D148&lt;&gt;""),
            template_label_ok,
            template_label_missing_value
        )
    )
)</f>
        <v/>
      </c>
    </row>
    <row r="149" spans="1:9" x14ac:dyDescent="0.3">
      <c r="A149" s="470" t="s">
        <v>3760</v>
      </c>
      <c r="B149" s="472" t="s">
        <v>5660</v>
      </c>
      <c r="C149" s="156" t="str">
        <f>template_label_average_gross_hourly_pay_level_of_female_employees &amp; " " &amp; "(" &amp; template_label_amount_in &amp; " " &amp; template_currency &amp; ")"</f>
        <v>Average gross hourly pay level of female employees (amount in )</v>
      </c>
      <c r="D149" s="994"/>
      <c r="E149" s="995"/>
      <c r="F149" s="995"/>
      <c r="G149" s="995"/>
      <c r="H149" s="996"/>
      <c r="I149" s="15" t="str">
        <f>IF(
    AND('General Information'!$E$328&lt;150, D149=""),
    "",
    IF(
        AND('General Information'!$E$328&lt;150, D149&lt;&gt;""),
        template_label_ok,
        IF(
            AND('General Information'!$E$328&gt;=150, D149&lt;&gt;""),
            template_label_ok,
            template_label_missing_value
        )
    )
)</f>
        <v/>
      </c>
    </row>
    <row r="150" spans="1:9" ht="15" thickBot="1" x14ac:dyDescent="0.35">
      <c r="A150" s="470" t="s">
        <v>3760</v>
      </c>
      <c r="B150" s="472" t="s">
        <v>5660</v>
      </c>
      <c r="C150" s="157" t="str">
        <f>template_label_percentage_gap_in_pay_between_the__undertakings_female_and_male_employees</f>
        <v>Percentage gap in pay between the  undertaking's female and male employees [%]</v>
      </c>
      <c r="D150" s="1019" t="str">
        <f>IF(AND(D148&lt;&gt;"",D149&lt;&gt;""),((D148-D149)/D148),"-")</f>
        <v>-</v>
      </c>
      <c r="E150" s="1020"/>
      <c r="F150" s="1020"/>
      <c r="G150" s="1020"/>
      <c r="H150" s="1021"/>
    </row>
    <row r="151" spans="1:9" x14ac:dyDescent="0.3">
      <c r="A151" s="636" t="s">
        <v>3761</v>
      </c>
      <c r="B151" s="1005" t="s">
        <v>5661</v>
      </c>
      <c r="C151" s="210" t="str">
        <f>template_label_number_of_employees_covered_by_collective_bargaining_agreements</f>
        <v>Number of employees covered by collective bargaining agreements</v>
      </c>
      <c r="D151" s="1006"/>
      <c r="E151" s="1007"/>
      <c r="F151" s="1007"/>
      <c r="G151" s="1007"/>
      <c r="H151" s="1008"/>
      <c r="I151" s="15" t="str">
        <f>IF(
    AND(
        OR('General Information'!E122="Option A (Basic Module only)", 'General Information'!E122="Option B (Basic Module and Comprehensive Module)"),
        D151=""
    ),
    template_label_missing_value,
    IF('General Information'!E122="", "", template_label_ok)
)</f>
        <v/>
      </c>
    </row>
    <row r="152" spans="1:9" ht="15" thickBot="1" x14ac:dyDescent="0.35">
      <c r="A152" s="1004"/>
      <c r="B152" s="751"/>
      <c r="C152" s="157" t="str">
        <f>template_label_percentage_of_employees_covered_by_collective_bargaining_agreements</f>
        <v>Percentage of employees covered by collective bargaining agreements [%]</v>
      </c>
      <c r="D152" s="1009" t="str">
        <f>IF(D151&lt;&gt;"", IF('General Information'!E328=0, "-", D151/'General Information'!E328), "-")</f>
        <v>-</v>
      </c>
      <c r="E152" s="1010"/>
      <c r="F152" s="1010"/>
      <c r="G152" s="1010"/>
      <c r="H152" s="1011"/>
    </row>
    <row r="153" spans="1:9" ht="15" thickBot="1" x14ac:dyDescent="0.35"/>
    <row r="154" spans="1:9" x14ac:dyDescent="0.3">
      <c r="C154" s="1012" t="str">
        <f>template_label_number_of_annual_training_hours_per_employee_during_the_reporting_period&amp;" "&amp;template_label_from&amp;" "&amp;template_starting_date_display&amp;" "&amp;template_label_to&amp;" "&amp;template_ending_date_display&amp;" "&amp;template_label_always_to_be_reported</f>
        <v>B10 – Number of annual training hours per employee during the reporting period from - to - [Always to be reported]</v>
      </c>
      <c r="D154" s="1013"/>
      <c r="E154" s="1013"/>
      <c r="F154" s="1013"/>
      <c r="G154" s="1013"/>
      <c r="H154" s="1014"/>
    </row>
    <row r="155" spans="1:9" x14ac:dyDescent="0.3">
      <c r="C155" s="576" t="s">
        <v>3762</v>
      </c>
      <c r="D155" s="577"/>
      <c r="E155" s="577"/>
      <c r="F155" s="577"/>
      <c r="G155" s="577"/>
      <c r="H155" s="578"/>
    </row>
    <row r="156" spans="1:9" x14ac:dyDescent="0.3">
      <c r="C156" s="152" t="str">
        <f>template_label_gender</f>
        <v>Gender</v>
      </c>
      <c r="D156" s="1000" t="str">
        <f>template_label_number_of_annual_training_hours_per_employee_during_the_reporting_period</f>
        <v>B10 – Number of annual training hours per employee during the reporting period</v>
      </c>
      <c r="E156" s="1000"/>
      <c r="F156" s="1000"/>
      <c r="G156" s="1000"/>
      <c r="H156" s="1001"/>
      <c r="I156" s="15"/>
    </row>
    <row r="157" spans="1:9" x14ac:dyDescent="0.3">
      <c r="C157" s="153" t="str">
        <f>template_label_male</f>
        <v>Male</v>
      </c>
      <c r="D157" s="1002"/>
      <c r="E157" s="1002"/>
      <c r="F157" s="1002"/>
      <c r="G157" s="1002"/>
      <c r="H157" s="1003"/>
      <c r="I157" s="954" t="str">
        <f>IF(
    OR('General Information'!E122="Option A (Basic Module only)", 'General Information'!E122="Option B (Basic Module and Comprehensive Module)"),
    IF(OR(D157&lt;&gt;"", D158&lt;&gt;"", D159&lt;&gt;"", D160&lt;&gt;""), template_label_ok, template_label_missing_value),
    ""
)</f>
        <v/>
      </c>
    </row>
    <row r="158" spans="1:9" x14ac:dyDescent="0.3">
      <c r="C158" s="153" t="str">
        <f>template_label_female</f>
        <v>Female</v>
      </c>
      <c r="D158" s="1002"/>
      <c r="E158" s="1002"/>
      <c r="F158" s="1002"/>
      <c r="G158" s="1002"/>
      <c r="H158" s="1003"/>
      <c r="I158" s="954"/>
    </row>
    <row r="159" spans="1:9" x14ac:dyDescent="0.3">
      <c r="C159" s="153" t="str">
        <f>template_label_other</f>
        <v>Other</v>
      </c>
      <c r="D159" s="1002"/>
      <c r="E159" s="1002"/>
      <c r="F159" s="1002"/>
      <c r="G159" s="1002"/>
      <c r="H159" s="1003"/>
      <c r="I159" s="954"/>
    </row>
    <row r="160" spans="1:9" x14ac:dyDescent="0.3">
      <c r="C160" s="153" t="str">
        <f>template_label_not_reported</f>
        <v>Not reported</v>
      </c>
      <c r="D160" s="1002"/>
      <c r="E160" s="1002"/>
      <c r="F160" s="1002"/>
      <c r="G160" s="1002"/>
      <c r="H160" s="1003"/>
      <c r="I160" s="954"/>
    </row>
    <row r="161" spans="1:9" x14ac:dyDescent="0.3">
      <c r="C161" s="982" t="str">
        <f>template_label_average_number_of_annual_training_hours_per_employee</f>
        <v>Average number of annual training hours per employee</v>
      </c>
      <c r="D161" s="983"/>
      <c r="E161" s="983"/>
      <c r="F161" s="983"/>
      <c r="G161" s="983"/>
      <c r="H161" s="984"/>
      <c r="I161" s="15"/>
    </row>
    <row r="162" spans="1:9" ht="15" thickBot="1" x14ac:dyDescent="0.35">
      <c r="C162" s="985" t="str">
        <f>IFERROR(
    IF(
        AND(D18&lt;&gt;"",D18&lt;&gt;0,D19&lt;&gt;"",D19&lt;&gt;0,D20&lt;&gt;"",D20&lt;&gt;0,D21&lt;&gt;"",D21&lt;&gt;0),
        AVERAGE(D157:D160),
        IF(OR(D18="", D18=0), AVERAGE(D158:D160),
        IF(OR(D19="", D19=0), AVERAGE(D157,D159,D160),
        IF(OR(D20="", D20=0), AVERAGE(D157,D158,D160),
        IF(OR(D21="", D21=0), AVERAGE(D157,D158,D159), "-"))))
    ),
"-")</f>
        <v>-</v>
      </c>
      <c r="D162" s="986"/>
      <c r="E162" s="986"/>
      <c r="F162" s="986"/>
      <c r="G162" s="986"/>
      <c r="H162" s="987"/>
      <c r="I162" s="15"/>
    </row>
    <row r="163" spans="1:9" ht="15" thickBot="1" x14ac:dyDescent="0.35"/>
    <row r="164" spans="1:9" ht="15" thickBot="1" x14ac:dyDescent="0.35">
      <c r="C164" s="988" t="str">
        <f>template_label_c5_additional_workforce_characteristics&amp;" "&amp;template_label_from&amp;" "&amp;template_starting_date_display&amp;" "&amp;template_label_to&amp;" "&amp;template_ending_date_display&amp;" " &amp; template_label_may</f>
        <v>C5 – Additional (general) workforce characteristics from - to - [May (optional)]</v>
      </c>
      <c r="D164" s="989"/>
      <c r="E164" s="989"/>
      <c r="F164" s="989"/>
      <c r="G164" s="989"/>
      <c r="H164" s="990"/>
    </row>
    <row r="165" spans="1:9" x14ac:dyDescent="0.3">
      <c r="A165" s="470">
        <v>59</v>
      </c>
      <c r="B165" s="471" t="s">
        <v>5662</v>
      </c>
      <c r="C165" s="158" t="str">
        <f>template_label_number_of_male_employees_at_management_level</f>
        <v>Number of male employees at management level</v>
      </c>
      <c r="D165" s="991"/>
      <c r="E165" s="992"/>
      <c r="F165" s="992"/>
      <c r="G165" s="992"/>
      <c r="H165" s="993"/>
      <c r="I165" s="15" t="str">
        <f>IF(D165&lt;&gt;"", template_label_ok, "")</f>
        <v/>
      </c>
    </row>
    <row r="166" spans="1:9" x14ac:dyDescent="0.3">
      <c r="A166" s="470">
        <v>59</v>
      </c>
      <c r="B166" s="471" t="s">
        <v>5662</v>
      </c>
      <c r="C166" s="159" t="str">
        <f>template_label_number_of_female_employees_at_management_level</f>
        <v>Number of female employees at management level</v>
      </c>
      <c r="D166" s="994"/>
      <c r="E166" s="995"/>
      <c r="F166" s="995"/>
      <c r="G166" s="995"/>
      <c r="H166" s="996"/>
      <c r="I166" s="15" t="str">
        <f>IF(D166&lt;&gt;"", template_label_ok, "")</f>
        <v/>
      </c>
    </row>
    <row r="167" spans="1:9" ht="15" thickBot="1" x14ac:dyDescent="0.35">
      <c r="A167" s="470">
        <v>59</v>
      </c>
      <c r="B167" s="471" t="s">
        <v>5662</v>
      </c>
      <c r="C167" s="157" t="str">
        <f>template_label_female_to_male_ratio_at_management_level_for_the_reporting_period</f>
        <v>Female-to-male ratio at management level for the reporting period</v>
      </c>
      <c r="D167" s="997" t="str">
        <f>IF(AND(D165&lt;&gt;"",D166&lt;&gt;""),$D$166/$D$165,"-")</f>
        <v>-</v>
      </c>
      <c r="E167" s="998"/>
      <c r="F167" s="998"/>
      <c r="G167" s="998"/>
      <c r="H167" s="999"/>
    </row>
    <row r="168" spans="1:9" ht="28.8" x14ac:dyDescent="0.3">
      <c r="A168" s="460">
        <v>60</v>
      </c>
      <c r="B168" s="468" t="s">
        <v>5663</v>
      </c>
      <c r="C168" s="160" t="str">
        <f>template_label_total_self_employed_workers_without_personnel_that_are_working_exclusively_for_the_undertaking</f>
        <v>Total self-employed workers without personnel that are working exclusively for the undertaking</v>
      </c>
      <c r="D168" s="973"/>
      <c r="E168" s="974"/>
      <c r="F168" s="974"/>
      <c r="G168" s="974"/>
      <c r="H168" s="975"/>
      <c r="I168" s="15" t="str">
        <f>IF(D168&lt;&gt;"", template_label_ok, "")</f>
        <v/>
      </c>
    </row>
    <row r="169" spans="1:9" ht="29.4" thickBot="1" x14ac:dyDescent="0.35">
      <c r="A169" s="460">
        <v>60</v>
      </c>
      <c r="B169" s="469" t="s">
        <v>5663</v>
      </c>
      <c r="C169" s="161" t="str">
        <f>template_label_total_temporary_workers_provided_by_undertakings_primarily_engaged_in_employment_activities</f>
        <v>Total temporary workers provided by undertakings primarily engaged in employment activities</v>
      </c>
      <c r="D169" s="976"/>
      <c r="E169" s="977"/>
      <c r="F169" s="977"/>
      <c r="G169" s="977"/>
      <c r="H169" s="978"/>
      <c r="I169" s="15" t="str">
        <f>IF(D169&lt;&gt;"", template_label_ok, "")</f>
        <v/>
      </c>
    </row>
    <row r="170" spans="1:9" ht="15" thickBot="1" x14ac:dyDescent="0.35"/>
    <row r="171" spans="1:9" x14ac:dyDescent="0.3">
      <c r="C171" s="964"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 to - [Always to be reported]</v>
      </c>
      <c r="D171" s="965"/>
      <c r="E171" s="965"/>
      <c r="F171" s="965"/>
      <c r="G171" s="965"/>
      <c r="H171" s="966"/>
    </row>
    <row r="172" spans="1:9" x14ac:dyDescent="0.3">
      <c r="A172" s="460" t="s">
        <v>3763</v>
      </c>
      <c r="B172" s="468">
        <v>173</v>
      </c>
      <c r="C172" s="162" t="str">
        <f>template_label_does_the_undertaking_have_a_code_of_conduct_or_human_rights_policy_for_its_own_workforce</f>
        <v>Does the undertaking have a code of conduct or human rights policy for its own workforce?</v>
      </c>
      <c r="D172" s="979"/>
      <c r="E172" s="980"/>
      <c r="F172" s="980"/>
      <c r="G172" s="980"/>
      <c r="H172" s="981"/>
      <c r="I172" s="15" t="str">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
      </c>
    </row>
    <row r="173" spans="1:9" x14ac:dyDescent="0.3">
      <c r="A173" s="461" t="s">
        <v>3764</v>
      </c>
      <c r="B173" s="468">
        <v>173</v>
      </c>
      <c r="C173" s="126" t="str">
        <f>template_label_if_yes_does_this_cover</f>
        <v>If yes does this cover:</v>
      </c>
      <c r="D173" s="967"/>
      <c r="E173" s="968"/>
      <c r="F173" s="968"/>
      <c r="G173" s="968"/>
      <c r="H173" s="969"/>
    </row>
    <row r="174" spans="1:9" x14ac:dyDescent="0.3">
      <c r="A174" s="461" t="s">
        <v>3764</v>
      </c>
      <c r="B174" s="468">
        <v>173</v>
      </c>
      <c r="C174" s="163" t="str">
        <f>template_label_child_labour</f>
        <v>· child labour</v>
      </c>
      <c r="D174" s="970" t="b">
        <v>0</v>
      </c>
      <c r="E174" s="970"/>
      <c r="F174" s="970"/>
      <c r="G174" s="970"/>
      <c r="H174" s="971"/>
      <c r="I174" s="954"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spans="1:9" x14ac:dyDescent="0.3">
      <c r="A175" s="461" t="s">
        <v>3764</v>
      </c>
      <c r="B175" s="468">
        <v>173</v>
      </c>
      <c r="C175" s="163" t="str">
        <f>template_label_forced_labour</f>
        <v>· forced labour</v>
      </c>
      <c r="D175" s="970" t="b">
        <v>0</v>
      </c>
      <c r="E175" s="970"/>
      <c r="F175" s="970"/>
      <c r="G175" s="970"/>
      <c r="H175" s="971"/>
      <c r="I175" s="954"/>
    </row>
    <row r="176" spans="1:9" x14ac:dyDescent="0.3">
      <c r="A176" s="461" t="s">
        <v>3764</v>
      </c>
      <c r="B176" s="468">
        <v>173</v>
      </c>
      <c r="C176" s="163" t="str">
        <f>template_label_human_trafficking</f>
        <v>· human trafficking</v>
      </c>
      <c r="D176" s="970" t="b">
        <v>0</v>
      </c>
      <c r="E176" s="970"/>
      <c r="F176" s="970"/>
      <c r="G176" s="970"/>
      <c r="H176" s="971"/>
      <c r="I176" s="954"/>
    </row>
    <row r="177" spans="1:10" x14ac:dyDescent="0.3">
      <c r="A177" s="461" t="s">
        <v>3764</v>
      </c>
      <c r="B177" s="468">
        <v>173</v>
      </c>
      <c r="C177" s="163" t="str">
        <f>template_label_discrimination</f>
        <v>· discrimination</v>
      </c>
      <c r="D177" s="970" t="b">
        <v>0</v>
      </c>
      <c r="E177" s="970"/>
      <c r="F177" s="970"/>
      <c r="G177" s="970"/>
      <c r="H177" s="971"/>
      <c r="I177" s="954"/>
    </row>
    <row r="178" spans="1:10" x14ac:dyDescent="0.3">
      <c r="A178" s="461" t="s">
        <v>3764</v>
      </c>
      <c r="B178" s="468">
        <v>173</v>
      </c>
      <c r="C178" s="164" t="str">
        <f>template_label_accident_prevention</f>
        <v>· accident prevention</v>
      </c>
      <c r="D178" s="972" t="b">
        <v>0</v>
      </c>
      <c r="E178" s="970"/>
      <c r="F178" s="970"/>
      <c r="G178" s="970"/>
      <c r="H178" s="971"/>
      <c r="I178" s="954"/>
    </row>
    <row r="179" spans="1:10" x14ac:dyDescent="0.3">
      <c r="A179" s="461" t="s">
        <v>3764</v>
      </c>
      <c r="B179" s="468">
        <v>173</v>
      </c>
      <c r="C179" s="165" t="str">
        <f>template_label_other_if_yes_specify</f>
        <v>· other? ( if yes specify)</v>
      </c>
      <c r="D179" s="970" t="b">
        <v>0</v>
      </c>
      <c r="E179" s="970"/>
      <c r="F179" s="970"/>
      <c r="G179" s="970"/>
      <c r="H179" s="971"/>
      <c r="I179" s="954"/>
      <c r="J179" s="10" t="str">
        <f>template_label_other_warning</f>
        <v>ℹ️ When "other" is chosen as undertaking legal form please fill the row below</v>
      </c>
    </row>
    <row r="180" spans="1:10" ht="33.6" customHeight="1" x14ac:dyDescent="0.3">
      <c r="A180" s="461" t="s">
        <v>3764</v>
      </c>
      <c r="B180" s="468">
        <v>173</v>
      </c>
      <c r="C180" s="98" t="str">
        <f>template_label_specify_other_types_of_content_covered_by_the_code_of_conduct_or_human_rights_policy</f>
        <v>Specify other types of content covered by the code of conduct or human rights policy</v>
      </c>
      <c r="D180" s="959"/>
      <c r="E180" s="959"/>
      <c r="F180" s="959"/>
      <c r="G180" s="959"/>
      <c r="H180" s="960"/>
      <c r="I180" s="15" t="str">
        <f>IF(AND(D179=TRUE,D180&lt;&gt;""), template_label_ok,
IF(AND(D179=TRUE,D180=""), template_label_missing_value,
IF(AND(D179=FALSE,D180&lt;&gt;""), template_label_missing_value,
"")))</f>
        <v/>
      </c>
    </row>
    <row r="181" spans="1:10" ht="31.2" customHeight="1" thickBot="1" x14ac:dyDescent="0.35">
      <c r="A181" s="463" t="s">
        <v>3765</v>
      </c>
      <c r="B181" s="469">
        <v>173</v>
      </c>
      <c r="C181" s="166" t="str">
        <f>template_label_does_the_undertaking_have_a_complaint_handling_mechanism_for_its_own_workforce</f>
        <v>Does the undertaking have a complaint-handling mechanism for its own workforce?</v>
      </c>
      <c r="D181" s="961"/>
      <c r="E181" s="962"/>
      <c r="F181" s="962"/>
      <c r="G181" s="962"/>
      <c r="H181" s="963"/>
      <c r="I181" s="15" t="str">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
      </c>
    </row>
    <row r="182" spans="1:10" ht="15" thickBot="1" x14ac:dyDescent="0.35"/>
    <row r="183" spans="1:10" x14ac:dyDescent="0.3">
      <c r="C183" s="964" t="str">
        <f>template_label_c7_severe_negative_human_rights_incidents&amp;" "&amp;template_label_from&amp;" "&amp;template_starting_date_display&amp;" "&amp;template_label_to&amp;" "&amp;template_ending_date_display&amp;" "&amp;template_label_always_to_be_reported</f>
        <v>C7 – Severe negative human rights incidents from - to - [Always to be reported]</v>
      </c>
      <c r="D183" s="965"/>
      <c r="E183" s="965"/>
      <c r="F183" s="965"/>
      <c r="G183" s="965"/>
      <c r="H183" s="966"/>
    </row>
    <row r="184" spans="1:10" x14ac:dyDescent="0.3">
      <c r="A184" s="460">
        <v>62</v>
      </c>
      <c r="B184" s="468">
        <v>174</v>
      </c>
      <c r="C184" s="167" t="str">
        <f>template_label_does_the_undertaking_have_confirmed_incidents_in_its_own_workforce</f>
        <v>Does the undertaking have confirmed incidents in its own workforce?</v>
      </c>
      <c r="D184" s="714"/>
      <c r="E184" s="714"/>
      <c r="F184" s="714"/>
      <c r="G184" s="714"/>
      <c r="H184" s="950"/>
      <c r="I184" s="15" t="str">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
      </c>
    </row>
    <row r="185" spans="1:10" x14ac:dyDescent="0.3">
      <c r="A185" s="460" t="s">
        <v>3766</v>
      </c>
      <c r="B185" s="468">
        <v>174</v>
      </c>
      <c r="C185" s="167" t="str">
        <f>template_label_if_yes_are_incidents_related_to</f>
        <v>If yes are incidents related to:</v>
      </c>
      <c r="D185" s="967"/>
      <c r="E185" s="968"/>
      <c r="F185" s="968"/>
      <c r="G185" s="968"/>
      <c r="H185" s="969"/>
    </row>
    <row r="186" spans="1:10" x14ac:dyDescent="0.3">
      <c r="A186" s="460" t="s">
        <v>3766</v>
      </c>
      <c r="B186" s="468">
        <v>174</v>
      </c>
      <c r="C186" s="165" t="str">
        <f>template_label_child_labour</f>
        <v>· child labour</v>
      </c>
      <c r="D186" s="955" t="b">
        <v>0</v>
      </c>
      <c r="E186" s="955"/>
      <c r="F186" s="955"/>
      <c r="G186" s="955"/>
      <c r="H186" s="956"/>
      <c r="I186" s="954"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460" t="s">
        <v>3766</v>
      </c>
      <c r="B187" s="468">
        <v>174</v>
      </c>
      <c r="C187" s="165" t="str">
        <f>template_label_forced_labour</f>
        <v>· forced labour</v>
      </c>
      <c r="D187" s="955" t="b">
        <v>0</v>
      </c>
      <c r="E187" s="955"/>
      <c r="F187" s="955"/>
      <c r="G187" s="955"/>
      <c r="H187" s="956"/>
      <c r="I187" s="954"/>
    </row>
    <row r="188" spans="1:10" x14ac:dyDescent="0.3">
      <c r="A188" s="460" t="s">
        <v>3766</v>
      </c>
      <c r="B188" s="468">
        <v>174</v>
      </c>
      <c r="C188" s="165" t="str">
        <f>template_label_human_trafficking</f>
        <v>· human trafficking</v>
      </c>
      <c r="D188" s="955" t="b">
        <v>0</v>
      </c>
      <c r="E188" s="955"/>
      <c r="F188" s="955"/>
      <c r="G188" s="955"/>
      <c r="H188" s="956"/>
      <c r="I188" s="954"/>
    </row>
    <row r="189" spans="1:10" x14ac:dyDescent="0.3">
      <c r="A189" s="460" t="s">
        <v>3766</v>
      </c>
      <c r="B189" s="468">
        <v>174</v>
      </c>
      <c r="C189" s="165" t="str">
        <f>template_label_discrimination</f>
        <v>· discrimination</v>
      </c>
      <c r="D189" s="955" t="b">
        <v>0</v>
      </c>
      <c r="E189" s="955"/>
      <c r="F189" s="955"/>
      <c r="G189" s="955"/>
      <c r="H189" s="956"/>
      <c r="I189" s="954"/>
    </row>
    <row r="190" spans="1:10" x14ac:dyDescent="0.3">
      <c r="A190" s="460" t="s">
        <v>3766</v>
      </c>
      <c r="B190" s="468">
        <v>174</v>
      </c>
      <c r="C190" s="165" t="str">
        <f>template_label_other_if_yes_specify</f>
        <v>· other? ( if yes specify)</v>
      </c>
      <c r="D190" s="955" t="b">
        <v>0</v>
      </c>
      <c r="E190" s="955"/>
      <c r="F190" s="955"/>
      <c r="G190" s="955"/>
      <c r="H190" s="956"/>
      <c r="I190" s="954"/>
      <c r="J190" s="10" t="str">
        <f>template_label_other_warning</f>
        <v>ℹ️ When "other" is chosen as undertaking legal form please fill the row below</v>
      </c>
    </row>
    <row r="191" spans="1:10" x14ac:dyDescent="0.3">
      <c r="A191" s="460" t="s">
        <v>3766</v>
      </c>
      <c r="B191" s="468">
        <v>174</v>
      </c>
      <c r="C191" s="98" t="str">
        <f>template_label_specify_other_human_rights_related_to_the_confirmed_incidents</f>
        <v>Specify other human rights related to the confirmed incidents</v>
      </c>
      <c r="D191" s="957"/>
      <c r="E191" s="957"/>
      <c r="F191" s="957"/>
      <c r="G191" s="957"/>
      <c r="H191" s="958"/>
      <c r="I191" s="15" t="str">
        <f>IF(AND(D190=TRUE,D191&lt;&gt;""), template_label_ok,
IF(AND(D190=TRUE,D191=""), template_label_missing_value,
IF(AND(D190=FALSE,D191&lt;&gt;""), template_label_missing_value, "")))</f>
        <v/>
      </c>
    </row>
    <row r="192" spans="1:10" x14ac:dyDescent="0.3">
      <c r="A192" s="460" t="s">
        <v>3767</v>
      </c>
      <c r="B192" s="468">
        <v>174</v>
      </c>
      <c r="C192" s="98" t="str">
        <f>template_label_description_of_actions_taken_to_address_the_confirmed_incidents</f>
        <v>Description of actions taken to address the confirmed incidents</v>
      </c>
      <c r="D192" s="947"/>
      <c r="E192" s="948"/>
      <c r="F192" s="948"/>
      <c r="G192" s="948"/>
      <c r="H192" s="949"/>
      <c r="I192" s="15" t="str">
        <f>IF(D192&lt;&gt;"",template_label_ok,"")</f>
        <v/>
      </c>
    </row>
    <row r="193" spans="1:9" ht="28.8" x14ac:dyDescent="0.3">
      <c r="A193" s="460" t="s">
        <v>3727</v>
      </c>
      <c r="B193" s="468">
        <v>174</v>
      </c>
      <c r="C193" s="126" t="str">
        <f>template_label_is_the_undertaking_aware_of_any_confirmed_incidents_involving_workers</f>
        <v>Is the undertaking aware of any confirmed incidents involving workers in the value chain affected communities consumers and end-users?</v>
      </c>
      <c r="D193" s="714"/>
      <c r="E193" s="714"/>
      <c r="F193" s="714"/>
      <c r="G193" s="714"/>
      <c r="H193" s="950"/>
      <c r="I193" s="15" t="str">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
      </c>
    </row>
    <row r="194" spans="1:9" ht="29.4" thickBot="1" x14ac:dyDescent="0.35">
      <c r="A194" s="460" t="s">
        <v>3727</v>
      </c>
      <c r="B194" s="469">
        <v>174</v>
      </c>
      <c r="C194" s="248" t="str">
        <f>template_label_specification_of_any_confirmed_incident_involving_workers</f>
        <v>Specification of any confirmed incident involving workers in the value chain affected communities consumers and end-users</v>
      </c>
      <c r="D194" s="951"/>
      <c r="E194" s="951"/>
      <c r="F194" s="951"/>
      <c r="G194" s="951"/>
      <c r="H194" s="952"/>
      <c r="I194" s="15" t="str">
        <f>IF(AND(D193="YES",D194&lt;&gt;""), template_label_ok,
IF(AND(D193="YES",D194=""), template_label_missing_value,
IF(AND(D193="NO",D194&lt;&gt;""), template_label_missing_value, "")))</f>
        <v/>
      </c>
    </row>
    <row r="197" spans="1:9" ht="15" thickBot="1" x14ac:dyDescent="0.35"/>
    <row r="198" spans="1:9" x14ac:dyDescent="0.3">
      <c r="C198" s="656"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 to - [May (optional)]</v>
      </c>
      <c r="D198" s="657"/>
      <c r="E198" s="657"/>
      <c r="F198" s="657"/>
      <c r="G198" s="657"/>
      <c r="H198" s="658"/>
    </row>
    <row r="199" spans="1:9" x14ac:dyDescent="0.3">
      <c r="C199" s="887">
        <v>10</v>
      </c>
      <c r="D199" s="654"/>
      <c r="E199" s="654"/>
      <c r="F199" s="654"/>
      <c r="G199" s="654"/>
      <c r="H199" s="655"/>
    </row>
    <row r="200" spans="1:9" ht="15" thickBot="1" x14ac:dyDescent="0.35">
      <c r="C200" s="650"/>
      <c r="D200" s="651"/>
      <c r="E200" s="651"/>
      <c r="F200" s="651"/>
      <c r="G200" s="651"/>
      <c r="H200" s="953"/>
      <c r="I200" s="15" t="str">
        <f>IF(C200&lt;&gt;"", template_label_ok, "")</f>
        <v/>
      </c>
    </row>
  </sheetData>
  <sheetProtection algorithmName="SHA-512" hashValue="PdS400L5jSTzRpBUrJrt5yJd/NpbuMnKH6PgPQnhLlEg6QDfu5BZ5rx8ox7V1VzwH328H1AqLev9adOOtmateA==" saltValue="yeMU67UQXGzj5JSxMX8CzQ==" spinCount="100000" sheet="1" formatColumns="0" formatRows="0" insertRows="0"/>
  <mergeCells count="298">
    <mergeCell ref="E119:H119"/>
    <mergeCell ref="E120:H120"/>
    <mergeCell ref="E121:H121"/>
    <mergeCell ref="E122:H122"/>
    <mergeCell ref="E123:H123"/>
    <mergeCell ref="E124:H124"/>
    <mergeCell ref="E125:H125"/>
    <mergeCell ref="E126:H126"/>
    <mergeCell ref="E127:H127"/>
    <mergeCell ref="E110:H110"/>
    <mergeCell ref="E111:H111"/>
    <mergeCell ref="E112:H112"/>
    <mergeCell ref="E113:H113"/>
    <mergeCell ref="E114:H114"/>
    <mergeCell ref="E115:H115"/>
    <mergeCell ref="E116:H116"/>
    <mergeCell ref="E117:H117"/>
    <mergeCell ref="E118:H118"/>
    <mergeCell ref="E101:H101"/>
    <mergeCell ref="E102:H102"/>
    <mergeCell ref="E103:H103"/>
    <mergeCell ref="E104:H104"/>
    <mergeCell ref="E105:H105"/>
    <mergeCell ref="E106:H106"/>
    <mergeCell ref="E107:H107"/>
    <mergeCell ref="E108:H108"/>
    <mergeCell ref="E109:H109"/>
    <mergeCell ref="E92:H92"/>
    <mergeCell ref="E93:H93"/>
    <mergeCell ref="E94:H94"/>
    <mergeCell ref="E95:H95"/>
    <mergeCell ref="E96:H96"/>
    <mergeCell ref="E97:H97"/>
    <mergeCell ref="E98:H98"/>
    <mergeCell ref="E99:H99"/>
    <mergeCell ref="E100:H100"/>
    <mergeCell ref="E83:H83"/>
    <mergeCell ref="E84:H84"/>
    <mergeCell ref="E85:H85"/>
    <mergeCell ref="E86:H86"/>
    <mergeCell ref="E87:H87"/>
    <mergeCell ref="E88:H88"/>
    <mergeCell ref="E89:H89"/>
    <mergeCell ref="E90:H90"/>
    <mergeCell ref="E91:H91"/>
    <mergeCell ref="E74:H74"/>
    <mergeCell ref="E75:H75"/>
    <mergeCell ref="E76:H76"/>
    <mergeCell ref="E77:H77"/>
    <mergeCell ref="E78:H78"/>
    <mergeCell ref="E79:H79"/>
    <mergeCell ref="E80:H80"/>
    <mergeCell ref="E81:H81"/>
    <mergeCell ref="E82:H82"/>
    <mergeCell ref="E65:H65"/>
    <mergeCell ref="E66:H66"/>
    <mergeCell ref="E67:H67"/>
    <mergeCell ref="E68:H68"/>
    <mergeCell ref="E69:H69"/>
    <mergeCell ref="E70:H70"/>
    <mergeCell ref="E71:H71"/>
    <mergeCell ref="E72:H72"/>
    <mergeCell ref="E73:H73"/>
    <mergeCell ref="E56:H56"/>
    <mergeCell ref="E57:H57"/>
    <mergeCell ref="E58:H58"/>
    <mergeCell ref="E59:H59"/>
    <mergeCell ref="E60:H60"/>
    <mergeCell ref="E61:H61"/>
    <mergeCell ref="E62:H62"/>
    <mergeCell ref="E63:H63"/>
    <mergeCell ref="E64:H64"/>
    <mergeCell ref="E47:H47"/>
    <mergeCell ref="E48:H48"/>
    <mergeCell ref="E49:H49"/>
    <mergeCell ref="E50:H50"/>
    <mergeCell ref="E51:H51"/>
    <mergeCell ref="E52:H52"/>
    <mergeCell ref="E53:H53"/>
    <mergeCell ref="E54:H54"/>
    <mergeCell ref="E55:H55"/>
    <mergeCell ref="E38:H38"/>
    <mergeCell ref="E39:H39"/>
    <mergeCell ref="E40:H40"/>
    <mergeCell ref="E41:H41"/>
    <mergeCell ref="E42:H42"/>
    <mergeCell ref="E43:H43"/>
    <mergeCell ref="E44:H44"/>
    <mergeCell ref="E45:H45"/>
    <mergeCell ref="E46:H46"/>
    <mergeCell ref="C119:D119"/>
    <mergeCell ref="C120:D120"/>
    <mergeCell ref="C121:D121"/>
    <mergeCell ref="C122:D122"/>
    <mergeCell ref="C123:D123"/>
    <mergeCell ref="C124:D124"/>
    <mergeCell ref="C125:D125"/>
    <mergeCell ref="C126:D126"/>
    <mergeCell ref="C127:D127"/>
    <mergeCell ref="C110:D110"/>
    <mergeCell ref="C111:D111"/>
    <mergeCell ref="C112:D112"/>
    <mergeCell ref="C113:D113"/>
    <mergeCell ref="C114:D114"/>
    <mergeCell ref="C115:D115"/>
    <mergeCell ref="C116:D116"/>
    <mergeCell ref="C117:D117"/>
    <mergeCell ref="C118:D118"/>
    <mergeCell ref="C101:D101"/>
    <mergeCell ref="C102:D102"/>
    <mergeCell ref="C103:D103"/>
    <mergeCell ref="C104:D104"/>
    <mergeCell ref="C105:D105"/>
    <mergeCell ref="C106:D106"/>
    <mergeCell ref="C107:D107"/>
    <mergeCell ref="C108:D108"/>
    <mergeCell ref="C109:D109"/>
    <mergeCell ref="C92:D92"/>
    <mergeCell ref="C93:D93"/>
    <mergeCell ref="C94:D94"/>
    <mergeCell ref="C95:D95"/>
    <mergeCell ref="C96:D96"/>
    <mergeCell ref="C97:D97"/>
    <mergeCell ref="C98:D98"/>
    <mergeCell ref="C99:D99"/>
    <mergeCell ref="C100:D100"/>
    <mergeCell ref="C83:D83"/>
    <mergeCell ref="C84:D84"/>
    <mergeCell ref="C85:D85"/>
    <mergeCell ref="C86:D86"/>
    <mergeCell ref="C87:D87"/>
    <mergeCell ref="C88:D88"/>
    <mergeCell ref="C89:D89"/>
    <mergeCell ref="C90:D90"/>
    <mergeCell ref="C91:D91"/>
    <mergeCell ref="C74:D74"/>
    <mergeCell ref="C75:D75"/>
    <mergeCell ref="C76:D76"/>
    <mergeCell ref="C77:D77"/>
    <mergeCell ref="C78:D78"/>
    <mergeCell ref="C79:D79"/>
    <mergeCell ref="C80:D80"/>
    <mergeCell ref="C81:D81"/>
    <mergeCell ref="C82:D82"/>
    <mergeCell ref="C65:D65"/>
    <mergeCell ref="C66:D66"/>
    <mergeCell ref="C67:D67"/>
    <mergeCell ref="C68:D68"/>
    <mergeCell ref="C69:D69"/>
    <mergeCell ref="C70:D70"/>
    <mergeCell ref="C71:D71"/>
    <mergeCell ref="C72:D72"/>
    <mergeCell ref="C73:D73"/>
    <mergeCell ref="C56:D56"/>
    <mergeCell ref="C57:D57"/>
    <mergeCell ref="C58:D58"/>
    <mergeCell ref="C59:D59"/>
    <mergeCell ref="C60:D60"/>
    <mergeCell ref="C61:D61"/>
    <mergeCell ref="C62:D62"/>
    <mergeCell ref="C63:D63"/>
    <mergeCell ref="C64:D64"/>
    <mergeCell ref="C47:D47"/>
    <mergeCell ref="C48:D48"/>
    <mergeCell ref="C49:D49"/>
    <mergeCell ref="C50:D50"/>
    <mergeCell ref="C51:D51"/>
    <mergeCell ref="C52:D52"/>
    <mergeCell ref="C53:D53"/>
    <mergeCell ref="C54:D54"/>
    <mergeCell ref="C55:D55"/>
    <mergeCell ref="C38:D38"/>
    <mergeCell ref="C39:D39"/>
    <mergeCell ref="C40:D40"/>
    <mergeCell ref="C41:D41"/>
    <mergeCell ref="C42:D42"/>
    <mergeCell ref="C43:D43"/>
    <mergeCell ref="C44:D44"/>
    <mergeCell ref="C45:D45"/>
    <mergeCell ref="C46:D46"/>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0:D30"/>
    <mergeCell ref="E30:H30"/>
    <mergeCell ref="C31:D31"/>
    <mergeCell ref="E31:H31"/>
    <mergeCell ref="D22:G22"/>
    <mergeCell ref="C24:H24"/>
    <mergeCell ref="C25:H25"/>
    <mergeCell ref="C26:H26"/>
    <mergeCell ref="C28:D28"/>
    <mergeCell ref="E28:H28"/>
    <mergeCell ref="C27:D27"/>
    <mergeCell ref="E27:H27"/>
    <mergeCell ref="C35:D35"/>
    <mergeCell ref="E35:H35"/>
    <mergeCell ref="C36:D36"/>
    <mergeCell ref="E36:H36"/>
    <mergeCell ref="C37:D37"/>
    <mergeCell ref="E37:H37"/>
    <mergeCell ref="C32:D32"/>
    <mergeCell ref="E32:H32"/>
    <mergeCell ref="C33:D33"/>
    <mergeCell ref="E33:H33"/>
    <mergeCell ref="C34:D34"/>
    <mergeCell ref="E34:H34"/>
    <mergeCell ref="C133:H133"/>
    <mergeCell ref="D134:H134"/>
    <mergeCell ref="D135:H135"/>
    <mergeCell ref="D136:H136"/>
    <mergeCell ref="D137:H137"/>
    <mergeCell ref="C128:D128"/>
    <mergeCell ref="E128:H128"/>
    <mergeCell ref="C129:D129"/>
    <mergeCell ref="E129:H129"/>
    <mergeCell ref="C131:H131"/>
    <mergeCell ref="C132:H132"/>
    <mergeCell ref="D144:H144"/>
    <mergeCell ref="C146:H146"/>
    <mergeCell ref="D147:H147"/>
    <mergeCell ref="D148:H148"/>
    <mergeCell ref="D149:H149"/>
    <mergeCell ref="D150:H150"/>
    <mergeCell ref="C139:H139"/>
    <mergeCell ref="D140:H140"/>
    <mergeCell ref="D141:H141"/>
    <mergeCell ref="D142:H142"/>
    <mergeCell ref="D143:H143"/>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80:H180"/>
    <mergeCell ref="D181:H181"/>
    <mergeCell ref="C183:H183"/>
    <mergeCell ref="D184:H184"/>
    <mergeCell ref="D185:H185"/>
    <mergeCell ref="D186:H186"/>
    <mergeCell ref="I174:I179"/>
    <mergeCell ref="D175:H175"/>
    <mergeCell ref="D176:H176"/>
    <mergeCell ref="D177:H177"/>
    <mergeCell ref="D178:H178"/>
    <mergeCell ref="D179:H179"/>
    <mergeCell ref="D192:H192"/>
    <mergeCell ref="D193:H193"/>
    <mergeCell ref="D194:H194"/>
    <mergeCell ref="C198:H198"/>
    <mergeCell ref="C199:H199"/>
    <mergeCell ref="C200:H200"/>
    <mergeCell ref="I186:I190"/>
    <mergeCell ref="D187:H187"/>
    <mergeCell ref="D188:H188"/>
    <mergeCell ref="D189:H189"/>
    <mergeCell ref="D190:H190"/>
    <mergeCell ref="D191:H191"/>
  </mergeCells>
  <phoneticPr fontId="3" type="noConversion"/>
  <conditionalFormatting sqref="D180">
    <cfRule type="expression" dxfId="118" priority="28">
      <formula>$D$179=TRUE</formula>
    </cfRule>
  </conditionalFormatting>
  <conditionalFormatting sqref="D191:D192">
    <cfRule type="expression" dxfId="117" priority="17">
      <formula>$D$190=TRUE</formula>
    </cfRule>
  </conditionalFormatting>
  <conditionalFormatting sqref="D194">
    <cfRule type="expression" dxfId="116" priority="16">
      <formula>$D$193="YES"</formula>
    </cfRule>
  </conditionalFormatting>
  <conditionalFormatting sqref="D174:H179">
    <cfRule type="expression" dxfId="113" priority="33">
      <formula>$D$172="YES"</formula>
    </cfRule>
  </conditionalFormatting>
  <conditionalFormatting sqref="D186:H190">
    <cfRule type="expression" dxfId="111" priority="22">
      <formula>$D$184="YES"</formula>
    </cfRule>
  </conditionalFormatting>
  <conditionalFormatting sqref="D192:H192">
    <cfRule type="expression" dxfId="110" priority="9">
      <formula>$D$184="YES"</formula>
    </cfRule>
  </conditionalFormatting>
  <conditionalFormatting sqref="E27">
    <cfRule type="expression" dxfId="109" priority="2">
      <formula>$D$172="YES"</formula>
    </cfRule>
  </conditionalFormatting>
  <conditionalFormatting sqref="E29:H29">
    <cfRule type="expression" dxfId="107" priority="1">
      <formula>$E$27=TRUE</formula>
    </cfRule>
  </conditionalFormatting>
  <conditionalFormatting sqref="E29:H128">
    <cfRule type="expression" dxfId="106" priority="59">
      <formula>$C29&lt;&gt;""</formula>
    </cfRule>
  </conditionalFormatting>
  <conditionalFormatting sqref="E30:H128">
    <cfRule type="expression" dxfId="105" priority="60">
      <formula>$D30=""</formula>
    </cfRule>
  </conditionalFormatting>
  <conditionalFormatting sqref="H10:H11">
    <cfRule type="expression" dxfId="104" priority="71">
      <formula>$H10=template_label_ok</formula>
    </cfRule>
    <cfRule type="expression" dxfId="103" priority="70">
      <formula>$H10=template_label_missing_value</formula>
    </cfRule>
  </conditionalFormatting>
  <conditionalFormatting sqref="H12">
    <cfRule type="expression" dxfId="102" priority="73">
      <formula>$H$12="VALUE INCONSISTENCY"</formula>
    </cfRule>
    <cfRule type="expression" dxfId="101" priority="72">
      <formula>$H$12="OK"</formula>
    </cfRule>
  </conditionalFormatting>
  <conditionalFormatting sqref="H18:H21">
    <cfRule type="expression" dxfId="100" priority="65">
      <formula>$H$18=template_label_missing_value</formula>
    </cfRule>
    <cfRule type="expression" dxfId="99" priority="66">
      <formula>$H$18=template_label_ok</formula>
    </cfRule>
  </conditionalFormatting>
  <conditionalFormatting sqref="H22">
    <cfRule type="expression" dxfId="98" priority="67">
      <formula>$H$22="VALUE INCONSISTENCY"</formula>
    </cfRule>
    <cfRule type="expression" dxfId="97" priority="68">
      <formula>$H$22="MISSING VALUE"</formula>
    </cfRule>
    <cfRule type="expression" dxfId="96" priority="69">
      <formula>$H$22="OK"</formula>
    </cfRule>
  </conditionalFormatting>
  <conditionalFormatting sqref="I29:I128">
    <cfRule type="expression" dxfId="95" priority="64">
      <formula>$I29=template_label_missing_value</formula>
    </cfRule>
    <cfRule type="expression" dxfId="94" priority="63">
      <formula>$I29=template_label_ok</formula>
    </cfRule>
    <cfRule type="expression" dxfId="93" priority="4">
      <formula>$I29=template_label_value_inconsistency</formula>
    </cfRule>
  </conditionalFormatting>
  <conditionalFormatting sqref="I129">
    <cfRule type="expression" dxfId="92" priority="61">
      <formula>$I$129="OK"</formula>
    </cfRule>
    <cfRule type="expression" dxfId="91" priority="62">
      <formula>$I$129="VALUE INCONSISTENCY"</formula>
    </cfRule>
  </conditionalFormatting>
  <conditionalFormatting sqref="I134:I136">
    <cfRule type="expression" dxfId="90" priority="57">
      <formula>$I134=template_label_missing_value</formula>
    </cfRule>
    <cfRule type="expression" dxfId="89" priority="58">
      <formula>$I134=template_label_ok</formula>
    </cfRule>
  </conditionalFormatting>
  <conditionalFormatting sqref="I140:I141">
    <cfRule type="expression" dxfId="88" priority="54">
      <formula>$I140=template_label_missing_value</formula>
    </cfRule>
    <cfRule type="expression" dxfId="87" priority="55">
      <formula>$I140=template_label_ok</formula>
    </cfRule>
  </conditionalFormatting>
  <conditionalFormatting sqref="I142">
    <cfRule type="expression" dxfId="86" priority="51">
      <formula>$I$142="MISSING VALUE"</formula>
    </cfRule>
    <cfRule type="expression" dxfId="85" priority="50">
      <formula>$I$142="OK"</formula>
    </cfRule>
  </conditionalFormatting>
  <conditionalFormatting sqref="I144">
    <cfRule type="expression" dxfId="84" priority="52">
      <formula>$I$144=template_label_missing_value</formula>
    </cfRule>
    <cfRule type="expression" dxfId="83" priority="53">
      <formula>$I$144=template_label_ok</formula>
    </cfRule>
  </conditionalFormatting>
  <conditionalFormatting sqref="I147">
    <cfRule type="expression" dxfId="82" priority="45">
      <formula>$I$147=template_label_ok</formula>
    </cfRule>
    <cfRule type="expression" dxfId="81" priority="44">
      <formula>$I$147=template_label_missing_value</formula>
    </cfRule>
  </conditionalFormatting>
  <conditionalFormatting sqref="I148:I149">
    <cfRule type="expression" dxfId="80" priority="49">
      <formula>$I148=template_label_missing_value</formula>
    </cfRule>
    <cfRule type="expression" dxfId="79" priority="48">
      <formula>$I148=template_label_ok</formula>
    </cfRule>
  </conditionalFormatting>
  <conditionalFormatting sqref="I151">
    <cfRule type="expression" dxfId="78" priority="47">
      <formula>$I$151=template_label_missing_value</formula>
    </cfRule>
    <cfRule type="expression" dxfId="77" priority="46">
      <formula>$I$151=template_label_ok</formula>
    </cfRule>
  </conditionalFormatting>
  <conditionalFormatting sqref="I156:I157 I161">
    <cfRule type="expression" dxfId="76" priority="41">
      <formula>$I156=template_label_ok</formula>
    </cfRule>
    <cfRule type="expression" dxfId="75" priority="42">
      <formula>$I156=template_label_missing_value</formula>
    </cfRule>
  </conditionalFormatting>
  <conditionalFormatting sqref="I165">
    <cfRule type="expression" dxfId="74" priority="40">
      <formula>$I$165=template_label_ok</formula>
    </cfRule>
  </conditionalFormatting>
  <conditionalFormatting sqref="I166">
    <cfRule type="expression" dxfId="73" priority="39">
      <formula>$I$166=template_label_ok</formula>
    </cfRule>
  </conditionalFormatting>
  <conditionalFormatting sqref="I168">
    <cfRule type="expression" dxfId="72" priority="38">
      <formula>$I$168=template_label_ok</formula>
    </cfRule>
  </conditionalFormatting>
  <conditionalFormatting sqref="I169">
    <cfRule type="expression" dxfId="71" priority="37">
      <formula>$I$169=template_label_ok</formula>
    </cfRule>
  </conditionalFormatting>
  <conditionalFormatting sqref="I172">
    <cfRule type="expression" dxfId="70" priority="29">
      <formula>$I$172=template_label_missing_value</formula>
    </cfRule>
    <cfRule type="expression" dxfId="69" priority="30">
      <formula>$I$172=template_label_ok</formula>
    </cfRule>
  </conditionalFormatting>
  <conditionalFormatting sqref="I174:I179">
    <cfRule type="expression" dxfId="68" priority="25">
      <formula>$I$174=template_label_ok</formula>
    </cfRule>
    <cfRule type="expression" dxfId="67" priority="24">
      <formula>$I$174=template_label_missing_value</formula>
    </cfRule>
    <cfRule type="expression" dxfId="66" priority="6">
      <formula>$I$174=template_label_value_inconsistency</formula>
    </cfRule>
  </conditionalFormatting>
  <conditionalFormatting sqref="I180">
    <cfRule type="expression" dxfId="65" priority="32">
      <formula>$I$180=template_label_missing_value</formula>
    </cfRule>
    <cfRule type="expression" dxfId="64" priority="31">
      <formula>$I$180=template_label_ok</formula>
    </cfRule>
  </conditionalFormatting>
  <conditionalFormatting sqref="I181">
    <cfRule type="expression" dxfId="63" priority="27">
      <formula>$I$181=template_label_ok</formula>
    </cfRule>
    <cfRule type="expression" dxfId="62" priority="26">
      <formula>$I$181=template_label_missing_value</formula>
    </cfRule>
  </conditionalFormatting>
  <conditionalFormatting sqref="I184">
    <cfRule type="expression" dxfId="61" priority="15">
      <formula>$I$184=template_label_missing_value</formula>
    </cfRule>
    <cfRule type="expression" dxfId="60" priority="14">
      <formula>$I$184=template_label_ok</formula>
    </cfRule>
  </conditionalFormatting>
  <conditionalFormatting sqref="I186:I190">
    <cfRule type="expression" dxfId="59" priority="13">
      <formula>$I$186=template_label_missing_value</formula>
    </cfRule>
    <cfRule type="expression" dxfId="58" priority="12">
      <formula>$I$186=template_label_ok</formula>
    </cfRule>
    <cfRule type="expression" dxfId="57" priority="5">
      <formula>$I$186=template_label_value_inconsistency</formula>
    </cfRule>
  </conditionalFormatting>
  <conditionalFormatting sqref="I191">
    <cfRule type="expression" dxfId="56" priority="21">
      <formula>$I$191=template_label_missing_value</formula>
    </cfRule>
    <cfRule type="expression" dxfId="55" priority="20">
      <formula>$I$191=template_label_ok</formula>
    </cfRule>
  </conditionalFormatting>
  <conditionalFormatting sqref="I192">
    <cfRule type="expression" dxfId="54" priority="8">
      <formula>$I$192=template_label_ok</formula>
    </cfRule>
  </conditionalFormatting>
  <conditionalFormatting sqref="I193">
    <cfRule type="expression" dxfId="53" priority="11">
      <formula>$I$193=template_label_ok</formula>
    </cfRule>
    <cfRule type="expression" dxfId="52" priority="10">
      <formula>$I$193=template_label_missing_value</formula>
    </cfRule>
  </conditionalFormatting>
  <conditionalFormatting sqref="I194">
    <cfRule type="expression" dxfId="51" priority="19">
      <formula>$I$194=template_label_ok</formula>
    </cfRule>
    <cfRule type="expression" dxfId="50" priority="18">
      <formula>$I$194=template_label_missing_value</formula>
    </cfRule>
  </conditionalFormatting>
  <conditionalFormatting sqref="I200">
    <cfRule type="expression" dxfId="49" priority="7">
      <formula>$I$200=template_label_ok</formula>
    </cfRule>
  </conditionalFormatting>
  <dataValidations count="27">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132" r:id="rId7" location="id-92" display="https://xbrl.efrag.org/e-esrs/2024-12-17-efrag-vsme.xhtml - id-92" xr:uid="{E0BA9FB5-FB8C-4FEF-868E-6CF4D588E023}"/>
    <hyperlink ref="C133" r:id="rId8" location="id-363" display="https://xbrl.efrag.org/e-esrs/2024-12-17-efrag-vsme.xhtml - id-363" xr:uid="{50B0BE03-C08E-4851-AC9B-993066443FF0}"/>
    <hyperlink ref="A140" r:id="rId9" xr:uid="{F2DE8AE6-7F6A-4C11-8C35-BFD6848C265A}"/>
    <hyperlink ref="B140" r:id="rId10" xr:uid="{A80B1F84-0594-4287-A96E-9DCAA77A7036}"/>
    <hyperlink ref="A147" r:id="rId11" xr:uid="{A04769E2-92AB-4FA7-8BAA-94C789C5D2BC}"/>
    <hyperlink ref="A151" r:id="rId12" location="id-99" xr:uid="{8113121E-C750-4B02-9F44-43C4B57E348C}"/>
    <hyperlink ref="B147" r:id="rId13" xr:uid="{D1428CBA-D262-46DD-A656-23D4C88B3472}"/>
    <hyperlink ref="B151" r:id="rId14" location="id-386" display="202-205" xr:uid="{9AEDE24B-6E51-44E4-9816-FE8C0C8508A3}"/>
    <hyperlink ref="B148" r:id="rId15" xr:uid="{525973BD-5FC4-4E6E-BA87-B737CF59306E}"/>
    <hyperlink ref="C155" r:id="rId16" location="id-100" xr:uid="{A4FCCF43-CF5C-4938-A588-DC9CBECE7EC2}"/>
    <hyperlink ref="A165" r:id="rId17" display="https://xbrl.efrag.org/eng/interactive/vsme/vsme-standard-annex-i/2025-07-30-ec-rec/59" xr:uid="{D6C382FC-BB6A-4070-83F7-5D8F1C237A22}"/>
    <hyperlink ref="A168" r:id="rId18" display="https://xbrl.efrag.org/eng/interactive/vsme/vsme-standard-annex-i/2025-07-30-ec-rec/60" xr:uid="{B621BBEE-281B-42F5-B2D2-56DD7AA5EEA0}"/>
    <hyperlink ref="B165" r:id="rId19" xr:uid="{F0350405-76E9-49D1-BCA5-1A0EFEA12C04}"/>
    <hyperlink ref="B168" r:id="rId20" xr:uid="{7E6AA21F-CB64-4BA3-B45A-0E902CCAE552}"/>
    <hyperlink ref="A172" r:id="rId21" xr:uid="{B9DD33F4-2ACF-4676-8833-08E77CB7D0CA}"/>
    <hyperlink ref="A173" r:id="rId22" xr:uid="{88C6CF49-313A-4434-8D2A-0AEA3359D7FC}"/>
    <hyperlink ref="A181" r:id="rId23" xr:uid="{752B393B-0928-4C69-AFB2-C68F07D89E0E}"/>
    <hyperlink ref="B172" r:id="rId24" display="https://xbrl.efrag.org/eng/interactive/vsme/vsme-guidance-annex-ii/2025-07-30-ec-rec/173" xr:uid="{5DC38D20-F9F3-45CD-A4F1-CCBAA158E822}"/>
    <hyperlink ref="A193" r:id="rId25" xr:uid="{9B3F1639-CEDF-4FD6-829F-0D9EE195C206}"/>
    <hyperlink ref="B184" r:id="rId26" display="https://xbrl.efrag.org/eng/interactive/vsme/vsme-guidance-annex-ii/2025-07-30-ec-rec/174" xr:uid="{E39563BA-8B8E-41CC-8A15-041A714F2283}"/>
    <hyperlink ref="A185" r:id="rId27" xr:uid="{4767E427-EBDB-4F68-ADD4-2E28DAE9623F}"/>
    <hyperlink ref="A184" r:id="rId28" display="https://xbrl.efrag.org/eng/interactive/vsme/vsme-standard-annex-i/2025-07-30-ec-rec/62" xr:uid="{EAFDF65A-AB84-4580-B43C-874BE882196C}"/>
    <hyperlink ref="A192" r:id="rId29" xr:uid="{C3F1A085-4C97-49E3-804F-2C1886C3712A}"/>
    <hyperlink ref="C19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132:H132" r:id="rId34" display="https://xbrl.efrag.org/eng/interactive/vsme/vsme-standard-annex-i/2025-07-30-ec-rec/40" xr:uid="{622C6F62-9464-4894-9594-12DFC4557303}"/>
    <hyperlink ref="A144" r:id="rId35" xr:uid="{4BE08046-72E6-47D5-888C-BE3727409AE4}"/>
    <hyperlink ref="A148" r:id="rId36" xr:uid="{391833E0-BB4C-41C7-BBD3-C91728FD7649}"/>
    <hyperlink ref="A151:A152" r:id="rId37" display="42(c)" xr:uid="{C36D9540-4B6D-48B0-B22B-34A4FFE44E35}"/>
    <hyperlink ref="C155:H155" r:id="rId38" display="42(d)" xr:uid="{985AC647-33FB-4A71-93C7-5C325CA24011}"/>
    <hyperlink ref="A169" r:id="rId39" display="https://xbrl.efrag.org/eng/interactive/vsme/vsme-standard-annex-i/2025-07-30-ec-rec/60" xr:uid="{37FFA10E-6558-4258-A996-A7A13B24BC45}"/>
    <hyperlink ref="A194" r:id="rId40" xr:uid="{AE0089D3-808C-4790-9566-1F08F8F69A4D}"/>
    <hyperlink ref="C199:H19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133:H133" r:id="rId45" display="https://xbrl.efrag.org/eng/interactive/vsme/vsme-guidance-annex-ii/2025-07-30-ec-rec/118" xr:uid="{9B3C672C-2D5B-4AC8-9FDE-5863B03C6A02}"/>
    <hyperlink ref="B151:B152" r:id="rId46" display="137-140" xr:uid="{4184C8F5-A5CA-456F-BDD4-7E346D6CCC84}"/>
    <hyperlink ref="A141" r:id="rId47" xr:uid="{0025172A-8FCF-4FE5-B3C1-C88E6B3908A4}"/>
    <hyperlink ref="A142" r:id="rId48" xr:uid="{DEEA807F-A6D7-4856-BB88-4C45205AC4BA}"/>
    <hyperlink ref="A143" r:id="rId49" xr:uid="{4A217A22-46F6-4593-AD74-30E1B42C71F7}"/>
    <hyperlink ref="A149" r:id="rId50" xr:uid="{6A5E69FA-D2CE-4BD9-9F85-5A40CDFC2E87}"/>
    <hyperlink ref="A150" r:id="rId51" xr:uid="{85BC8A83-71E2-476B-B296-E7A368C12D6C}"/>
    <hyperlink ref="A166" r:id="rId52" display="https://xbrl.efrag.org/eng/interactive/vsme/vsme-standard-annex-i/2025-07-30-ec-rec/59" xr:uid="{B6352C9C-6ADA-4E23-90B8-5672D2623859}"/>
    <hyperlink ref="A167" r:id="rId53" display="https://xbrl.efrag.org/eng/interactive/vsme/vsme-standard-annex-i/2025-07-30-ec-rec/59" xr:uid="{2CE1D049-2FF7-4C14-8247-582CA2E7AADB}"/>
    <hyperlink ref="A174" r:id="rId54" xr:uid="{A01648FD-4531-4ADA-BC8A-D0BFD47BE31A}"/>
    <hyperlink ref="A175" r:id="rId55" xr:uid="{E695DDCD-8153-4195-B88B-FBF08412A5B0}"/>
    <hyperlink ref="A176" r:id="rId56" xr:uid="{C2A519AC-6FD2-4147-A05B-E0D9804C45D0}"/>
    <hyperlink ref="A177" r:id="rId57" xr:uid="{D269E440-5783-4049-8DA6-691D04D50C55}"/>
    <hyperlink ref="A178" r:id="rId58" xr:uid="{3636C888-0684-413B-B650-52AB80239273}"/>
    <hyperlink ref="A179" r:id="rId59" xr:uid="{9E82C054-8192-4AFE-8D00-45E9DBEDE98A}"/>
    <hyperlink ref="A180" r:id="rId60" xr:uid="{D2E67599-055A-4305-8D9E-CCC62B31E83C}"/>
    <hyperlink ref="A186" r:id="rId61" xr:uid="{42389616-D7DC-4967-8217-BA7DF3BF2677}"/>
    <hyperlink ref="A187" r:id="rId62" xr:uid="{FD787500-F418-4140-9673-E586F1C1FE87}"/>
    <hyperlink ref="A188" r:id="rId63" xr:uid="{101B247B-F782-48A2-B8C8-3A1DF15C08A7}"/>
    <hyperlink ref="A189" r:id="rId64" xr:uid="{CF1F45B8-9AD9-4586-9AF7-E6829297B0E7}"/>
    <hyperlink ref="A190" r:id="rId65" xr:uid="{158639B2-36A1-4A09-AAD2-C5B9508ACA3C}"/>
    <hyperlink ref="A191" r:id="rId66" xr:uid="{E1826D17-99A9-476E-8EB3-7421B92D132F}"/>
    <hyperlink ref="B144" r:id="rId67" xr:uid="{6531E4F5-A8E4-4C65-9524-B86416E7C98C}"/>
    <hyperlink ref="B173" r:id="rId68" display="https://xbrl.efrag.org/eng/interactive/vsme/vsme-guidance-annex-ii/2025-07-30-ec-rec/173" xr:uid="{CD1F773C-4DBC-4FE3-9F8B-EC998D968458}"/>
    <hyperlink ref="B174" r:id="rId69" display="https://xbrl.efrag.org/eng/interactive/vsme/vsme-guidance-annex-ii/2025-07-30-ec-rec/173" xr:uid="{4FEE3EA4-2284-4F07-9B36-2AEE980DF91A}"/>
    <hyperlink ref="B175" r:id="rId70" display="https://xbrl.efrag.org/eng/interactive/vsme/vsme-guidance-annex-ii/2025-07-30-ec-rec/173" xr:uid="{8239416B-CF1E-469D-AA10-1800167E3309}"/>
    <hyperlink ref="B176" r:id="rId71" display="https://xbrl.efrag.org/eng/interactive/vsme/vsme-guidance-annex-ii/2025-07-30-ec-rec/173" xr:uid="{2D45C5BA-97D7-47AA-AA14-72AFE5593D6D}"/>
    <hyperlink ref="B177" r:id="rId72" display="https://xbrl.efrag.org/eng/interactive/vsme/vsme-guidance-annex-ii/2025-07-30-ec-rec/173" xr:uid="{9B15DD8E-2981-4D03-905C-180F87E33E35}"/>
    <hyperlink ref="B178" r:id="rId73" display="https://xbrl.efrag.org/eng/interactive/vsme/vsme-guidance-annex-ii/2025-07-30-ec-rec/173" xr:uid="{8218DE42-1C86-481F-A6AF-1E75450D64FE}"/>
    <hyperlink ref="B179" r:id="rId74" display="https://xbrl.efrag.org/eng/interactive/vsme/vsme-guidance-annex-ii/2025-07-30-ec-rec/173" xr:uid="{9692D913-23F9-4B05-9B66-CE5A503AB1C4}"/>
    <hyperlink ref="B180" r:id="rId75" display="https://xbrl.efrag.org/eng/interactive/vsme/vsme-guidance-annex-ii/2025-07-30-ec-rec/173" xr:uid="{A25FA8FB-F895-497B-A810-794BEE155C88}"/>
    <hyperlink ref="B181" r:id="rId76" display="https://xbrl.efrag.org/eng/interactive/vsme/vsme-guidance-annex-ii/2025-07-30-ec-rec/173" xr:uid="{A1745671-C85A-4B5E-87F6-C0A8FB70740A}"/>
    <hyperlink ref="B185" r:id="rId77" display="https://xbrl.efrag.org/eng/interactive/vsme/vsme-guidance-annex-ii/2025-07-30-ec-rec/174" xr:uid="{FDF17B2D-0176-4706-B411-4F54D97C1CA8}"/>
    <hyperlink ref="B186" r:id="rId78" display="https://xbrl.efrag.org/eng/interactive/vsme/vsme-guidance-annex-ii/2025-07-30-ec-rec/174" xr:uid="{2C16E34B-1B18-4252-805B-637FBAE2CEDF}"/>
    <hyperlink ref="B187" r:id="rId79" display="https://xbrl.efrag.org/eng/interactive/vsme/vsme-guidance-annex-ii/2025-07-30-ec-rec/174" xr:uid="{3332D126-0D3A-487D-8EA3-F1F86FABDCC2}"/>
    <hyperlink ref="B188" r:id="rId80" display="https://xbrl.efrag.org/eng/interactive/vsme/vsme-guidance-annex-ii/2025-07-30-ec-rec/174" xr:uid="{F925DB5F-028A-4910-A85A-739E8E35F229}"/>
    <hyperlink ref="B189" r:id="rId81" display="https://xbrl.efrag.org/eng/interactive/vsme/vsme-guidance-annex-ii/2025-07-30-ec-rec/174" xr:uid="{7E2C1FA0-BF74-4E9C-9226-D9EA1B346D7C}"/>
    <hyperlink ref="B190" r:id="rId82" display="https://xbrl.efrag.org/eng/interactive/vsme/vsme-guidance-annex-ii/2025-07-30-ec-rec/174" xr:uid="{A4A94B65-7800-4536-AA15-3E3817B90BFB}"/>
    <hyperlink ref="B191" r:id="rId83" display="https://xbrl.efrag.org/eng/interactive/vsme/vsme-guidance-annex-ii/2025-07-30-ec-rec/174" xr:uid="{429E65FF-4151-47CA-9440-AD55907CC30E}"/>
    <hyperlink ref="B192" r:id="rId84" display="https://xbrl.efrag.org/eng/interactive/vsme/vsme-guidance-annex-ii/2025-07-30-ec-rec/174" xr:uid="{4E9248DE-3C7F-487D-885D-AC5F2BDFA45D}"/>
    <hyperlink ref="B193" r:id="rId85" display="https://xbrl.efrag.org/eng/interactive/vsme/vsme-guidance-annex-ii/2025-07-30-ec-rec/174" xr:uid="{2908366A-15C9-4C2F-BA5E-D048D6FFDF7A}"/>
    <hyperlink ref="B194" r:id="rId86" display="https://xbrl.efrag.org/eng/interactive/vsme/vsme-guidance-annex-ii/2025-07-30-ec-rec/174" xr:uid="{776DE015-4DF2-44E3-A7D9-CD366BB7D918}"/>
    <hyperlink ref="B141" r:id="rId87" xr:uid="{10325A92-4534-41F4-933D-08B26E504FC3}"/>
    <hyperlink ref="B142" r:id="rId88" xr:uid="{1A6F7006-BBE9-410C-B55B-75B449A59A0F}"/>
    <hyperlink ref="B143" r:id="rId89" xr:uid="{5DCC0FB2-6BC5-4CB6-AA33-4B56399A70A7}"/>
    <hyperlink ref="B149" r:id="rId90" xr:uid="{985191A6-08B6-463A-9892-9508669475E1}"/>
    <hyperlink ref="B150" r:id="rId91" xr:uid="{C22D5BD3-0F51-4FC4-9ED3-3C6207CA94E5}"/>
    <hyperlink ref="B169" r:id="rId92" xr:uid="{4E2EB394-1514-475F-A549-6B5ADC5A7ED2}"/>
    <hyperlink ref="B166" r:id="rId93" xr:uid="{D278DC32-8277-4A39-B148-40BD4ACC5845}"/>
    <hyperlink ref="B16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Information'!$E$328&gt;50</xm:f>
            <x14:dxf>
              <fill>
                <patternFill patternType="solid">
                  <bgColor rgb="FFFFFF99"/>
                </patternFill>
              </fill>
            </x14:dxf>
          </x14:cfRule>
          <xm:sqref>C134:H136</xm:sqref>
        </x14:conditionalFormatting>
        <x14:conditionalFormatting xmlns:xm="http://schemas.microsoft.com/office/excel/2006/main">
          <x14:cfRule type="expression" priority="43" id="{41BDF252-99BC-47B0-A14B-5396CCC7A6C9}">
            <xm:f>'General Information'!$E$328&gt;150</xm:f>
            <x14:dxf>
              <fill>
                <patternFill patternType="solid">
                  <bgColor rgb="FFFFFF99"/>
                </patternFill>
              </fill>
            </x14:dxf>
          </x14:cfRule>
          <xm:sqref>C148:H149</xm:sqref>
        </x14:conditionalFormatting>
        <x14:conditionalFormatting xmlns:xm="http://schemas.microsoft.com/office/excel/2006/main">
          <x14:cfRule type="expression" priority="36" id="{0A250C4B-DD07-4841-AABD-2DCC525B6367}">
            <xm:f>'General Information'!$E$328&gt;50</xm:f>
            <x14:dxf>
              <fill>
                <patternFill patternType="solid">
                  <bgColor rgb="FFFFFF99"/>
                </patternFill>
              </fill>
            </x14:dxf>
          </x14:cfRule>
          <xm:sqref>C165:H166</xm:sqref>
        </x14:conditionalFormatting>
        <x14:conditionalFormatting xmlns:xm="http://schemas.microsoft.com/office/excel/2006/main">
          <x14:cfRule type="expression" priority="35" id="{69F3CDF1-C506-4C12-A20E-FE804D24A482}">
            <xm:f>'General Information'!$E$328&gt;50</xm:f>
            <x14:dxf>
              <fill>
                <patternFill patternType="none">
                  <bgColor auto="1"/>
                </patternFill>
              </fill>
            </x14:dxf>
          </x14:cfRule>
          <xm:sqref>D168:H169</xm:sqref>
        </x14:conditionalFormatting>
        <x14:conditionalFormatting xmlns:xm="http://schemas.microsoft.com/office/excel/2006/main">
          <x14:cfRule type="expression" priority="34"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3" id="{04A7DFC3-A5B9-44F5-A88C-400BD569DEEE}">
            <xm:f>'General Information'!$E$122="Option A (Basic Module only)"</xm:f>
            <x14:dxf>
              <fill>
                <patternFill>
                  <bgColor theme="0" tint="-0.14996795556505021"/>
                </patternFill>
              </fill>
            </x14:dxf>
          </x14:cfRule>
          <xm:sqref>D186:H190</xm:sqref>
        </x14:conditionalFormatting>
        <x14:conditionalFormatting xmlns:xm="http://schemas.microsoft.com/office/excel/2006/main">
          <x14:cfRule type="expression" priority="3" id="{7FE6ADB3-3DD3-426C-938E-EB2499260F47}">
            <xm:f>'General Information'!$E$122="Option A (Basic Module only)"</xm:f>
            <x14:dxf>
              <fill>
                <patternFill>
                  <bgColor theme="0" tint="-0.14996795556505021"/>
                </patternFill>
              </fill>
            </x14:dxf>
          </x14:cfRule>
          <xm:sqref>E27</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36E3C7AF-FE8A-4BFE-93E5-E05EE51CA186}">
          <x14:formula1>
            <xm:f>IF('General Information'!$E$330="","-",'General Information'!$E$330)</xm:f>
          </x14:formula1>
          <xm:sqref>F2:H2</xm:sqref>
        </x14:dataValidation>
        <x14:dataValidation type="custom" showInputMessage="1" showErrorMessage="1" xr:uid="{5CB0FDEF-7EB7-4204-AC9A-257032190656}">
          <x14:formula1>
            <xm:f>IF('General Information'!$E$328="","-",'General Information'!$E$328)</xm:f>
          </x14:formula1>
          <xm:sqref>D22:G22 E129</xm:sqref>
        </x14:dataValidation>
        <x14:dataValidation type="decimal" operator="lessThanOrEqual" showInputMessage="1" showErrorMessage="1" xr:uid="{0C498D34-B549-4574-AAED-C478F3CDADCC}">
          <x14:formula1>
            <xm:f>'General Information'!E328</xm:f>
          </x14:formula1>
          <xm:sqref>D151:H151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58" t="s">
        <v>3729</v>
      </c>
      <c r="B1" s="258" t="s">
        <v>3728</v>
      </c>
      <c r="C1" s="10"/>
      <c r="D1" s="10"/>
      <c r="E1" s="10"/>
      <c r="F1" s="10"/>
      <c r="G1" s="10"/>
      <c r="H1" s="10"/>
    </row>
    <row r="2" spans="1:9" x14ac:dyDescent="0.3">
      <c r="A2" s="10"/>
      <c r="B2" s="10"/>
      <c r="C2" s="579"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 to - [If applicable]</v>
      </c>
      <c r="D2" s="580"/>
      <c r="E2" s="580"/>
      <c r="F2" s="580"/>
      <c r="G2" s="580"/>
      <c r="H2" s="581"/>
    </row>
    <row r="3" spans="1:9" x14ac:dyDescent="0.3">
      <c r="A3" s="10"/>
      <c r="B3" s="10"/>
      <c r="C3" s="1087">
        <v>43</v>
      </c>
      <c r="D3" s="1088"/>
      <c r="E3" s="1088"/>
      <c r="F3" s="1088"/>
      <c r="G3" s="1088"/>
      <c r="H3" s="1089"/>
    </row>
    <row r="4" spans="1:9" x14ac:dyDescent="0.3">
      <c r="A4" s="10"/>
      <c r="B4" s="10"/>
      <c r="C4" s="1090" t="s">
        <v>5664</v>
      </c>
      <c r="D4" s="1091"/>
      <c r="E4" s="1091"/>
      <c r="F4" s="1091"/>
      <c r="G4" s="1091"/>
      <c r="H4" s="1092"/>
    </row>
    <row r="5" spans="1:9" s="10" customFormat="1" x14ac:dyDescent="0.3">
      <c r="C5" s="1119" t="str">
        <f>template_label_has_the_undertaking_incurred_in_convictions_and_fines_in_the_reporting_period</f>
        <v>Has the undertaking incurred in convictions and fines in the reporting period?</v>
      </c>
      <c r="D5" s="1120"/>
      <c r="E5" s="1120"/>
      <c r="F5" s="1120"/>
      <c r="G5" s="1120"/>
      <c r="H5" s="168" t="b">
        <v>0</v>
      </c>
      <c r="I5" s="15"/>
    </row>
    <row r="6" spans="1:9" s="10" customFormat="1" ht="21.6" customHeight="1" x14ac:dyDescent="0.3">
      <c r="C6" s="1111" t="str">
        <f>template_label_total_number_of_convictions_for_the_violation_of_anti_corruption_and_anti_bribery_laws</f>
        <v>Total number of convictions  for the violation of anti-corruption and anti-bribery laws</v>
      </c>
      <c r="D6" s="1112"/>
      <c r="E6" s="1112"/>
      <c r="F6" s="1112"/>
      <c r="G6" s="1113"/>
      <c r="H6" s="289"/>
      <c r="I6" s="15" t="str">
        <f>IF(AND($H$5=TRUE,H6&lt;&gt;""), template_label_ok,
IF(AND($H$5=TRUE,H6=""), template_label_missing_value, ""))</f>
        <v/>
      </c>
    </row>
    <row r="7" spans="1:9" s="10" customFormat="1" ht="15" thickBot="1" x14ac:dyDescent="0.35">
      <c r="C7" s="1114" t="str">
        <f>template_label_total_amount_of_fines_for_the_violation_of_anti_corruption_and_anti_bribery_laws &amp; " " &amp; "(" &amp; template_label_amount_in &amp; " " &amp; template_currency &amp; ")"</f>
        <v>Total amount of fines for the violation of anti-corruption and anti-bribery laws (amount in )</v>
      </c>
      <c r="D7" s="1115"/>
      <c r="E7" s="1115"/>
      <c r="F7" s="1115"/>
      <c r="G7" s="1116"/>
      <c r="H7" s="290"/>
      <c r="I7" s="15" t="str">
        <f>IF(AND($H$5=TRUE,H7&lt;&gt;""), template_label_ok,
IF(AND($H$5=TRUE,H7=""), template_label_missing_value, ""))</f>
        <v/>
      </c>
    </row>
    <row r="8" spans="1:9" s="10" customFormat="1" ht="15" thickBot="1" x14ac:dyDescent="0.35">
      <c r="I8" s="15"/>
    </row>
    <row r="9" spans="1:9" s="10" customFormat="1" x14ac:dyDescent="0.3">
      <c r="C9" s="786" t="str">
        <f>template_label_c8_revenues_from_certain_sectors&amp;" "&amp;template_label_from&amp;" "&amp;template_starting_date_display&amp;" "&amp;template_label_to&amp;" "&amp;template_ending_date_display&amp;" "&amp;template_label_if_applicable</f>
        <v>C8 – Revenues from certain activities from - to - [If applicable]</v>
      </c>
      <c r="D9" s="1082"/>
      <c r="E9" s="1082"/>
      <c r="F9" s="1082"/>
      <c r="G9" s="1082"/>
      <c r="H9" s="1083"/>
      <c r="I9" s="15"/>
    </row>
    <row r="10" spans="1:9" ht="28.2" customHeight="1" x14ac:dyDescent="0.3">
      <c r="A10" s="10"/>
      <c r="B10" s="10"/>
      <c r="C10" s="1119" t="str">
        <f>template_label_is_the_undertaking_deriving_revenues_from_one_of_the_activities_listed_below</f>
        <v>Is the undertaking deriving revenues from one of the activities listed below?</v>
      </c>
      <c r="D10" s="1120"/>
      <c r="E10" s="1120"/>
      <c r="F10" s="1120"/>
      <c r="G10" s="1120"/>
      <c r="H10" s="169" t="b">
        <v>0</v>
      </c>
    </row>
    <row r="11" spans="1:9" x14ac:dyDescent="0.3">
      <c r="A11" s="10"/>
      <c r="B11" s="10"/>
      <c r="C11" s="1097"/>
      <c r="D11" s="1098"/>
      <c r="E11" s="1098"/>
      <c r="F11" s="1098"/>
      <c r="G11" s="1098"/>
      <c r="H11" s="53" t="str">
        <f>template_label_monetary_amount_in &amp; " " &amp; template_currency</f>
        <v xml:space="preserve">Monetary amount in </v>
      </c>
    </row>
    <row r="12" spans="1:9" s="10" customFormat="1" ht="32.4" customHeight="1" x14ac:dyDescent="0.3">
      <c r="A12" s="462" t="s">
        <v>3768</v>
      </c>
      <c r="B12" s="465" t="s">
        <v>5666</v>
      </c>
      <c r="C12" s="549" t="str">
        <f>template_label_revenue_derived_from_controversial_weapons</f>
        <v>Revenue derived from controversial weapons (anti-personnel mines cluster munitions chemical weapons and biological weapons)</v>
      </c>
      <c r="D12" s="550"/>
      <c r="E12" s="550"/>
      <c r="F12" s="550"/>
      <c r="G12" s="550"/>
      <c r="H12" s="285"/>
      <c r="I12" s="1121" t="str">
        <f>IF(AND(H10=FALSE,COUNTA(H12:H16)=0, H18=""),
    "",
    IF(AND(OR(COUNTA(H12:H16)&gt;0, H18&lt;&gt;""), SUM(H12:H16, H18)&lt;='General Information'!E327),
        template_label_ok,
        IF(AND(H10=TRUE, COUNTA(H12:H16)=0, H18=""),
            template_label_missing_value,
            template_label_value_inconsistency
        )
    )
)</f>
        <v/>
      </c>
    </row>
    <row r="13" spans="1:9" s="10" customFormat="1" ht="15" thickBot="1" x14ac:dyDescent="0.35">
      <c r="A13" s="462" t="s">
        <v>3769</v>
      </c>
      <c r="B13" s="465" t="s">
        <v>5666</v>
      </c>
      <c r="C13" s="794" t="str">
        <f>template_label_revenue_derived_from_cultivation_and_production_of_tobacco</f>
        <v>Revenue derived from cultivation and production of tobacco</v>
      </c>
      <c r="D13" s="795"/>
      <c r="E13" s="795"/>
      <c r="F13" s="795"/>
      <c r="G13" s="795"/>
      <c r="H13" s="286"/>
      <c r="I13" s="1121"/>
    </row>
    <row r="14" spans="1:9" s="10" customFormat="1" x14ac:dyDescent="0.3">
      <c r="A14" s="473" t="s">
        <v>3770</v>
      </c>
      <c r="B14" s="465" t="s">
        <v>5666</v>
      </c>
      <c r="C14" s="1122" t="str">
        <f>template_label_revenue_derived_from_coal</f>
        <v>Revenue derived from coal</v>
      </c>
      <c r="D14" s="1123"/>
      <c r="E14" s="1123"/>
      <c r="F14" s="1123"/>
      <c r="G14" s="1123"/>
      <c r="H14" s="287"/>
      <c r="I14" s="1121"/>
    </row>
    <row r="15" spans="1:9" s="10" customFormat="1" x14ac:dyDescent="0.3">
      <c r="A15" s="473" t="s">
        <v>3770</v>
      </c>
      <c r="B15" s="465" t="s">
        <v>5666</v>
      </c>
      <c r="C15" s="549" t="str">
        <f>template_label_revenue_derived_from_oil</f>
        <v>Revenue derived from oil</v>
      </c>
      <c r="D15" s="550"/>
      <c r="E15" s="550"/>
      <c r="F15" s="550"/>
      <c r="G15" s="550"/>
      <c r="H15" s="285"/>
      <c r="I15" s="1121"/>
    </row>
    <row r="16" spans="1:9" s="10" customFormat="1" x14ac:dyDescent="0.3">
      <c r="A16" s="473" t="s">
        <v>3770</v>
      </c>
      <c r="B16" s="465" t="s">
        <v>5666</v>
      </c>
      <c r="C16" s="549" t="str">
        <f>template_label_revenue_derived_from_gas</f>
        <v>Revenue derived from gas</v>
      </c>
      <c r="D16" s="550"/>
      <c r="E16" s="550"/>
      <c r="F16" s="550"/>
      <c r="G16" s="550"/>
      <c r="H16" s="285"/>
      <c r="I16" s="1121"/>
    </row>
    <row r="17" spans="1:9" s="10" customFormat="1" ht="60.6" customHeight="1" thickBot="1" x14ac:dyDescent="0.35">
      <c r="A17" s="473" t="s">
        <v>3770</v>
      </c>
      <c r="B17" s="465" t="s">
        <v>5666</v>
      </c>
      <c r="C17" s="1117"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118"/>
      <c r="E17" s="1118"/>
      <c r="F17" s="1118"/>
      <c r="G17" s="1118"/>
      <c r="H17" s="281" t="str">
        <f>IF(COUNTA(H14:H16)=0, "-", SUM(H14:H16))</f>
        <v>-</v>
      </c>
      <c r="I17" s="1121"/>
    </row>
    <row r="18" spans="1:9" s="10" customFormat="1" ht="15" thickBot="1" x14ac:dyDescent="0.35">
      <c r="A18" s="462" t="s">
        <v>3771</v>
      </c>
      <c r="B18" s="465" t="s">
        <v>5666</v>
      </c>
      <c r="C18" s="936" t="str">
        <f>template_label_revenue_derived_from_chemicals_production</f>
        <v>Revenue derived from chemicals production</v>
      </c>
      <c r="D18" s="1096"/>
      <c r="E18" s="1096"/>
      <c r="F18" s="1096"/>
      <c r="G18" s="1096"/>
      <c r="H18" s="288"/>
      <c r="I18" s="1121"/>
    </row>
    <row r="19" spans="1:9" s="10" customFormat="1" ht="15" thickBot="1" x14ac:dyDescent="0.35">
      <c r="I19" s="15"/>
    </row>
    <row r="20" spans="1:9" s="10" customFormat="1" x14ac:dyDescent="0.3">
      <c r="C20" s="786" t="str">
        <f>template_label_c8_exclusion_from_eu_reference_benchmarks&amp;" "&amp;template_label_from&amp;" "&amp;template_starting_date_display&amp;" "&amp;template_label_to&amp;" "&amp;template_ending_date_display&amp;" "&amp;template_label_always_to_be_reported</f>
        <v>C8 – Exclusion from EU reference benchmarks from - to - [Always to be reported]</v>
      </c>
      <c r="D20" s="1082"/>
      <c r="E20" s="1082"/>
      <c r="F20" s="1082"/>
      <c r="G20" s="1082"/>
      <c r="H20" s="1083"/>
      <c r="I20" s="15"/>
    </row>
    <row r="21" spans="1:9" s="10" customFormat="1" x14ac:dyDescent="0.3">
      <c r="B21" s="403"/>
      <c r="C21" s="1093" t="str">
        <f>template_label_undertakings_are_excluded_from_the_eu_paris_aligned_benchmarks_if_they_derive</f>
        <v>Undertakings are excluded from the EU Paris-aligned Benchmarks if they  derive:</v>
      </c>
      <c r="D21" s="1094"/>
      <c r="E21" s="1094"/>
      <c r="F21" s="1094"/>
      <c r="G21" s="1094"/>
      <c r="H21" s="1095"/>
      <c r="I21" s="15"/>
    </row>
    <row r="22" spans="1:9" s="10" customFormat="1" ht="30" customHeight="1" x14ac:dyDescent="0.3">
      <c r="A22" s="462">
        <v>64</v>
      </c>
      <c r="B22" s="465" t="s">
        <v>5665</v>
      </c>
      <c r="C22" s="1099" t="str">
        <f>template_label_1_percent_or_more_of_their_revenues_from_exploration_mining_extraction_distribution_or_refining_of_hard_coal_and_lignite</f>
        <v>1% or more of their revenues from exploration mining extraction distribution or refining of hard coal and lignite</v>
      </c>
      <c r="D22" s="1100"/>
      <c r="E22" s="1100"/>
      <c r="F22" s="1100"/>
      <c r="G22" s="1101"/>
      <c r="H22" s="170" t="b">
        <v>0</v>
      </c>
      <c r="I22" s="954" t="str">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
      </c>
    </row>
    <row r="23" spans="1:9" s="10" customFormat="1" x14ac:dyDescent="0.3">
      <c r="A23" s="462">
        <v>64</v>
      </c>
      <c r="B23" s="465" t="s">
        <v>5667</v>
      </c>
      <c r="C23" s="1102" t="str">
        <f>template_label_10_percent_or_more_of_their_revenues_from_the_exploration_extraction_distribution_or_refining_of_oil_fuels</f>
        <v>10% or more of their revenues from the exploration extraction distribution or refining of oil fuels</v>
      </c>
      <c r="D23" s="1103"/>
      <c r="E23" s="1103"/>
      <c r="F23" s="1103"/>
      <c r="G23" s="1104"/>
      <c r="H23" s="171" t="b">
        <v>0</v>
      </c>
      <c r="I23" s="954"/>
    </row>
    <row r="24" spans="1:9" s="10" customFormat="1" ht="32.4" customHeight="1" x14ac:dyDescent="0.3">
      <c r="A24" s="462">
        <v>64</v>
      </c>
      <c r="B24" s="465" t="s">
        <v>5668</v>
      </c>
      <c r="C24" s="1105" t="str">
        <f>template_label_50_percent_or_more_of_their_revenues_from_the_exploration_extraction_manufacturing_or_distribution_of_gaseous_fuels</f>
        <v>50% or more of their revenues from the exploration extraction manufacturing or distribution of gaseous fuels</v>
      </c>
      <c r="D24" s="1106"/>
      <c r="E24" s="1106"/>
      <c r="F24" s="1106"/>
      <c r="G24" s="1107"/>
      <c r="H24" s="171" t="b">
        <v>0</v>
      </c>
      <c r="I24" s="954"/>
    </row>
    <row r="25" spans="1:9" s="10" customFormat="1" ht="31.2" customHeight="1" thickBot="1" x14ac:dyDescent="0.35">
      <c r="A25" s="462">
        <v>64</v>
      </c>
      <c r="B25" s="465" t="s">
        <v>5669</v>
      </c>
      <c r="C25" s="1108" t="str">
        <f>template_label_50_percent_or_more_of_their_revenues_from_electricity_generation</f>
        <v>50% or more of their revenues from electricity generation with a GHG intensity of more than 100g CO2 e kWh</v>
      </c>
      <c r="D25" s="1109"/>
      <c r="E25" s="1109"/>
      <c r="F25" s="1109"/>
      <c r="G25" s="1110"/>
      <c r="H25" s="172" t="b">
        <v>0</v>
      </c>
      <c r="I25" s="954"/>
    </row>
    <row r="26" spans="1:9" s="10" customFormat="1" ht="15" thickBot="1" x14ac:dyDescent="0.35">
      <c r="C26" s="1127" t="str">
        <f>template_label_none_of_the_above</f>
        <v>None of the above</v>
      </c>
      <c r="D26" s="1128"/>
      <c r="E26" s="1128"/>
      <c r="F26" s="1128"/>
      <c r="G26" s="1129"/>
      <c r="H26" s="173" t="b">
        <v>0</v>
      </c>
      <c r="I26" s="954"/>
    </row>
    <row r="27" spans="1:9" s="10" customFormat="1" ht="15" thickBot="1" x14ac:dyDescent="0.35">
      <c r="A27" s="462">
        <v>64</v>
      </c>
      <c r="B27" s="465">
        <v>177</v>
      </c>
      <c r="C27" s="1130" t="str">
        <f>template_label_undertakings_are_excluded_from_any_eu_reference_benchmarks_that_are_aligned_with_the_paris_agreement</f>
        <v>Undertakings are excluded from any EU reference benchmarks that are aligned with the Paris Agreement</v>
      </c>
      <c r="D27" s="1131"/>
      <c r="E27" s="1131"/>
      <c r="F27" s="1131"/>
      <c r="G27" s="1132"/>
      <c r="H27" s="20" t="str">
        <f>IF(AND(OR(H22=TRUE, H23=TRUE, H24=TRUE, H25=TRUE), H26=FALSE), "YES",
   IF(AND(OR(H22=TRUE, H23=TRUE, H24=TRUE, H25=TRUE), H26=TRUE), "NA",
   IF(AND(H22=FALSE, H23=FALSE, H24=FALSE, H25=FALSE, H26=TRUE), "NO",
   IF(AND(H22=FALSE, H23=FALSE, H24=FALSE, H25=FALSE, H26=FALSE), "-", ""))))</f>
        <v>-</v>
      </c>
      <c r="I27" s="15" t="str">
        <f>IF(H27=TRUE, template_label_ok, "")</f>
        <v/>
      </c>
    </row>
    <row r="28" spans="1:9" s="10" customFormat="1" ht="15" thickBot="1" x14ac:dyDescent="0.35">
      <c r="I28" s="15"/>
    </row>
    <row r="29" spans="1:9" s="10" customFormat="1" x14ac:dyDescent="0.3">
      <c r="C29" s="1084" t="str">
        <f>template_label_c9_gender_diversity_ratio_in_the_governance_body&amp;" "&amp;template_label_at&amp;" "&amp;template_ending_date_display&amp;" "&amp;template_label_if_applicable</f>
        <v>C9 – Gender diversity ratio in the governance body at - [If applicable]</v>
      </c>
      <c r="D29" s="1085"/>
      <c r="E29" s="1085"/>
      <c r="F29" s="1085"/>
      <c r="G29" s="1085"/>
      <c r="H29" s="1086"/>
      <c r="I29" s="15"/>
    </row>
    <row r="30" spans="1:9" s="10" customFormat="1" x14ac:dyDescent="0.3">
      <c r="C30" s="1119" t="str">
        <f>template_label_does_the_undertaking_have_a_governance_body_in_place</f>
        <v>Does the undertaking have a governance body in place?</v>
      </c>
      <c r="D30" s="1120"/>
      <c r="E30" s="1120"/>
      <c r="F30" s="1120"/>
      <c r="G30" s="1120"/>
      <c r="H30" s="169" t="b">
        <v>0</v>
      </c>
      <c r="I30" s="15"/>
    </row>
    <row r="31" spans="1:9" s="10" customFormat="1" x14ac:dyDescent="0.3">
      <c r="A31" s="1091">
        <v>65</v>
      </c>
      <c r="B31" s="1135" t="s">
        <v>5670</v>
      </c>
      <c r="C31" s="1119" t="str">
        <f>template_label_number_of_female_board_members_at_the_end_of_the_reporting_period</f>
        <v>Number of female board members at the end of the reporting period</v>
      </c>
      <c r="D31" s="1120"/>
      <c r="E31" s="1120"/>
      <c r="F31" s="1120"/>
      <c r="G31" s="1120"/>
      <c r="H31" s="285"/>
      <c r="I31" s="15" t="str">
        <f>IF(AND($H$30=TRUE, H31&lt;&gt;""), template_label_ok, IF(AND($H$30=TRUE, H31=""), template_label_missing_value, ""))</f>
        <v/>
      </c>
    </row>
    <row r="32" spans="1:9" s="10" customFormat="1" x14ac:dyDescent="0.3">
      <c r="A32" s="1133"/>
      <c r="B32" s="1136"/>
      <c r="C32" s="1119" t="str">
        <f>template_label_number_of_male_board_members_at_the_end_of_the_reporting_period</f>
        <v>Number of male board members at the end of the reporting period</v>
      </c>
      <c r="D32" s="1120"/>
      <c r="E32" s="1120"/>
      <c r="F32" s="1120"/>
      <c r="G32" s="1120"/>
      <c r="H32" s="285"/>
      <c r="I32" s="15" t="str">
        <f>IF(AND($H$30=TRUE, H32&lt;&gt;""), template_label_ok, IF(AND($H$30=TRUE, H32=""), template_label_missing_value, ""))</f>
        <v/>
      </c>
    </row>
    <row r="33" spans="1:9" s="10" customFormat="1" ht="15" thickBot="1" x14ac:dyDescent="0.35">
      <c r="A33" s="1134"/>
      <c r="B33" s="1137"/>
      <c r="C33" s="1138" t="str">
        <f>template_label_gender_diversity_ratio_in_governance_body</f>
        <v>Gender diversity ratio in governance body</v>
      </c>
      <c r="D33" s="1139"/>
      <c r="E33" s="1139"/>
      <c r="F33" s="1139"/>
      <c r="G33" s="1139"/>
      <c r="H33" s="281" t="str">
        <f>IF(AND(H31&lt;&gt;"",H32&lt;&gt;""),IF(OR(H31=0,H32=0),0,H31/H32),"-")</f>
        <v>-</v>
      </c>
      <c r="I33" s="15"/>
    </row>
    <row r="34" spans="1:9" s="10" customFormat="1" x14ac:dyDescent="0.3">
      <c r="I34" s="15"/>
    </row>
    <row r="35" spans="1:9" s="10" customFormat="1" x14ac:dyDescent="0.3">
      <c r="I35" s="15"/>
    </row>
    <row r="36" spans="1:9" s="10" customFormat="1" x14ac:dyDescent="0.3">
      <c r="C36" s="656"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 to - [May (optional)]</v>
      </c>
      <c r="D36" s="657"/>
      <c r="E36" s="657"/>
      <c r="F36" s="657"/>
      <c r="G36" s="657"/>
      <c r="H36" s="658"/>
      <c r="I36" s="15"/>
    </row>
    <row r="37" spans="1:9" s="10" customFormat="1" x14ac:dyDescent="0.3">
      <c r="C37" s="1124">
        <v>10</v>
      </c>
      <c r="D37" s="1125"/>
      <c r="E37" s="1125"/>
      <c r="F37" s="1125"/>
      <c r="G37" s="1125"/>
      <c r="H37" s="1126"/>
      <c r="I37" s="15"/>
    </row>
    <row r="38" spans="1:9" s="10" customFormat="1" ht="15" thickBot="1" x14ac:dyDescent="0.35">
      <c r="C38" s="650"/>
      <c r="D38" s="651"/>
      <c r="E38" s="651"/>
      <c r="F38" s="651"/>
      <c r="G38" s="651"/>
      <c r="H38" s="953"/>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48" priority="7">
      <formula>$H$5=TRUE</formula>
    </cfRule>
  </conditionalFormatting>
  <conditionalFormatting sqref="H12:H16">
    <cfRule type="expression" dxfId="47" priority="6">
      <formula>$H$10=TRUE</formula>
    </cfRule>
  </conditionalFormatting>
  <conditionalFormatting sqref="H18">
    <cfRule type="expression" dxfId="46" priority="5">
      <formula>$H$10=TRUE</formula>
    </cfRule>
  </conditionalFormatting>
  <conditionalFormatting sqref="H31:H32">
    <cfRule type="expression" dxfId="45" priority="4">
      <formula>$H$30=TRUE</formula>
    </cfRule>
  </conditionalFormatting>
  <conditionalFormatting sqref="I6:I7">
    <cfRule type="expression" dxfId="44" priority="3">
      <formula>$I6=template_label_missing_value</formula>
    </cfRule>
    <cfRule type="expression" dxfId="43" priority="25">
      <formula>$I6=template_label_ok</formula>
    </cfRule>
  </conditionalFormatting>
  <conditionalFormatting sqref="I12:I18">
    <cfRule type="expression" dxfId="42" priority="1">
      <formula>$I$12=template_label_missing_value</formula>
    </cfRule>
    <cfRule type="expression" dxfId="41" priority="11">
      <formula>$I$12=template_label_value_inconsistency</formula>
    </cfRule>
    <cfRule type="expression" dxfId="40" priority="12">
      <formula>$I$12=template_label_ok</formula>
    </cfRule>
  </conditionalFormatting>
  <conditionalFormatting sqref="I22">
    <cfRule type="expression" dxfId="39" priority="8">
      <formula>$I$22=template_label_ok</formula>
    </cfRule>
    <cfRule type="expression" dxfId="38" priority="9">
      <formula>$I$22=template_label_missing_value</formula>
    </cfRule>
  </conditionalFormatting>
  <conditionalFormatting sqref="I27">
    <cfRule type="expression" dxfId="37" priority="18">
      <formula>$I$27="OK"</formula>
    </cfRule>
  </conditionalFormatting>
  <conditionalFormatting sqref="I30:I32">
    <cfRule type="expression" dxfId="36" priority="17">
      <formula>$I30=template_label_ok</formula>
    </cfRule>
  </conditionalFormatting>
  <conditionalFormatting sqref="I31:I32">
    <cfRule type="expression" dxfId="35" priority="2">
      <formula>$I31=template_label_missing_value</formula>
    </cfRule>
  </conditionalFormatting>
  <conditionalFormatting sqref="I38">
    <cfRule type="expression" dxfId="34"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Information'!$E$327</xm:f>
          </x14:formula1>
          <xm:sqref>H17</xm:sqref>
        </x14:dataValidation>
        <x14:dataValidation type="custom" showInputMessage="1" showErrorMessage="1" xr:uid="{F6328591-2F0B-4688-A58B-FE2019B26C27}">
          <x14:formula1>
            <xm:f>($H$12+$H$13+$H$14+$H$15+$H$16+$H$18)&lt;='General Information'!$E$327</xm:f>
          </x14:formula1>
          <xm:sqref>H18 H12:H16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59.44140625" style="10" customWidth="1"/>
    <col min="8" max="8" width="10.66406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28.109375" style="10" hidden="1" customWidth="1"/>
    <col min="52" max="52" width="34.6640625" style="10" hidden="1" customWidth="1"/>
    <col min="53" max="53" width="21.44140625" style="10" hidden="1" customWidth="1"/>
    <col min="54" max="16384" width="9.33203125" style="10"/>
  </cols>
  <sheetData>
    <row r="1" spans="1:53" ht="28.5" customHeight="1" thickTop="1" thickBot="1" x14ac:dyDescent="0.45">
      <c r="A1" s="397" t="str">
        <f>template_label_fuel_converter</f>
        <v>FUEL CONVERTER</v>
      </c>
      <c r="B1" s="10"/>
      <c r="AL1" s="10"/>
      <c r="AN1" s="10"/>
      <c r="AO1" s="10"/>
      <c r="AP1" s="10"/>
    </row>
    <row r="2" spans="1:53" ht="39.450000000000003" customHeight="1" thickTop="1" x14ac:dyDescent="0.4">
      <c r="A2" s="458" t="str">
        <f>template_label_disclaimer</f>
        <v>DISCLAIMER:</v>
      </c>
      <c r="B2" s="10"/>
      <c r="AL2" s="10"/>
      <c r="AN2" s="10"/>
      <c r="AO2" s="10"/>
      <c r="AP2" s="10"/>
    </row>
    <row r="3" spans="1:53" ht="54" customHeight="1" x14ac:dyDescent="0.4">
      <c r="A3" s="1142"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42"/>
      <c r="C3" s="1142"/>
      <c r="D3" s="1142"/>
      <c r="E3" s="1142"/>
      <c r="F3" s="1142"/>
      <c r="G3" s="1142"/>
      <c r="H3" s="1142"/>
      <c r="I3" s="1142"/>
      <c r="J3" s="1142"/>
      <c r="K3" s="1142"/>
      <c r="AL3" s="10"/>
      <c r="AN3" s="10"/>
      <c r="AO3" s="10"/>
      <c r="AP3" s="10"/>
    </row>
    <row r="4" spans="1:53" ht="44.55" customHeight="1" x14ac:dyDescent="0.4">
      <c r="A4" s="1142"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42"/>
      <c r="C4" s="1142"/>
      <c r="D4" s="1142"/>
      <c r="E4" s="1142"/>
      <c r="F4" s="1142"/>
      <c r="G4" s="1142"/>
      <c r="H4" s="1142"/>
      <c r="I4" s="1142"/>
      <c r="J4" s="1142"/>
      <c r="K4" s="1142"/>
      <c r="AL4" s="10"/>
      <c r="AN4" s="10"/>
      <c r="AO4" s="10"/>
      <c r="AP4" s="10"/>
    </row>
    <row r="5" spans="1:53" ht="48.45" customHeight="1" thickBot="1" x14ac:dyDescent="0.45">
      <c r="A5" s="1142"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42"/>
      <c r="C5" s="1142"/>
      <c r="D5" s="1142"/>
      <c r="E5" s="1142"/>
      <c r="F5" s="1142"/>
      <c r="G5" s="1142"/>
      <c r="H5" s="1142"/>
      <c r="I5" s="1142"/>
      <c r="J5" s="1142"/>
      <c r="K5" s="1142"/>
      <c r="AL5" s="10"/>
      <c r="AN5" s="10"/>
      <c r="AO5" s="10"/>
      <c r="AP5" s="10"/>
    </row>
    <row r="6" spans="1:53" ht="35.4" customHeight="1" thickBot="1" x14ac:dyDescent="0.35">
      <c r="A6" s="400"/>
      <c r="B6" s="1159" t="str">
        <f>template_label_indicates_that_the_cell_should_be_filled_either_by_selecting_a_value_from_the_dropdown</f>
        <v>Indicates that the cell should be filled either by selecting a value from the dropdown (e.g. Type of fuel or Unit of Measurement) or by entering an amount.</v>
      </c>
      <c r="C6" s="1160"/>
      <c r="D6" s="1160"/>
      <c r="E6" s="1160"/>
      <c r="F6" s="1161"/>
      <c r="G6" s="401"/>
      <c r="H6" s="399"/>
      <c r="I6" s="399"/>
      <c r="J6" s="399"/>
      <c r="AL6" s="10"/>
      <c r="AN6" s="10"/>
      <c r="AO6" s="10"/>
      <c r="AP6" s="10"/>
    </row>
    <row r="7" spans="1:53" ht="44.4" customHeight="1" thickBot="1" x14ac:dyDescent="0.35">
      <c r="A7" s="402" t="s">
        <v>3539</v>
      </c>
      <c r="B7" s="1159" t="str">
        <f>template_label_indicates_that_the_cell_is_automatically_calculated_and_that_no_data_entry_is_required</f>
        <v>Indicates that the cell is automatically calculated and that no data entry is required.</v>
      </c>
      <c r="C7" s="1160"/>
      <c r="D7" s="1160"/>
      <c r="E7" s="1160"/>
      <c r="F7" s="1161"/>
      <c r="G7" s="401"/>
      <c r="H7" s="399"/>
      <c r="I7" s="399"/>
      <c r="J7" s="399"/>
      <c r="AL7" s="10"/>
      <c r="AN7" s="10"/>
      <c r="AO7" s="10"/>
      <c r="AP7" s="10"/>
    </row>
    <row r="8" spans="1:53" ht="40.200000000000003" customHeight="1" thickBot="1" x14ac:dyDescent="0.35">
      <c r="A8" s="398"/>
      <c r="B8" s="10"/>
      <c r="AC8" s="403"/>
      <c r="AL8" s="10"/>
      <c r="AN8" s="10"/>
      <c r="AO8" s="10"/>
      <c r="AP8" s="10"/>
    </row>
    <row r="9" spans="1:53" ht="15" thickBot="1" x14ac:dyDescent="0.35">
      <c r="A9" s="404" t="str">
        <f>template_label_fuel_type</f>
        <v>Fuel type</v>
      </c>
      <c r="B9" s="404" t="str">
        <f>template_label_unit_of_measurement</f>
        <v>Unit of measurement</v>
      </c>
      <c r="C9" s="405" t="str">
        <f>template_label_amount</f>
        <v>Amount</v>
      </c>
      <c r="D9" s="405" t="str">
        <f>template_label_state_of_matter</f>
        <v>State of matter</v>
      </c>
      <c r="E9" s="406" t="str">
        <f>template_label_typical_renewable_state</f>
        <v>Typical renewable state</v>
      </c>
      <c r="F9" s="406" t="str">
        <f>template_label_calculated_energy_in_mwh</f>
        <v>Calculated Energy in MWh</v>
      </c>
      <c r="I9" s="398" t="str">
        <f>template_label_usage_of_fuel_converter</f>
        <v>Usage of Fuel Converter:</v>
      </c>
      <c r="O9" s="407"/>
      <c r="P9" s="408"/>
      <c r="Q9" s="409"/>
      <c r="S9" s="407"/>
      <c r="T9" s="408"/>
      <c r="U9" s="409"/>
      <c r="W9" s="407"/>
      <c r="X9" s="408"/>
      <c r="Y9" s="409"/>
      <c r="AA9" s="407"/>
      <c r="AB9" s="408"/>
      <c r="AC9" s="409"/>
      <c r="AE9" s="407"/>
      <c r="AF9" s="408"/>
      <c r="AG9" s="409"/>
      <c r="AI9" s="407"/>
      <c r="AJ9" s="408"/>
      <c r="AK9" s="409"/>
      <c r="AL9" s="10"/>
      <c r="AM9" s="407"/>
      <c r="AN9" s="408"/>
      <c r="AO9" s="409"/>
      <c r="AP9" s="10"/>
      <c r="AQ9" s="407"/>
      <c r="AR9" s="408"/>
      <c r="AS9" s="409"/>
      <c r="AU9" s="407"/>
      <c r="AV9" s="408"/>
      <c r="AW9" s="409"/>
      <c r="AY9" s="407"/>
      <c r="AZ9" s="408"/>
      <c r="BA9" s="409"/>
    </row>
    <row r="10" spans="1:53" ht="15" thickBot="1" x14ac:dyDescent="0.35">
      <c r="A10" s="393"/>
      <c r="B10" s="393"/>
      <c r="C10" s="394"/>
      <c r="D10" s="410" t="str">
        <f>P11</f>
        <v>-</v>
      </c>
      <c r="E10" s="411" t="str">
        <f>P12</f>
        <v>-</v>
      </c>
      <c r="F10" s="412" t="str">
        <f>IF(C10="","-",O22)</f>
        <v>-</v>
      </c>
      <c r="G10" s="413"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14" t="s">
        <v>2926</v>
      </c>
      <c r="P10" s="415" t="str">
        <f>IF(A10="","-",A10)</f>
        <v>-</v>
      </c>
      <c r="Q10" s="416"/>
      <c r="S10" s="414" t="s">
        <v>2926</v>
      </c>
      <c r="T10" s="415" t="str">
        <f>IF(A11="","-",A11)</f>
        <v>-</v>
      </c>
      <c r="U10" s="416"/>
      <c r="W10" s="414" t="s">
        <v>2926</v>
      </c>
      <c r="X10" s="415" t="str">
        <f>IF(A12="","-",A12)</f>
        <v>-</v>
      </c>
      <c r="Y10" s="416"/>
      <c r="AA10" s="414" t="s">
        <v>2926</v>
      </c>
      <c r="AB10" s="415" t="str">
        <f>IF(A13="","-",A13)</f>
        <v>-</v>
      </c>
      <c r="AC10" s="416"/>
      <c r="AE10" s="414" t="s">
        <v>2926</v>
      </c>
      <c r="AF10" s="415" t="str">
        <f>IF(A14="","-",A14)</f>
        <v>-</v>
      </c>
      <c r="AG10" s="416"/>
      <c r="AI10" s="414" t="s">
        <v>2926</v>
      </c>
      <c r="AJ10" s="415" t="str">
        <f>IF(A15="","-",A15)</f>
        <v>-</v>
      </c>
      <c r="AK10" s="416"/>
      <c r="AL10" s="10"/>
      <c r="AM10" s="414" t="s">
        <v>2926</v>
      </c>
      <c r="AN10" s="415" t="str">
        <f>IF(A16="","-",A16)</f>
        <v>-</v>
      </c>
      <c r="AO10" s="416"/>
      <c r="AP10" s="10"/>
      <c r="AQ10" s="414" t="s">
        <v>2926</v>
      </c>
      <c r="AR10" s="415" t="str">
        <f>IF(A17="","-",A17)</f>
        <v>-</v>
      </c>
      <c r="AS10" s="416"/>
      <c r="AU10" s="414" t="s">
        <v>2926</v>
      </c>
      <c r="AV10" s="415" t="str">
        <f>IF(A18="","-",A18)</f>
        <v>-</v>
      </c>
      <c r="AW10" s="416"/>
      <c r="AY10" s="414" t="s">
        <v>2926</v>
      </c>
      <c r="AZ10" s="415" t="str">
        <f>IF(A19="","-",A19)</f>
        <v>-</v>
      </c>
      <c r="BA10" s="416"/>
    </row>
    <row r="11" spans="1:53" ht="15" thickBot="1" x14ac:dyDescent="0.35">
      <c r="A11" s="393"/>
      <c r="B11" s="393"/>
      <c r="C11" s="394"/>
      <c r="D11" s="417" t="str">
        <f>T11</f>
        <v>-</v>
      </c>
      <c r="E11" s="418" t="str">
        <f>T12</f>
        <v>-</v>
      </c>
      <c r="F11" s="411" t="str">
        <f>IF(C11="","-",S22)</f>
        <v>-</v>
      </c>
      <c r="G11" s="413" t="str">
        <f t="shared" si="0"/>
        <v/>
      </c>
      <c r="I11" s="10" t="str">
        <f>template_label_2_in_cell_b9_select_the_unit_of_measurement_used</f>
        <v>2. In cell B9 select the Unit of measurement used</v>
      </c>
      <c r="O11" s="414" t="s">
        <v>3019</v>
      </c>
      <c r="P11" s="402" t="str">
        <f>IF(OR(P10="", P10="-"), "-", IFERROR(IF(INDEX('Fuel Conversion Parameters'!$B$2:$B$61, MATCH(P10, 'Fuel Conversion Parameters'!$A$2:$A$61, 0))="", "MISSING VALUE", INDEX('Fuel Conversion Parameters'!$B$2:$B$61, MATCH(P10, 'Fuel Conversion Parameters'!$A$2:$A$61, 0))), "MISSING VALUE"))</f>
        <v>-</v>
      </c>
      <c r="Q11" s="416"/>
      <c r="S11" s="414" t="s">
        <v>3019</v>
      </c>
      <c r="T11" s="402" t="str">
        <f>IF(OR(T10="", T10="-"), "-", IFERROR(IF(INDEX('Fuel Conversion Parameters'!$B$2:$B$61, MATCH(T10, 'Fuel Conversion Parameters'!$A$2:$A$61, 0))="", "MISSING VALUE", INDEX('Fuel Conversion Parameters'!$B$2:$B$61, MATCH(T10, 'Fuel Conversion Parameters'!$A$2:$A$61, 0))), "MISSING VALUE"))</f>
        <v>-</v>
      </c>
      <c r="U11" s="416"/>
      <c r="W11" s="414" t="s">
        <v>3019</v>
      </c>
      <c r="X11" s="402" t="str">
        <f>IF(OR(X10="", X10="-"), "-", IFERROR(IF(INDEX('Fuel Conversion Parameters'!$B$2:$B$61, MATCH(X10, 'Fuel Conversion Parameters'!$A$2:$A$61, 0))="", "MISSING VALUE", INDEX('Fuel Conversion Parameters'!$B$2:$B$61, MATCH(X10, 'Fuel Conversion Parameters'!$A$2:$A$61, 0))), "MISSING VALUE"))</f>
        <v>-</v>
      </c>
      <c r="Y11" s="416"/>
      <c r="AA11" s="414" t="s">
        <v>3019</v>
      </c>
      <c r="AB11" s="402" t="str">
        <f>IF(OR(AB10="", AB10="-"), "-", IFERROR(IF(INDEX('Fuel Conversion Parameters'!$B$2:$B$61, MATCH(AB10, 'Fuel Conversion Parameters'!$A$2:$A$61, 0))="", "MISSING VALUE", INDEX('Fuel Conversion Parameters'!$B$2:$B$61, MATCH(AB10, 'Fuel Conversion Parameters'!$A$2:$A$61, 0))), "MISSING VALUE"))</f>
        <v>-</v>
      </c>
      <c r="AC11" s="416"/>
      <c r="AE11" s="414" t="s">
        <v>3019</v>
      </c>
      <c r="AF11" s="402" t="str">
        <f>IF(OR(AF10="", AF10="-"), "-", IFERROR(IF(INDEX('Fuel Conversion Parameters'!$B$2:$B$61, MATCH(AF10, 'Fuel Conversion Parameters'!$A$2:$A$61, 0))="", "MISSING VALUE", INDEX('Fuel Conversion Parameters'!$B$2:$B$61, MATCH(AF10, 'Fuel Conversion Parameters'!$A$2:$A$61, 0))), "MISSING VALUE"))</f>
        <v>-</v>
      </c>
      <c r="AG11" s="416"/>
      <c r="AI11" s="414" t="s">
        <v>3019</v>
      </c>
      <c r="AJ11" s="402" t="str">
        <f>IF(OR(AJ10="", AJ10="-"), "-", IFERROR(IF(INDEX('Fuel Conversion Parameters'!$B$2:$B$61, MATCH(AJ10, 'Fuel Conversion Parameters'!$A$2:$A$61, 0))="", "MISSING VALUE", INDEX('Fuel Conversion Parameters'!$B$2:$B$61, MATCH(AJ10, 'Fuel Conversion Parameters'!$A$2:$A$61, 0))), "MISSING VALUE"))</f>
        <v>-</v>
      </c>
      <c r="AK11" s="416"/>
      <c r="AL11" s="10"/>
      <c r="AM11" s="414" t="s">
        <v>3019</v>
      </c>
      <c r="AN11" s="402" t="str">
        <f>IF(OR(AN10="", AN10="-"), "-", IFERROR(IF(INDEX('Fuel Conversion Parameters'!$B$2:$B$61, MATCH(AN10, 'Fuel Conversion Parameters'!$A$2:$A$61, 0))="", "MISSING VALUE", INDEX('Fuel Conversion Parameters'!$B$2:$B$61, MATCH(AN10, 'Fuel Conversion Parameters'!$A$2:$A$61, 0))), "MISSING VALUE"))</f>
        <v>-</v>
      </c>
      <c r="AO11" s="416"/>
      <c r="AP11" s="10"/>
      <c r="AQ11" s="414" t="s">
        <v>3019</v>
      </c>
      <c r="AR11" s="402" t="str">
        <f>IF(OR(AR10="", AR10="-"), "-", IFERROR(IF(INDEX('Fuel Conversion Parameters'!$B$2:$B$61, MATCH(AR10, 'Fuel Conversion Parameters'!$A$2:$A$61, 0))="", "MISSING VALUE", INDEX('Fuel Conversion Parameters'!$B$2:$B$61, MATCH(AR10, 'Fuel Conversion Parameters'!$A$2:$A$61, 0))), "MISSING VALUE"))</f>
        <v>-</v>
      </c>
      <c r="AS11" s="416"/>
      <c r="AU11" s="414" t="s">
        <v>3019</v>
      </c>
      <c r="AV11" s="402" t="str">
        <f>IF(OR(AV10="", AV10="-"), "-", IFERROR(IF(INDEX('Fuel Conversion Parameters'!$B$2:$B$61, MATCH(AV10, 'Fuel Conversion Parameters'!$A$2:$A$61, 0))="", "MISSING VALUE", INDEX('Fuel Conversion Parameters'!$B$2:$B$61, MATCH(AV10, 'Fuel Conversion Parameters'!$A$2:$A$61, 0))), "MISSING VALUE"))</f>
        <v>-</v>
      </c>
      <c r="AW11" s="416"/>
      <c r="AY11" s="414" t="s">
        <v>3019</v>
      </c>
      <c r="AZ11" s="402" t="str">
        <f>IF(OR(AZ10="", AZ10="-"), "-", IFERROR(IF(INDEX('Fuel Conversion Parameters'!$B$2:$B$61, MATCH(AZ10, 'Fuel Conversion Parameters'!$A$2:$A$61, 0))="", "MISSING VALUE", INDEX('Fuel Conversion Parameters'!$B$2:$B$61, MATCH(AZ10, 'Fuel Conversion Parameters'!$A$2:$A$61, 0))), "MISSING VALUE"))</f>
        <v>-</v>
      </c>
      <c r="BA11" s="416"/>
    </row>
    <row r="12" spans="1:53" ht="15" thickBot="1" x14ac:dyDescent="0.35">
      <c r="A12" s="393"/>
      <c r="B12" s="393"/>
      <c r="C12" s="394"/>
      <c r="D12" s="417" t="str">
        <f>X11</f>
        <v>-</v>
      </c>
      <c r="E12" s="418" t="str">
        <f>X12</f>
        <v>-</v>
      </c>
      <c r="F12" s="411" t="str">
        <f>IF(C12="","-",W22)</f>
        <v>-</v>
      </c>
      <c r="G12" s="413" t="str">
        <f t="shared" si="0"/>
        <v/>
      </c>
      <c r="I12" s="10" t="str">
        <f>template_label_3_in_cell_c9_select_the_amount_of_fuel_used</f>
        <v>3. In cell C9 select the Amount of fuel used</v>
      </c>
      <c r="O12" s="404" t="s">
        <v>3577</v>
      </c>
      <c r="P12" s="402" t="str">
        <f>IF(OR(P10="", P10="-"), "-", IFERROR(IF(INDEX('Fuel Conversion Parameters'!$F$2:$F$61, MATCH(P10, 'Fuel Conversion Parameters'!$A$2:$A$61, 0))="", "MISSING VALUE", INDEX('Fuel Conversion Parameters'!$F$2:$F$61, MATCH(P10, 'Fuel Conversion Parameters'!$A$2:$A$61, 0))), "MISSING VALUE"))</f>
        <v>-</v>
      </c>
      <c r="Q12" s="416"/>
      <c r="S12" s="414" t="s">
        <v>3577</v>
      </c>
      <c r="T12" s="402" t="str">
        <f>IF(OR(T10="", T10="-"), "-", IFERROR(IF(INDEX('Fuel Conversion Parameters'!$F$2:$F$61, MATCH(T10, 'Fuel Conversion Parameters'!$A$2:$A$61, 0))="", "MISSING VALUE", INDEX('Fuel Conversion Parameters'!$F$2:$F$61, MATCH(T10, 'Fuel Conversion Parameters'!$A$2:$A$61, 0))), "MISSING VALUE"))</f>
        <v>-</v>
      </c>
      <c r="U12" s="416"/>
      <c r="W12" s="414" t="s">
        <v>3577</v>
      </c>
      <c r="X12" s="402" t="str">
        <f>IF(OR(X10="", X10="-"), "-", IFERROR(IF(INDEX('Fuel Conversion Parameters'!$F$2:$F$61, MATCH(X10, 'Fuel Conversion Parameters'!$A$2:$A$61, 0))="", "MISSING VALUE", INDEX('Fuel Conversion Parameters'!$F$2:$F$61, MATCH(X10, 'Fuel Conversion Parameters'!$A$2:$A$61, 0))), "MISSING VALUE"))</f>
        <v>-</v>
      </c>
      <c r="Y12" s="416"/>
      <c r="AA12" s="404" t="s">
        <v>3577</v>
      </c>
      <c r="AB12" s="402" t="str">
        <f>IF(OR(AB10="", AB10="-"), "-", IFERROR(IF(INDEX('Fuel Conversion Parameters'!$F$2:$F$61, MATCH(AB10, 'Fuel Conversion Parameters'!$A$2:$A$61, 0))="", "MISSING VALUE", INDEX('Fuel Conversion Parameters'!$F$2:$F$61, MATCH(AB10, 'Fuel Conversion Parameters'!$A$2:$A$61, 0))), "MISSING VALUE"))</f>
        <v>-</v>
      </c>
      <c r="AC12" s="416"/>
      <c r="AE12" s="404" t="s">
        <v>3577</v>
      </c>
      <c r="AF12" s="402" t="str">
        <f>IF(OR(AF10="", AF10="-"), "-", IFERROR(IF(INDEX('Fuel Conversion Parameters'!$F$2:$F$61, MATCH(AF10, 'Fuel Conversion Parameters'!$A$2:$A$61, 0))="", "MISSING VALUE", INDEX('Fuel Conversion Parameters'!$F$2:$F$61, MATCH(AF10, 'Fuel Conversion Parameters'!$A$2:$A$61, 0))), "MISSING VALUE"))</f>
        <v>-</v>
      </c>
      <c r="AG12" s="416"/>
      <c r="AI12" s="404" t="s">
        <v>3577</v>
      </c>
      <c r="AJ12" s="402" t="str">
        <f>IF(OR(AJ10="", AJ10="-"), "-", IFERROR(IF(INDEX('Fuel Conversion Parameters'!$F$2:$F$61, MATCH(AJ10, 'Fuel Conversion Parameters'!$A$2:$A$61, 0))="", "MISSING VALUE", INDEX('Fuel Conversion Parameters'!$F$2:$F$61, MATCH(AJ10, 'Fuel Conversion Parameters'!$A$2:$A$61, 0))), "MISSING VALUE"))</f>
        <v>-</v>
      </c>
      <c r="AK12" s="416"/>
      <c r="AL12" s="10"/>
      <c r="AM12" s="404" t="s">
        <v>3577</v>
      </c>
      <c r="AN12" s="402" t="str">
        <f>IF(OR(AN10="", AN10="-"), "-", IFERROR(IF(INDEX('Fuel Conversion Parameters'!$F$2:$F$61, MATCH(AN10, 'Fuel Conversion Parameters'!$A$2:$A$61, 0))="", "MISSING VALUE", INDEX('Fuel Conversion Parameters'!$F$2:$F$61, MATCH(AN10, 'Fuel Conversion Parameters'!$A$2:$A$61, 0))), "MISSING VALUE"))</f>
        <v>-</v>
      </c>
      <c r="AO12" s="416"/>
      <c r="AP12" s="10"/>
      <c r="AQ12" s="404" t="s">
        <v>3577</v>
      </c>
      <c r="AR12" s="402" t="str">
        <f>IF(OR(AR10="", AR10="-"), "-", IFERROR(IF(INDEX('Fuel Conversion Parameters'!$F$2:$F$61, MATCH(AR10, 'Fuel Conversion Parameters'!$A$2:$A$61, 0))="", "MISSING VALUE", INDEX('Fuel Conversion Parameters'!$F$2:$F$61, MATCH(AR10, 'Fuel Conversion Parameters'!$A$2:$A$61, 0))), "MISSING VALUE"))</f>
        <v>-</v>
      </c>
      <c r="AS12" s="416"/>
      <c r="AU12" s="404" t="s">
        <v>3577</v>
      </c>
      <c r="AV12" s="402" t="str">
        <f>IF(OR(AV10="", AV10="-"), "-", IFERROR(IF(INDEX('Fuel Conversion Parameters'!$F$2:$F$61, MATCH(AV10, 'Fuel Conversion Parameters'!$A$2:$A$61, 0))="", "MISSING VALUE", INDEX('Fuel Conversion Parameters'!$F$2:$F$61, MATCH(AV10, 'Fuel Conversion Parameters'!$A$2:$A$61, 0))), "MISSING VALUE"))</f>
        <v>-</v>
      </c>
      <c r="AW12" s="416"/>
      <c r="AY12" s="404" t="s">
        <v>3577</v>
      </c>
      <c r="AZ12" s="402" t="str">
        <f>IF(OR(AZ10="", AZ10="-"), "-", IFERROR(IF(INDEX('Fuel Conversion Parameters'!$F$2:$F$61, MATCH(AZ10, 'Fuel Conversion Parameters'!$A$2:$A$61, 0))="", "MISSING VALUE", INDEX('Fuel Conversion Parameters'!$F$2:$F$61, MATCH(AZ10, 'Fuel Conversion Parameters'!$A$2:$A$61, 0))), "MISSING VALUE"))</f>
        <v>-</v>
      </c>
      <c r="BA12" s="416"/>
    </row>
    <row r="13" spans="1:53" x14ac:dyDescent="0.3">
      <c r="A13" s="393"/>
      <c r="B13" s="393"/>
      <c r="C13" s="394"/>
      <c r="D13" s="417" t="str">
        <f>AB11</f>
        <v>-</v>
      </c>
      <c r="E13" s="418" t="str">
        <f>AB12</f>
        <v>-</v>
      </c>
      <c r="F13" s="411" t="str">
        <f>IF(C13="","-",AA22)</f>
        <v>-</v>
      </c>
      <c r="G13" s="413" t="str">
        <f t="shared" si="0"/>
        <v/>
      </c>
      <c r="I13" s="10" t="str">
        <f>template_label_4_in_cell_d9_it_is_displayed_the_state_of_matter_for_the_fuel_selected</f>
        <v>4. In cell D9 it is displayed the State of matter for the Fuel selected</v>
      </c>
      <c r="O13" s="419"/>
      <c r="P13" s="19"/>
      <c r="Q13" s="416"/>
      <c r="S13" s="419"/>
      <c r="T13" s="19"/>
      <c r="U13" s="416"/>
      <c r="W13" s="419"/>
      <c r="X13" s="19"/>
      <c r="Y13" s="416"/>
      <c r="AA13" s="419"/>
      <c r="AB13" s="19"/>
      <c r="AC13" s="416"/>
      <c r="AE13" s="419"/>
      <c r="AF13" s="19"/>
      <c r="AG13" s="416"/>
      <c r="AI13" s="419"/>
      <c r="AJ13" s="19"/>
      <c r="AK13" s="416"/>
      <c r="AL13" s="10"/>
      <c r="AM13" s="419"/>
      <c r="AN13" s="19"/>
      <c r="AO13" s="416"/>
      <c r="AP13" s="10"/>
      <c r="AQ13" s="419"/>
      <c r="AR13" s="19"/>
      <c r="AS13" s="416"/>
      <c r="AU13" s="419"/>
      <c r="AV13" s="19"/>
      <c r="AW13" s="416"/>
      <c r="AY13" s="419"/>
      <c r="AZ13" s="19"/>
      <c r="BA13" s="416"/>
    </row>
    <row r="14" spans="1:53" x14ac:dyDescent="0.3">
      <c r="A14" s="393"/>
      <c r="B14" s="393"/>
      <c r="C14" s="394"/>
      <c r="D14" s="417" t="str">
        <f>AF11</f>
        <v>-</v>
      </c>
      <c r="E14" s="418" t="str">
        <f>AF12</f>
        <v>-</v>
      </c>
      <c r="F14" s="411" t="str">
        <f>IF(C14="","-",AE22)</f>
        <v>-</v>
      </c>
      <c r="G14" s="413" t="str">
        <f t="shared" si="0"/>
        <v/>
      </c>
      <c r="I14" s="10" t="str">
        <f>template_label_5_in_cell_e9_it_is_displayed_the_typical_renewability_state_for_the_fuel_selected</f>
        <v>5. In cell E9 it is displayed the Typical renewability state for the Fuel selected</v>
      </c>
      <c r="O14" s="420"/>
      <c r="Q14" s="416"/>
      <c r="S14" s="420"/>
      <c r="U14" s="416"/>
      <c r="W14" s="420"/>
      <c r="Y14" s="416"/>
      <c r="AA14" s="420"/>
      <c r="AC14" s="416"/>
      <c r="AE14" s="420"/>
      <c r="AG14" s="416"/>
      <c r="AI14" s="420"/>
      <c r="AK14" s="416"/>
      <c r="AL14" s="10"/>
      <c r="AM14" s="420"/>
      <c r="AN14" s="10"/>
      <c r="AO14" s="416"/>
      <c r="AP14" s="10"/>
      <c r="AQ14" s="420"/>
      <c r="AS14" s="416"/>
      <c r="AU14" s="420"/>
      <c r="AW14" s="416"/>
      <c r="AY14" s="420"/>
      <c r="BA14" s="416"/>
    </row>
    <row r="15" spans="1:53" ht="15" thickBot="1" x14ac:dyDescent="0.35">
      <c r="A15" s="393"/>
      <c r="B15" s="393"/>
      <c r="C15" s="394"/>
      <c r="D15" s="417" t="str">
        <f>AJ11</f>
        <v>-</v>
      </c>
      <c r="E15" s="418" t="str">
        <f>AJ12</f>
        <v>-</v>
      </c>
      <c r="F15" s="411" t="str">
        <f>IF(C15="","-",AI22)</f>
        <v>-</v>
      </c>
      <c r="G15" s="413" t="str">
        <f t="shared" si="0"/>
        <v/>
      </c>
      <c r="I15" s="10" t="str">
        <f>template_label_6_in_cell_f9_is_displayed_the_energy_produced_in_mega_watt_hours_by_the_amount_of_fuel_specified</f>
        <v>6. In cell F9 is displayed the Energy produced in Mega Watt hours by the Amount of Fuel specified</v>
      </c>
      <c r="O15" s="421"/>
      <c r="Q15" s="416"/>
      <c r="S15" s="421"/>
      <c r="U15" s="416"/>
      <c r="W15" s="420"/>
      <c r="Y15" s="416"/>
      <c r="AA15" s="420"/>
      <c r="AC15" s="416"/>
      <c r="AE15" s="420"/>
      <c r="AG15" s="416"/>
      <c r="AI15" s="420"/>
      <c r="AK15" s="416"/>
      <c r="AL15" s="10"/>
      <c r="AM15" s="420"/>
      <c r="AN15" s="10"/>
      <c r="AO15" s="416"/>
      <c r="AP15" s="10"/>
      <c r="AQ15" s="420"/>
      <c r="AS15" s="416"/>
      <c r="AU15" s="420"/>
      <c r="AW15" s="416"/>
      <c r="AY15" s="420"/>
      <c r="BA15" s="416"/>
    </row>
    <row r="16" spans="1:53" ht="15" thickBot="1" x14ac:dyDescent="0.35">
      <c r="A16" s="393"/>
      <c r="B16" s="393"/>
      <c r="C16" s="394"/>
      <c r="D16" s="417" t="str">
        <f>AN11</f>
        <v>-</v>
      </c>
      <c r="E16" s="418" t="str">
        <f>AN12</f>
        <v>-</v>
      </c>
      <c r="F16" s="411" t="str">
        <f>IF(C16="","-",AM22)</f>
        <v>-</v>
      </c>
      <c r="G16" s="413" t="str">
        <f t="shared" si="0"/>
        <v/>
      </c>
      <c r="I16" s="10" t="str">
        <f>template_label_7_in_cell_a28_is_displayed_the_total_energy_in_mega_watt_hours</f>
        <v>7. In cell A28 is displayed the Total Energy in Mega Watt hours</v>
      </c>
      <c r="O16" s="422" t="s">
        <v>2756</v>
      </c>
      <c r="P16" s="423">
        <f>B10</f>
        <v>0</v>
      </c>
      <c r="Q16" s="424"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22" t="s">
        <v>2756</v>
      </c>
      <c r="T16" s="423">
        <f>B11</f>
        <v>0</v>
      </c>
      <c r="U16" s="424"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22" t="s">
        <v>2756</v>
      </c>
      <c r="X16" s="423">
        <f>B12</f>
        <v>0</v>
      </c>
      <c r="Y16" s="416"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22" t="s">
        <v>2756</v>
      </c>
      <c r="AB16" s="423">
        <f>B13</f>
        <v>0</v>
      </c>
      <c r="AC16" s="424"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22" t="s">
        <v>2756</v>
      </c>
      <c r="AF16" s="423">
        <f>B14</f>
        <v>0</v>
      </c>
      <c r="AG16" s="424"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22" t="s">
        <v>2756</v>
      </c>
      <c r="AJ16" s="423">
        <f>B15</f>
        <v>0</v>
      </c>
      <c r="AK16" s="424"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22" t="s">
        <v>2756</v>
      </c>
      <c r="AN16" s="423">
        <f>B16</f>
        <v>0</v>
      </c>
      <c r="AO16" s="424"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22" t="s">
        <v>2756</v>
      </c>
      <c r="AR16" s="423">
        <f>B17</f>
        <v>0</v>
      </c>
      <c r="AS16" s="424"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22" t="s">
        <v>2756</v>
      </c>
      <c r="AV16" s="423">
        <f>B18</f>
        <v>0</v>
      </c>
      <c r="AW16" s="424"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22" t="s">
        <v>2756</v>
      </c>
      <c r="AZ16" s="423">
        <f>B19</f>
        <v>0</v>
      </c>
      <c r="BA16" s="424"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93"/>
      <c r="B17" s="393"/>
      <c r="C17" s="394"/>
      <c r="D17" s="417" t="str">
        <f>AR11</f>
        <v>-</v>
      </c>
      <c r="E17" s="418" t="str">
        <f>AR12</f>
        <v>-</v>
      </c>
      <c r="F17" s="411" t="str">
        <f>IF(C17="","-",AQ22)</f>
        <v>-</v>
      </c>
      <c r="G17" s="413" t="str">
        <f t="shared" si="0"/>
        <v/>
      </c>
      <c r="I17" s="10" t="str">
        <f>template_label_8_in_cell_a31_is_displayed_the_total_renewable_energy_in_mega_watt_hours</f>
        <v>8. In cell A31 is displayed the Total Renewable Energy in Mega Watt hours</v>
      </c>
      <c r="O17" s="414" t="s">
        <v>3024</v>
      </c>
      <c r="P17" s="425">
        <f>C10</f>
        <v>0</v>
      </c>
      <c r="Q17" s="416"/>
      <c r="S17" s="414" t="s">
        <v>3024</v>
      </c>
      <c r="T17" s="425">
        <f>C11</f>
        <v>0</v>
      </c>
      <c r="U17" s="416"/>
      <c r="W17" s="414" t="s">
        <v>3024</v>
      </c>
      <c r="X17" s="425">
        <f>C12</f>
        <v>0</v>
      </c>
      <c r="Y17" s="416"/>
      <c r="AA17" s="414" t="s">
        <v>3024</v>
      </c>
      <c r="AB17" s="425">
        <f>C13</f>
        <v>0</v>
      </c>
      <c r="AC17" s="416"/>
      <c r="AE17" s="414" t="s">
        <v>3024</v>
      </c>
      <c r="AF17" s="425">
        <f>C14</f>
        <v>0</v>
      </c>
      <c r="AG17" s="416"/>
      <c r="AI17" s="414" t="s">
        <v>3024</v>
      </c>
      <c r="AJ17" s="425">
        <f>C15</f>
        <v>0</v>
      </c>
      <c r="AK17" s="416"/>
      <c r="AL17" s="10"/>
      <c r="AM17" s="414" t="s">
        <v>3024</v>
      </c>
      <c r="AN17" s="425">
        <f>C16</f>
        <v>0</v>
      </c>
      <c r="AO17" s="416"/>
      <c r="AP17" s="10"/>
      <c r="AQ17" s="414" t="s">
        <v>3024</v>
      </c>
      <c r="AR17" s="425">
        <f>C17</f>
        <v>0</v>
      </c>
      <c r="AS17" s="416"/>
      <c r="AU17" s="414" t="s">
        <v>3024</v>
      </c>
      <c r="AV17" s="425">
        <f>C18</f>
        <v>0</v>
      </c>
      <c r="AW17" s="416"/>
      <c r="AY17" s="414" t="s">
        <v>3024</v>
      </c>
      <c r="AZ17" s="425">
        <f>C19</f>
        <v>0</v>
      </c>
      <c r="BA17" s="416"/>
    </row>
    <row r="18" spans="1:53" x14ac:dyDescent="0.3">
      <c r="A18" s="393"/>
      <c r="B18" s="393"/>
      <c r="C18" s="394"/>
      <c r="D18" s="417" t="str">
        <f>AV11</f>
        <v>-</v>
      </c>
      <c r="E18" s="418" t="str">
        <f>AV12</f>
        <v>-</v>
      </c>
      <c r="F18" s="411" t="str">
        <f>IF(C18="","-",AU22)</f>
        <v>-</v>
      </c>
      <c r="G18" s="413" t="str">
        <f t="shared" si="0"/>
        <v/>
      </c>
      <c r="I18" s="10" t="str">
        <f>template_label_9_in_cell_b31_is_displayed_the_total_nonrenewable_energy_in_mega_watt_hours</f>
        <v>9. In cell B31 is displayed the Total Non-renewable Energy in Mega Watt hours</v>
      </c>
      <c r="J18" s="426"/>
      <c r="K18" s="426"/>
      <c r="L18" s="426"/>
      <c r="M18" s="426"/>
      <c r="O18" s="420"/>
      <c r="P18" s="427" t="str">
        <f>IF(P16="g - gram",P17*0.000000001,
IF(P16="Kg - Kilogram",P17*0.000001,
IF(P16="t - tonne",P17*0.001,
IF(P16="Gg - Gigagram",P17*1,
IF(P16="m³ - cubic meters",P17*1000,
IF(P16="L - Liter",P17*1,
""))))))</f>
        <v/>
      </c>
      <c r="Q18" s="416"/>
      <c r="S18" s="420"/>
      <c r="T18" s="427" t="str">
        <f>IF(T16="g - gram",T17*0.000000001,
IF(T16="Kg - Kilogram",T17*0.000001,
IF(T16="t - tonne",T17*0.001,
IF(T16="Gg - Gigagram",T17*1,
IF(T16="m³ - cubic meters",T17*1000,
IF(T16="L - Liter",T17*1,
""))))))</f>
        <v/>
      </c>
      <c r="U18" s="416"/>
      <c r="W18" s="420"/>
      <c r="X18" s="427" t="str">
        <f>IF(X16="g - gram",X17*0.000000001,
IF(X16="Kg - Kilogram",X17*0.000001,
IF(X16="t - tonne",X17*0.001,
IF(X16="Gg - Gigagram",X17*1,
IF(X16="m³ - cubic meters",X17*1000,
IF(X16="L - Liter",X17*1,
""))))))</f>
        <v/>
      </c>
      <c r="Y18" s="416"/>
      <c r="AA18" s="420"/>
      <c r="AB18" s="427" t="str">
        <f>IF(AB16="g - gram",AB17*0.000000001,
IF(AB16="Kg - Kilogram",AB17*0.000001,
IF(AB16="t - tonne",AB17*0.001,
IF(AB16="Gg - Gigagram",AB17*1,
IF(AB16="m³ - cubic meters",AB17*1000,
IF(AB16="L - Liter",AB17*1,
""))))))</f>
        <v/>
      </c>
      <c r="AC18" s="416"/>
      <c r="AE18" s="420"/>
      <c r="AF18" s="427" t="str">
        <f>IF(AF16="g - gram",AF17*0.000000001,
IF(AF16="Kg - Kilogram",AF17*0.000001,
IF(AF16="t - tonne",AF17*0.001,
IF(AF16="Gg - Gigagram",AF17*1,
IF(AF16="m³ - cubic meters",AF17*1000,
IF(AF16="L - Liter",AF17*1,
""))))))</f>
        <v/>
      </c>
      <c r="AG18" s="416"/>
      <c r="AI18" s="420"/>
      <c r="AJ18" s="427" t="str">
        <f>IF(AJ16="g - gram",AJ17*0.000000001,
IF(AJ16="Kg - Kilogram",AJ17*0.000001,
IF(AJ16="t - tonne",AJ17*0.001,
IF(AJ16="Gg - Gigagram",AJ17*1,
IF(AJ16="m³ - cubic meters",AJ17*1000,
IF(AJ16="L - Liter",AJ17*1,
""))))))</f>
        <v/>
      </c>
      <c r="AK18" s="416"/>
      <c r="AL18" s="10"/>
      <c r="AM18" s="420"/>
      <c r="AN18" s="427" t="str">
        <f>IF(AN16="g - gram",AN17*0.000000001,
IF(AN16="Kg - Kilogram",AN17*0.000001,
IF(AN16="t - tonne",AN17*0.001,
IF(AN16="Gg - Gigagram",AN17*1,
IF(AN16="m³ - cubic meters",AN17*1000,
IF(AN16="L - Liter",AN17*1,
""))))))</f>
        <v/>
      </c>
      <c r="AO18" s="416"/>
      <c r="AP18" s="10"/>
      <c r="AQ18" s="420"/>
      <c r="AR18" s="427" t="str">
        <f>IF(AR16="g - gram",AR17*0.000000001,
IF(AR16="Kg - Kilogram",AR17*0.000001,
IF(AR16="t - tonne",AR17*0.001,
IF(AR16="Gg - Gigagram",AR17*1,
IF(AR16="m³ - cubic meters",AR17*1000,
IF(AR16="L - Liter",AR17*1,
""))))))</f>
        <v/>
      </c>
      <c r="AS18" s="416"/>
      <c r="AU18" s="420"/>
      <c r="AV18" s="427" t="str">
        <f>IF(AV16="g - gram",AV17*0.000000001,
IF(AV16="Kg - Kilogram",AV17*0.000001,
IF(AV16="t - tonne",AV17*0.001,
IF(AV16="Gg - Gigagram",AV17*1,
IF(AV16="m³ - cubic meters",AV17*1000,
IF(AV16="L - Liter",AV17*1,
""))))))</f>
        <v/>
      </c>
      <c r="AW18" s="416"/>
      <c r="AY18" s="420"/>
      <c r="AZ18" s="427" t="str">
        <f>IF(AZ16="g - gram",AZ17*0.000000001,
IF(AZ16="Kg - Kilogram",AZ17*0.000001,
IF(AZ16="t - tonne",AZ17*0.001,
IF(AZ16="Gg - Gigagram",AZ17*1,
IF(AZ16="m³ - cubic meters",AZ17*1000,
IF(AZ16="L - Liter",AZ17*1,
""))))))</f>
        <v/>
      </c>
      <c r="BA18" s="416"/>
    </row>
    <row r="19" spans="1:53" ht="15" thickBot="1" x14ac:dyDescent="0.35">
      <c r="A19" s="395"/>
      <c r="B19" s="395"/>
      <c r="C19" s="396"/>
      <c r="D19" s="428" t="str">
        <f>AZ11</f>
        <v>-</v>
      </c>
      <c r="E19" s="429" t="str">
        <f>AZ12</f>
        <v>-</v>
      </c>
      <c r="F19" s="430" t="str">
        <f>IF(C19="","-",AY22)</f>
        <v>-</v>
      </c>
      <c r="G19" s="413" t="str">
        <f t="shared" si="0"/>
        <v/>
      </c>
      <c r="I19" s="459" t="str">
        <f>template_label_10_further_notes_can_be_found_below</f>
        <v>10. Further notes can be found below</v>
      </c>
      <c r="O19" s="420"/>
      <c r="P19" s="17"/>
      <c r="Q19" s="416"/>
      <c r="S19" s="420"/>
      <c r="T19" s="17"/>
      <c r="U19" s="416"/>
      <c r="W19" s="420"/>
      <c r="X19" s="17"/>
      <c r="Y19" s="416"/>
      <c r="AA19" s="420"/>
      <c r="AB19" s="17"/>
      <c r="AC19" s="416"/>
      <c r="AE19" s="420"/>
      <c r="AF19" s="17"/>
      <c r="AG19" s="416"/>
      <c r="AI19" s="420"/>
      <c r="AJ19" s="17"/>
      <c r="AK19" s="416"/>
      <c r="AL19" s="10"/>
      <c r="AM19" s="420"/>
      <c r="AN19" s="17"/>
      <c r="AO19" s="416"/>
      <c r="AP19" s="10"/>
      <c r="AQ19" s="420"/>
      <c r="AR19" s="17"/>
      <c r="AS19" s="416"/>
      <c r="AU19" s="420"/>
      <c r="AV19" s="17"/>
      <c r="AW19" s="416"/>
      <c r="AY19" s="420"/>
      <c r="AZ19" s="17"/>
      <c r="BA19" s="416"/>
    </row>
    <row r="20" spans="1:53" ht="15" thickBot="1" x14ac:dyDescent="0.35">
      <c r="A20" s="10"/>
      <c r="B20" s="10"/>
      <c r="O20" s="420"/>
      <c r="Q20" s="416"/>
      <c r="S20" s="420"/>
      <c r="U20" s="416"/>
      <c r="W20" s="420"/>
      <c r="Y20" s="416"/>
      <c r="AA20" s="420"/>
      <c r="AC20" s="416"/>
      <c r="AE20" s="420"/>
      <c r="AG20" s="416"/>
      <c r="AI20" s="420"/>
      <c r="AK20" s="416"/>
      <c r="AL20" s="10"/>
      <c r="AM20" s="420"/>
      <c r="AN20" s="10"/>
      <c r="AO20" s="416"/>
      <c r="AP20" s="10"/>
      <c r="AQ20" s="420"/>
      <c r="AS20" s="416"/>
      <c r="AU20" s="420"/>
      <c r="AW20" s="416"/>
      <c r="AY20" s="420"/>
      <c r="BA20" s="416"/>
    </row>
    <row r="21" spans="1:53" ht="15" thickBot="1" x14ac:dyDescent="0.35">
      <c r="A21" s="10"/>
      <c r="B21" s="10"/>
      <c r="I21" s="426"/>
      <c r="J21" s="426"/>
      <c r="K21" s="426"/>
      <c r="L21" s="426"/>
      <c r="M21" s="426"/>
      <c r="O21" s="414" t="s">
        <v>2927</v>
      </c>
      <c r="Q21" s="416"/>
      <c r="S21" s="414" t="s">
        <v>2927</v>
      </c>
      <c r="U21" s="416"/>
      <c r="W21" s="414" t="s">
        <v>2927</v>
      </c>
      <c r="Y21" s="416"/>
      <c r="AA21" s="414" t="s">
        <v>2927</v>
      </c>
      <c r="AC21" s="416"/>
      <c r="AE21" s="414" t="s">
        <v>2927</v>
      </c>
      <c r="AG21" s="416"/>
      <c r="AI21" s="414" t="s">
        <v>2927</v>
      </c>
      <c r="AK21" s="416"/>
      <c r="AL21" s="10"/>
      <c r="AM21" s="414" t="s">
        <v>2927</v>
      </c>
      <c r="AN21" s="10"/>
      <c r="AO21" s="416"/>
      <c r="AP21" s="10"/>
      <c r="AQ21" s="414" t="s">
        <v>2927</v>
      </c>
      <c r="AS21" s="416"/>
      <c r="AU21" s="414" t="s">
        <v>2927</v>
      </c>
      <c r="AW21" s="416"/>
      <c r="AY21" s="414" t="s">
        <v>2927</v>
      </c>
      <c r="BA21" s="416"/>
    </row>
    <row r="22" spans="1:53" ht="15" thickBot="1" x14ac:dyDescent="0.35">
      <c r="A22" s="10"/>
      <c r="B22" s="10"/>
      <c r="O22" s="431" t="str">
        <f>IF(OR(
   O23="",
   P17="",
   Q16="Liquid fuel: please change unit of measurement, select one among m³ and L",
   Q16="Gaseous fuel: please change unit of measurement, select one among m³ and L",
   Q16="Solid fuel: please change unit of measurement, select one among Gg, t, Kg and g"
),
"-",
IFERROR(O23*277.778, "")
)</f>
        <v>-</v>
      </c>
      <c r="P22" s="10" t="str">
        <f>IFERROR(IF(AND(P17&lt;&gt;0,O22=0),"ERROR",""),"")</f>
        <v/>
      </c>
      <c r="Q22" s="416"/>
      <c r="S22" s="431"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416"/>
      <c r="W22" s="431"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416"/>
      <c r="AA22" s="431"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416"/>
      <c r="AE22" s="431"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416"/>
      <c r="AI22" s="431"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416"/>
      <c r="AL22" s="10"/>
      <c r="AM22" s="431"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416"/>
      <c r="AP22" s="10"/>
      <c r="AQ22" s="431"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416"/>
      <c r="AU22" s="431" t="str">
        <f>IF(OR(
   AU23="",
   AV17="",
   AW16="Liquid fuel: please change unit of measurement, select one among m³ and L",
   AW16="Gaseous fuel: please change unit of measurement, select one among m³ and L",
   AW16="Solid fuel: please change unit of measurement, select one among Gg, t, Kg and g"
),
"-",
IFERROR(AU23*277.778, "")
)</f>
        <v>-</v>
      </c>
      <c r="AV22" s="10" t="str">
        <f>IFERROR(IF(AND(AV17&lt;&gt;0,AU22=0),"ERROR",""),"")</f>
        <v/>
      </c>
      <c r="AW22" s="416"/>
      <c r="AY22" s="431" t="str">
        <f>IF(OR(
   AY23="",
   AZ17="",
   BA16="Liquid fuel: please change unit of measurement, select one among m³ and L",
   BA16="Gaseous fuel: please change unit of measurement, select one among m³ and L",
   BA16="Solid fuel: please change unit of measurement, select one among Gg, t, Kg and g"
),
"-",
IFERROR(AY23*277.778, "")
)</f>
        <v>-</v>
      </c>
      <c r="AZ22" s="10" t="str">
        <f>IFERROR(IF(AND(AZ17&lt;&gt;0,AY22=0),"ERROR",""),"")</f>
        <v/>
      </c>
      <c r="BA22" s="416"/>
    </row>
    <row r="23" spans="1:53" x14ac:dyDescent="0.3">
      <c r="A23" s="1147" t="str">
        <f>template_label_transfer_the_total_results_to_the_b3_fuel_energy_consumption_reporting_cell</f>
        <v>Transfer the total calculated results to the B3 "Fuel Energy Consumption" reporting cell</v>
      </c>
      <c r="B23" s="1148"/>
      <c r="C23" s="1149"/>
      <c r="D23" s="1153" t="b">
        <v>0</v>
      </c>
      <c r="E23" s="1154"/>
      <c r="F23" s="1155"/>
      <c r="O23" s="432" t="str">
        <f>IFERROR(A27, "")</f>
        <v/>
      </c>
      <c r="P23" s="403"/>
      <c r="Q23" s="433"/>
      <c r="S23" s="432" t="str">
        <f>IFERROR(L26, "")</f>
        <v/>
      </c>
      <c r="T23" s="403"/>
      <c r="U23" s="433"/>
      <c r="W23" s="432" t="str">
        <f>IFERROR(P26, "")</f>
        <v/>
      </c>
      <c r="X23" s="403"/>
      <c r="Y23" s="433"/>
      <c r="AA23" s="432" t="str">
        <f>IFERROR(T26, "")</f>
        <v/>
      </c>
      <c r="AB23" s="403"/>
      <c r="AC23" s="433"/>
      <c r="AE23" s="432" t="str">
        <f>IFERROR(X26, "")</f>
        <v/>
      </c>
      <c r="AF23" s="403"/>
      <c r="AG23" s="433"/>
      <c r="AI23" s="432" t="str">
        <f>IFERROR(AB26, "")</f>
        <v/>
      </c>
      <c r="AJ23" s="403"/>
      <c r="AK23" s="433"/>
      <c r="AL23" s="10"/>
      <c r="AM23" s="432" t="str">
        <f>IFERROR(AF26, "")</f>
        <v/>
      </c>
      <c r="AN23" s="403"/>
      <c r="AO23" s="433"/>
      <c r="AP23" s="10"/>
      <c r="AQ23" s="432" t="str">
        <f>IFERROR(AJ26, "")</f>
        <v/>
      </c>
      <c r="AR23" s="403"/>
      <c r="AS23" s="433"/>
      <c r="AU23" s="432" t="str">
        <f>IFERROR(AN26, "")</f>
        <v/>
      </c>
      <c r="AV23" s="403"/>
      <c r="AW23" s="433"/>
      <c r="AY23" s="432" t="str">
        <f>IFERROR(AR26, "")</f>
        <v/>
      </c>
      <c r="AZ23" s="403"/>
      <c r="BA23" s="433"/>
    </row>
    <row r="24" spans="1:53" ht="15" thickBot="1" x14ac:dyDescent="0.35">
      <c r="A24" s="1150"/>
      <c r="B24" s="1151"/>
      <c r="C24" s="1152"/>
      <c r="D24" s="1156"/>
      <c r="E24" s="1157"/>
      <c r="F24" s="1158"/>
      <c r="O24" s="434" t="str">
        <f>IFERROR(
    IF(AND(T11="Solid"),T18,
        IF(AND(T11="Liquid"),T18*_xlfn.XLOOKUP(T10,'Fuel Conversion Parameters'!$A$2:$A$51,'Fuel Conversion Parameters'!$D$2:$D$51)*10^(-6),
            IF(AND(T11="Gaseous"),T18*_xlfn.XLOOKUP(T10,'Fuel Conversion Parameters'!$A$2:$A$51,'Fuel Conversion Parameters'!$E$2:$E$51)*10^(-3)*10^(-6),"")
        )
    ),
    ""
)</f>
        <v/>
      </c>
      <c r="S24" s="434" t="str">
        <f>IFERROR(
    IF(AND(X11="Solid"),X18,
        IF(AND(X11="Liquid"),X18*_xlfn.XLOOKUP(X10,'Fuel Conversion Parameters'!$A$2:$A$51,'Fuel Conversion Parameters'!$D$2:$D$51)*10^(-6),
            IF(AND(X11="Gaseous"),X18*_xlfn.XLOOKUP(X10,'Fuel Conversion Parameters'!$A$2:$A$51,'Fuel Conversion Parameters'!$E$2:$E$51)*10^(-3)*10^(-6),"")
        )
    ),
    ""
)</f>
        <v/>
      </c>
      <c r="W24" s="434" t="str">
        <f>IFERROR(
    IF(AND(AB11="Solid"),AB18,
        IF(AND(AB11="Liquid"),AB18*_xlfn.XLOOKUP(AB10,'Fuel Conversion Parameters'!$A$2:$A$51,'Fuel Conversion Parameters'!$D$2:$D$51)*10^(-6),
            IF(AND(AB11="Gaseous"),AB18*_xlfn.XLOOKUP(AB10,'Fuel Conversion Parameters'!$A$2:$A$51,'Fuel Conversion Parameters'!$E$2:$E$51)*10^(-3)*10^(-6),"")
        )
    ),
    ""
)</f>
        <v/>
      </c>
      <c r="AA24" s="434" t="str">
        <f>IFERROR(
    IF(AND(AF11="Solid"),AF18,
        IF(AND(AF11="Liquid"),AF18*_xlfn.XLOOKUP(AF10,'Fuel Conversion Parameters'!$A$2:$A$51,'Fuel Conversion Parameters'!$D$2:$D$51)*10^(-6),
            IF(AND(AF11="Gaseous"),AF18*_xlfn.XLOOKUP(AF10,'Fuel Conversion Parameters'!$A$2:$A$51,'Fuel Conversion Parameters'!$E$2:$E$51)*10^(-3)*10^(-6),"")
        )
    ),
    ""
)</f>
        <v/>
      </c>
      <c r="AE24" s="434" t="str">
        <f>IFERROR(
    IF(AND(AJ11="Solid"),AJ18,
        IF(AND(AJ11="Liquid"),AJ18*_xlfn.XLOOKUP(AJ10,'Fuel Conversion Parameters'!$A$2:$A$51,'Fuel Conversion Parameters'!$D$2:$D$51)*10^(-6),
            IF(AND(AJ11="Gaseous"),AJ18*_xlfn.XLOOKUP(AJ10,'Fuel Conversion Parameters'!$A$2:$A$51,'Fuel Conversion Parameters'!$E$2:$E$51)*10^(-3)*10^(-6),"")
        )
    ),
    ""
)</f>
        <v/>
      </c>
      <c r="AI24" s="434" t="str">
        <f>IFERROR(
    IF(AND(AN11="Solid"),AN18,
        IF(AND(AN11="Liquid"),AN18*_xlfn.XLOOKUP(AN10,'Fuel Conversion Parameters'!$A$2:$A$51,'Fuel Conversion Parameters'!$D$2:$D$51)*10^(-6),
            IF(AND(AN11="Gaseous"),AN18*_xlfn.XLOOKUP(AN10,'Fuel Conversion Parameters'!$A$2:$A$51,'Fuel Conversion Parameters'!$E$2:$E$51)*10^(-3)*10^(-6),"")
        )
    ),
    ""
)</f>
        <v/>
      </c>
      <c r="AL24" s="10"/>
      <c r="AM24" s="434" t="str">
        <f>IFERROR(
    IF(AND(AR11="Solid"),AR18,
        IF(AND(AR11="Liquid"),AR18*_xlfn.XLOOKUP(AR10,'Fuel Conversion Parameters'!$A$2:$A$51,'Fuel Conversion Parameters'!$D$2:$D$51)*10^(-6),
            IF(AND(AR11="Gaseous"),AR18*_xlfn.XLOOKUP(AR10,'Fuel Conversion Parameters'!$A$2:$A$51,'Fuel Conversion Parameters'!$E$2:$E$51)*10^(-3)*10^(-6),"")
        )
    ),
    ""
)</f>
        <v/>
      </c>
      <c r="AN24" s="10"/>
      <c r="AO24" s="10"/>
      <c r="AP24" s="10"/>
      <c r="AQ24" s="434" t="str">
        <f>IFERROR(
    IF(AND(AV11="Solid"),AV18,
        IF(AND(AV11="Liquid"),AV18*_xlfn.XLOOKUP(AV10,'Fuel Conversion Parameters'!$A$2:$A$51,'Fuel Conversion Parameters'!$D$2:$D$51)*10^(-6),
            IF(AND(AV11="Gaseous"),AV18*_xlfn.XLOOKUP(AV10,'Fuel Conversion Parameters'!$A$2:$A$51,'Fuel Conversion Parameters'!$E$2:$E$51)*10^(-3)*10^(-6),"")
        )
    ),
    ""
)</f>
        <v/>
      </c>
      <c r="AU24" s="434" t="str">
        <f>IFERROR(
    IF(AND(AZ11="Solid"),AZ18,
        IF(AND(AZ11="Liquid"),AZ18*_xlfn.XLOOKUP(AZ10,'Fuel Conversion Parameters'!$A$2:$A$51,'Fuel Conversion Parameters'!$D$2:$D$51)*10^(-6),
            IF(AND(AZ11="Gaseous"),AZ18*_xlfn.XLOOKUP(AZ10,'Fuel Conversion Parameters'!$A$2:$A$51,'Fuel Conversion Parameters'!$E$2:$E$51)*10^(-3)*10^(-6),"")
        )
    ),
    ""
)</f>
        <v/>
      </c>
    </row>
    <row r="25" spans="1:53" x14ac:dyDescent="0.3">
      <c r="A25" s="434" t="str">
        <f>IFERROR(
    IF(AND(P11="Solid"),P18,
        IF(AND(P11="Liquid"),P18*_xlfn.XLOOKUP(P10,'Fuel Conversion Parameters'!$A$2:$A$51,'Fuel Conversion Parameters'!$D$2:$D$51)*10^(-6),
            IF(AND(P11="Gaseous"),P18*_xlfn.XLOOKUP(P10,'Fuel Conversion Parameters'!$A$2:$A$51,'Fuel Conversion Parameters'!$E$2:$E$51)*10^(-3)*10^(-6),"")
        )
    ),
    ""
)</f>
        <v/>
      </c>
      <c r="B25" s="10"/>
      <c r="L25" s="434" t="str">
        <f>IFERROR(VLOOKUP(T10, 'Fuel Conversion Parameters'!$A:$C, 3, FALSE), "")</f>
        <v/>
      </c>
      <c r="P25" s="434" t="str">
        <f>IFERROR(VLOOKUP(X10, 'Fuel Conversion Parameters'!$A:$C, 3, FALSE), "")</f>
        <v/>
      </c>
      <c r="T25" s="434" t="str">
        <f>IFERROR(VLOOKUP(AB10, 'Fuel Conversion Parameters'!$A:$C, 3, FALSE), "")</f>
        <v/>
      </c>
      <c r="X25" s="434" t="str">
        <f>IFERROR(VLOOKUP(AF10, 'Fuel Conversion Parameters'!$A:$C, 3, FALSE), "")</f>
        <v/>
      </c>
      <c r="AB25" s="434" t="str">
        <f>IFERROR(VLOOKUP(AJ10, 'Fuel Conversion Parameters'!$A:$C, 3, FALSE), "")</f>
        <v/>
      </c>
      <c r="AF25" s="434" t="str">
        <f>IFERROR(VLOOKUP(AN10, 'Fuel Conversion Parameters'!$A:$C, 3, FALSE), "")</f>
        <v/>
      </c>
      <c r="AJ25" s="434" t="str">
        <f>IFERROR(VLOOKUP(AR10, 'Fuel Conversion Parameters'!$A:$C, 3, FALSE), "")</f>
        <v/>
      </c>
      <c r="AL25" s="10"/>
      <c r="AN25" s="434" t="str">
        <f>IFERROR(VLOOKUP(AV10, 'Fuel Conversion Parameters'!$A:$C, 3, FALSE), "")</f>
        <v/>
      </c>
      <c r="AO25" s="10"/>
      <c r="AP25" s="10"/>
      <c r="AR25" s="434" t="str">
        <f>IFERROR(VLOOKUP(AZ10, 'Fuel Conversion Parameters'!$A:$C, 3, FALSE), "")</f>
        <v/>
      </c>
    </row>
    <row r="26" spans="1:53" x14ac:dyDescent="0.3">
      <c r="A26" s="434" t="str">
        <f>IFERROR(VLOOKUP(P10, 'Fuel Conversion Parameters'!$A:$C, 3, FALSE), "")</f>
        <v/>
      </c>
      <c r="B26" s="434" t="str">
        <f>IF(B24="m³ - cubic meters",B25*1000,
IF(B24="L - Liter",B25*1,
""))</f>
        <v/>
      </c>
      <c r="L26" s="435" t="str">
        <f>IFERROR(IF(OR(O24="", L25=""), "", O24*L25), "")</f>
        <v/>
      </c>
      <c r="M26" s="434" t="str">
        <f>IF(P24="m³ - cubic meters",M25*1000,
IF(P24="L - Liter",M25*1,
""))</f>
        <v/>
      </c>
      <c r="P26" s="435" t="str">
        <f>IFERROR(IF(OR(S24="", P25=""), "", S24*P25), "")</f>
        <v/>
      </c>
      <c r="Q26" s="434" t="str">
        <f>IF(T24="m³ - cubic meters",Q25*1000,
IF(T24="L - Liter",Q25*1,
""))</f>
        <v/>
      </c>
      <c r="T26" s="435" t="str">
        <f>IFERROR(IF(OR(W24="", T25=""), "", W24*T25), "")</f>
        <v/>
      </c>
      <c r="U26" s="434" t="str">
        <f>IF(X24="m³ - cubic meters",U25*1000,
IF(X24="L - Liter",U25*1,
""))</f>
        <v/>
      </c>
      <c r="X26" s="435" t="str">
        <f>IFERROR(IF(OR(AA24="", X25=""), "", AA24*X25), "")</f>
        <v/>
      </c>
      <c r="Y26" s="434" t="str">
        <f>IF(AB24="m³ - cubic meters",Y25*1000,
IF(AB24="L - Liter",Y25*1,
""))</f>
        <v/>
      </c>
      <c r="AB26" s="435" t="str">
        <f>IFERROR(IF(OR(AE24="", AB25=""), "", AE24*AB25), "")</f>
        <v/>
      </c>
      <c r="AC26" s="434" t="str">
        <f>IF(AF24="m³ - cubic meters",AC25*1000,
IF(AF24="L - Liter",AC25*1,
""))</f>
        <v/>
      </c>
      <c r="AF26" s="435" t="str">
        <f>IFERROR(IF(OR(AI24="", AF25=""), "", AI24*AF25), "")</f>
        <v/>
      </c>
      <c r="AG26" s="434" t="str">
        <f>IF(AJ24="m³ - cubic meters",AG25*1000,
IF(AJ24="L - Liter",AG25*1,
""))</f>
        <v/>
      </c>
      <c r="AJ26" s="435" t="str">
        <f>IFERROR(IF(OR(AM24="", AJ25=""), "", AM24*AJ25), "")</f>
        <v/>
      </c>
      <c r="AK26" s="434" t="str">
        <f>IF(AN24="m³ - cubic meters",AK25*1000,
IF(AN24="L - Liter",AK25*1,
""))</f>
        <v/>
      </c>
      <c r="AL26" s="10"/>
      <c r="AN26" s="435" t="str">
        <f>IFERROR(IF(OR(AQ24="", AN25=""), "", AQ24*AN25), "")</f>
        <v/>
      </c>
      <c r="AO26" s="434" t="str">
        <f>IF(AR24="m³ - cubic meters",AO25*1000,
IF(AR24="L - Liter",AO25*1,
""))</f>
        <v/>
      </c>
      <c r="AP26" s="10"/>
      <c r="AR26" s="435" t="str">
        <f>IFERROR(IF(OR(AU24="", AR25=""), "", AU24*AR25), "")</f>
        <v/>
      </c>
      <c r="AS26" s="434" t="str">
        <f>IF(AV24="m³ - cubic meters",AS25*1000,
IF(AV24="L - Liter",AS25*1,
""))</f>
        <v/>
      </c>
    </row>
    <row r="27" spans="1:53" ht="15" thickBot="1" x14ac:dyDescent="0.35">
      <c r="A27" s="435" t="str">
        <f>IFERROR(IF(OR(A25="", A26=""), "", A25*A26), "")</f>
        <v/>
      </c>
      <c r="B27" s="10"/>
      <c r="AL27" s="10"/>
      <c r="AN27" s="10"/>
      <c r="AO27" s="10"/>
      <c r="AP27" s="10"/>
    </row>
    <row r="28" spans="1:53" ht="15" thickBot="1" x14ac:dyDescent="0.35">
      <c r="A28" s="1143" t="str">
        <f>template_label_total_energy</f>
        <v>Total Energy [MWh]</v>
      </c>
      <c r="B28" s="1144"/>
      <c r="AL28" s="10"/>
      <c r="AN28" s="10"/>
      <c r="AO28" s="10"/>
      <c r="AP28" s="10"/>
    </row>
    <row r="29" spans="1:53" ht="15" thickBot="1" x14ac:dyDescent="0.35">
      <c r="A29" s="1145" t="str">
        <f>IFERROR(A32+B32, "-")</f>
        <v>-</v>
      </c>
      <c r="B29" s="1146"/>
      <c r="AL29" s="10"/>
      <c r="AN29" s="10"/>
      <c r="AO29" s="10"/>
      <c r="AP29" s="10"/>
    </row>
    <row r="30" spans="1:53" ht="15" thickBot="1" x14ac:dyDescent="0.35">
      <c r="A30" s="10"/>
      <c r="B30" s="10"/>
      <c r="L30" s="435" t="str">
        <f>IFERROR(L33, "")</f>
        <v/>
      </c>
      <c r="AL30" s="10"/>
      <c r="AN30" s="10"/>
      <c r="AO30" s="10"/>
      <c r="AP30" s="10"/>
    </row>
    <row r="31" spans="1:53" ht="15" thickBot="1" x14ac:dyDescent="0.35">
      <c r="A31" s="414" t="str">
        <f>template_label_total_renewable_energy</f>
        <v>Total Renewable Energy [MWh]</v>
      </c>
      <c r="B31" s="404" t="str">
        <f>template_label_total_nonrenewable_energy</f>
        <v>Total Non-renewable Energy [MWh]</v>
      </c>
      <c r="L31" s="435" t="str">
        <f>IFERROR(
    IF(AND(T17&lt;&gt;"",T21="",M25=""),T18,
        IF(AND(T17="",T21&lt;&gt;"",M25=""),T22*_xlfn.XLOOKUP(T10,'Fuel Conversion Parameters'!$A$2:$A$51,'Fuel Conversion Parameters'!$D$2:$D$51)*10^(-6),
            IF(AND(T17="",T21="",M25&lt;&gt;""),M26*_xlfn.XLOOKUP(T10,'Fuel Conversion Parameters'!$A$2:$A$51,'Fuel Conversion Parameters'!$E$2:$E$51)*10^(-3)*10^(-6),"")
        )
    ),
    ""
)</f>
        <v/>
      </c>
      <c r="AL31" s="10"/>
      <c r="AN31" s="10"/>
      <c r="AO31" s="10"/>
      <c r="AP31" s="10"/>
    </row>
    <row r="32" spans="1:53" ht="15" thickBot="1" x14ac:dyDescent="0.35">
      <c r="A32" s="431" t="str">
        <f>IF(OR(ISBLANK(A10), ISBLANK(B10), ISBLANK(C10)), "-",
    IFERROR(
        IF(COUNTIF(G22:AY22, "-")=10, "-",
            SUMIFS(O22, P12, "Renewable") +
            SUMIFS(S22, T12, "Renewable") +
            SUMIFS(P29, X12, "Renewable") +
            SUMIFS(T29, AB12, "Renewable") +
            SUMIFS(X29, AF12, "Renewable") +
            SUMIFS(AB29, AJ12, "Renewable") +
            SUMIFS(AF29, AN12, "Renewable") +
            SUMIFS(AJ29, AR12, "Renewable") +
            SUMIFS(AN29, AV12, "Renewable") +
            SUMIFS(AR29, AZ12, "Renewable")
        ), "-"
    )
)</f>
        <v>-</v>
      </c>
      <c r="B32" s="431" t="str">
        <f>IF(OR(ISBLANK(A10), ISBLANK(B10), ISBLANK(C10)), "-",
    IFERROR(
        IF(COUNTIF(G22:AY22, "-")=10, "-",
            SUMIFS(O22, P12, "Non-renewable") +
            SUMIFS(S22, T12, "Non-renewable") +
            SUMIFS(P29, X12, "Non-renewable") +
            SUMIFS(T29, AB12, "Non-renewable") +
            SUMIFS(X29, AF12, "Non-renewable") +
            SUMIFS(AB29, AJ12, "Non-renewable") +
            SUMIFS(AF29, AN12, "Non-renewable") +
            SUMIFS(AJ29, AR12, "Non-renewable") +
            SUMIFS(AN29, AV12, "Non-renewable") +
            SUMIFS(AR29, AZ12, "Non-renewable")
        ), "-"
    )
)</f>
        <v>-</v>
      </c>
      <c r="L32" s="435" t="str">
        <f>IFERROR(VLOOKUP(T10, 'Fuel Conversion Parameters'!$A:$C, 3, FALSE), "")</f>
        <v/>
      </c>
      <c r="AL32" s="10"/>
      <c r="AN32" s="10"/>
      <c r="AO32" s="10"/>
      <c r="AP32" s="10"/>
    </row>
    <row r="33" spans="1:42" x14ac:dyDescent="0.3">
      <c r="A33" s="435"/>
      <c r="B33" s="10"/>
      <c r="L33" s="435" t="str">
        <f>IFERROR(IF(OR(L31="", L32=""), "", L31*L32), "")</f>
        <v/>
      </c>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98" t="str">
        <f>template_label_further_notes</f>
        <v>Further notes:</v>
      </c>
      <c r="B36" s="10"/>
      <c r="AL36" s="10"/>
      <c r="AN36" s="10"/>
      <c r="AO36" s="10"/>
      <c r="AP36" s="10"/>
    </row>
    <row r="37" spans="1:42" ht="257.39999999999998" customHeight="1" x14ac:dyDescent="0.3">
      <c r="A37" s="1055"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1055"/>
      <c r="AL37" s="10"/>
      <c r="AN37" s="10"/>
      <c r="AO37" s="10"/>
      <c r="AP37" s="10"/>
    </row>
    <row r="38" spans="1:42" x14ac:dyDescent="0.3">
      <c r="A38" s="10"/>
      <c r="B38" s="10"/>
      <c r="AL38" s="10"/>
      <c r="AN38" s="10"/>
      <c r="AO38" s="10"/>
      <c r="AP38" s="10"/>
    </row>
    <row r="39" spans="1:42" x14ac:dyDescent="0.3">
      <c r="A39" s="1140" t="str">
        <f>template_label_energy_consumption_per_hour_in_mwh_for_solid_fuels</f>
        <v>Energy Consumption per Hour in MWh for Solid Fuels:</v>
      </c>
      <c r="B39" s="1140"/>
      <c r="AL39" s="10"/>
      <c r="AN39" s="10"/>
      <c r="AO39" s="10"/>
      <c r="AP39" s="10"/>
    </row>
    <row r="40" spans="1:42" ht="18" x14ac:dyDescent="0.35">
      <c r="A40" s="1141" t="str">
        <f>template_label_energy_solid_fuels</f>
        <v>Energy [MWh] = Mass [t] * NCV [MWh/t]</v>
      </c>
      <c r="B40" s="1141"/>
      <c r="AL40" s="10"/>
      <c r="AN40" s="10"/>
      <c r="AO40" s="10"/>
      <c r="AP40" s="10"/>
    </row>
    <row r="41" spans="1:42" x14ac:dyDescent="0.3">
      <c r="A41" s="1140"/>
      <c r="B41" s="1140"/>
      <c r="AL41" s="10"/>
      <c r="AN41" s="10"/>
      <c r="AO41" s="10"/>
      <c r="AP41" s="10"/>
    </row>
    <row r="42" spans="1:42" x14ac:dyDescent="0.3">
      <c r="A42" s="1140" t="str">
        <f>template_label_energy_consumption_per_hour_in_mwh_for_liquid_fuels</f>
        <v>Energy Consumption per Hour in MWh for Liquid Fuels:</v>
      </c>
      <c r="B42" s="1140"/>
      <c r="AL42" s="10"/>
      <c r="AN42" s="10"/>
      <c r="AO42" s="10"/>
      <c r="AP42" s="10"/>
    </row>
    <row r="43" spans="1:42" ht="18" x14ac:dyDescent="0.35">
      <c r="A43" s="1141" t="str">
        <f>template_label_mass_liquid_fuels</f>
        <v>Mass [t] = Volume [L] * Density [t/L]</v>
      </c>
      <c r="B43" s="1141"/>
      <c r="AL43" s="10"/>
      <c r="AN43" s="10"/>
      <c r="AO43" s="10"/>
      <c r="AP43" s="10"/>
    </row>
    <row r="44" spans="1:42" ht="18" x14ac:dyDescent="0.35">
      <c r="A44" s="1141" t="str">
        <f>template_label_energy_liquid_fuels</f>
        <v>Energy [MWh] = Mass [t] * [MWh/t]</v>
      </c>
      <c r="B44" s="1141"/>
      <c r="AL44" s="10"/>
      <c r="AN44" s="10"/>
      <c r="AO44" s="10"/>
      <c r="AP44" s="10"/>
    </row>
    <row r="45" spans="1:42" x14ac:dyDescent="0.3">
      <c r="A45" s="1140"/>
      <c r="B45" s="1140"/>
      <c r="AL45" s="10"/>
      <c r="AN45" s="10"/>
      <c r="AO45" s="10"/>
      <c r="AP45" s="10"/>
    </row>
    <row r="46" spans="1:42" x14ac:dyDescent="0.3">
      <c r="A46" s="1140" t="str">
        <f>template_label_energy_consumption_per_hour_in_mwh_for_gaseous_fuels</f>
        <v>Energy Consumption per Hour in MWh for Gaseous Fuels:</v>
      </c>
      <c r="B46" s="1140"/>
      <c r="AL46" s="10"/>
      <c r="AN46" s="10"/>
      <c r="AO46" s="10"/>
      <c r="AP46" s="10"/>
    </row>
    <row r="47" spans="1:42" ht="18" x14ac:dyDescent="0.35">
      <c r="A47" s="1141" t="str">
        <f>template_label_mass_gaseous_fuels</f>
        <v>Mass [t] = Volume [m³] * Density [t/m³]</v>
      </c>
      <c r="B47" s="1141"/>
      <c r="C47" s="454"/>
      <c r="AL47" s="10"/>
      <c r="AN47" s="10"/>
      <c r="AO47" s="10"/>
      <c r="AP47" s="10"/>
    </row>
    <row r="48" spans="1:42" ht="18" x14ac:dyDescent="0.35">
      <c r="A48" s="1141" t="str">
        <f>template_label_energy_gaseous_fuels</f>
        <v>Energy [MWh] = Mass [t] * NCV [MWh/t]</v>
      </c>
      <c r="B48" s="1141"/>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8LnRQI3lMvKPyQAjd4Qu2QO6uDhnH3FmYhfcP9R+OsDSqBI1lgH8rer+KV5WWvdo6pN/v763164ZBAY2Z6E4/g==" saltValue="Il2XD751rCnzxzv/LaTg4Q==" spinCount="100000" sheet="1" objects="1" scenarios="1"/>
  <mergeCells count="20">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A46:B46"/>
    <mergeCell ref="A47:B47"/>
    <mergeCell ref="A48:B48"/>
    <mergeCell ref="A43:B43"/>
    <mergeCell ref="A44:B44"/>
    <mergeCell ref="A45:B45"/>
  </mergeCells>
  <conditionalFormatting sqref="A6">
    <cfRule type="expression" dxfId="33" priority="558">
      <formula>OR($P$11="Solid", $P$11="Gas")</formula>
    </cfRule>
  </conditionalFormatting>
  <conditionalFormatting sqref="D10">
    <cfRule type="expression" dxfId="32" priority="134">
      <formula>$D$10="MISSING VALUE"</formula>
    </cfRule>
  </conditionalFormatting>
  <conditionalFormatting sqref="E10">
    <cfRule type="expression" dxfId="31" priority="24">
      <formula>$E$10="MISSING VALUE"</formula>
    </cfRule>
  </conditionalFormatting>
  <conditionalFormatting sqref="G10:G19">
    <cfRule type="expression" dxfId="30" priority="2">
      <formula>$G10=template_label_solid_warning</formula>
    </cfRule>
    <cfRule type="expression" dxfId="29" priority="5">
      <formula>$G10=template_label_gaseous_warning</formula>
    </cfRule>
    <cfRule type="expression" dxfId="28" priority="6">
      <formula>$G10=template_label_liquid_warning</formula>
    </cfRule>
  </conditionalFormatting>
  <conditionalFormatting sqref="P11">
    <cfRule type="expression" dxfId="27" priority="25">
      <formula>$P$11="MISSING VALUE"</formula>
    </cfRule>
  </conditionalFormatting>
  <conditionalFormatting sqref="P12">
    <cfRule type="expression" dxfId="26" priority="135">
      <formula>$P$12="MISSING VALUE"</formula>
    </cfRule>
  </conditionalFormatting>
  <conditionalFormatting sqref="Q16 U16 Y16 AC16 AG16 AK16 AO16 AS16 AW16 BA16">
    <cfRule type="expression" dxfId="25" priority="104">
      <formula>Q$16="Solid fuel: please change unit of measurement, select one among Gg, t, Kg and g"</formula>
    </cfRule>
    <cfRule type="expression" dxfId="24" priority="105">
      <formula>Q$16="Solid fuel: please select one unit of measurement among Gg, t, Kg and g"</formula>
    </cfRule>
    <cfRule type="expression" dxfId="23" priority="106">
      <formula>Q$16="Gaseous fuel: please change unit of measurement, select one among m³ and L"</formula>
    </cfRule>
    <cfRule type="expression" dxfId="22" priority="107">
      <formula>Q$16="Liquid fuel: please change unit of measurement, select one among m³ and L"</formula>
    </cfRule>
    <cfRule type="expression" dxfId="21" priority="108">
      <formula>Q$16="Gaseous fuel: please select one unit of measurement among m³ and L"</formula>
    </cfRule>
    <cfRule type="expression" dxfId="20" priority="109">
      <formula>Q$16="Liquid fuel: please select one unit of measurement among m³ and L"</formula>
    </cfRule>
  </conditionalFormatting>
  <conditionalFormatting sqref="T11">
    <cfRule type="expression" dxfId="19" priority="110">
      <formula>$T$11="MISSING VALUE"</formula>
    </cfRule>
  </conditionalFormatting>
  <conditionalFormatting sqref="T12">
    <cfRule type="expression" dxfId="18" priority="129">
      <formula>$T$12="MISSING VALUE"</formula>
    </cfRule>
  </conditionalFormatting>
  <conditionalFormatting sqref="X11">
    <cfRule type="expression" dxfId="17" priority="22">
      <formula>$T$11="MISSING VALUE"</formula>
    </cfRule>
  </conditionalFormatting>
  <conditionalFormatting sqref="X12">
    <cfRule type="expression" dxfId="16" priority="21">
      <formula>$T$12="MISSING VALUE"</formula>
    </cfRule>
  </conditionalFormatting>
  <conditionalFormatting sqref="AB11">
    <cfRule type="expression" dxfId="15" priority="20">
      <formula>$T$11="MISSING VALUE"</formula>
    </cfRule>
  </conditionalFormatting>
  <conditionalFormatting sqref="AB12">
    <cfRule type="expression" dxfId="14" priority="19">
      <formula>$T$12="MISSING VALUE"</formula>
    </cfRule>
  </conditionalFormatting>
  <conditionalFormatting sqref="AF11">
    <cfRule type="expression" dxfId="13" priority="18">
      <formula>$T$11="MISSING VALUE"</formula>
    </cfRule>
  </conditionalFormatting>
  <conditionalFormatting sqref="AF12">
    <cfRule type="expression" dxfId="12" priority="17">
      <formula>$T$12="MISSING VALUE"</formula>
    </cfRule>
  </conditionalFormatting>
  <conditionalFormatting sqref="AJ11">
    <cfRule type="expression" dxfId="11" priority="16">
      <formula>$T$11="MISSING VALUE"</formula>
    </cfRule>
  </conditionalFormatting>
  <conditionalFormatting sqref="AJ12">
    <cfRule type="expression" dxfId="10" priority="15">
      <formula>$T$12="MISSING VALUE"</formula>
    </cfRule>
  </conditionalFormatting>
  <conditionalFormatting sqref="AN11">
    <cfRule type="expression" dxfId="9" priority="14">
      <formula>$T$11="MISSING VALUE"</formula>
    </cfRule>
  </conditionalFormatting>
  <conditionalFormatting sqref="AN12">
    <cfRule type="expression" dxfId="8" priority="13">
      <formula>$T$12="MISSING VALUE"</formula>
    </cfRule>
  </conditionalFormatting>
  <conditionalFormatting sqref="AR11">
    <cfRule type="expression" dxfId="7" priority="12">
      <formula>$T$11="MISSING VALUE"</formula>
    </cfRule>
  </conditionalFormatting>
  <conditionalFormatting sqref="AR12">
    <cfRule type="expression" dxfId="6" priority="11">
      <formula>$T$12="MISSING VALUE"</formula>
    </cfRule>
  </conditionalFormatting>
  <conditionalFormatting sqref="AV11">
    <cfRule type="expression" dxfId="5" priority="10">
      <formula>$T$11="MISSING VALUE"</formula>
    </cfRule>
  </conditionalFormatting>
  <conditionalFormatting sqref="AV12">
    <cfRule type="expression" dxfId="4" priority="9">
      <formula>$T$12="MISSING VALUE"</formula>
    </cfRule>
  </conditionalFormatting>
  <conditionalFormatting sqref="AZ11">
    <cfRule type="expression" dxfId="3" priority="8">
      <formula>$T$11="MISSING VALUE"</formula>
    </cfRule>
  </conditionalFormatting>
  <conditionalFormatting sqref="AZ12">
    <cfRule type="expression" dxfId="2" priority="7">
      <formula>$T$12="MISSING VALUE"</formula>
    </cfRule>
  </conditionalFormatting>
  <dataValidations count="8">
    <dataValidation type="custom" allowBlank="1" showInputMessage="1" showErrorMessage="1" sqref="L30" xr:uid="{24F78D8F-F8C3-4714-A04F-7D7BFB1DC81C}">
      <formula1>IFERROR(L33, "")</formula1>
    </dataValidation>
    <dataValidation type="custom" allowBlank="1" showInputMessage="1" showErrorMessage="1" sqref="L33" xr:uid="{AD6B99AB-0813-4A8D-A012-A2DA70342FEF}">
      <formula1>IFERROR(IF(OR(L31="", L32=""), "", L31*L32), "")</formula1>
    </dataValidation>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IFERROR(VLOOKUP(T10, 'Fuel Conversion Parameters'!#REF!, 3, FALSE), "")</xm:f>
          </x14:formula1>
          <xm:sqref>L32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76" t="s">
        <v>2935</v>
      </c>
      <c r="B1" s="177" t="s">
        <v>3019</v>
      </c>
      <c r="C1" s="178" t="s">
        <v>3073</v>
      </c>
      <c r="D1" s="179" t="s">
        <v>3074</v>
      </c>
      <c r="E1" s="180" t="s">
        <v>3075</v>
      </c>
      <c r="F1" s="218" t="s">
        <v>3577</v>
      </c>
      <c r="G1" s="25" t="s">
        <v>2936</v>
      </c>
      <c r="H1" s="84" t="s">
        <v>2937</v>
      </c>
      <c r="I1" s="25" t="s">
        <v>2938</v>
      </c>
      <c r="J1" s="25" t="s">
        <v>3670</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1" t="s">
        <v>2939</v>
      </c>
      <c r="AN1" s="192" t="s">
        <v>3563</v>
      </c>
      <c r="AO1" s="192" t="s">
        <v>3570</v>
      </c>
      <c r="AP1" s="192" t="s">
        <v>3564</v>
      </c>
      <c r="AQ1" s="192" t="s">
        <v>3565</v>
      </c>
      <c r="AR1" s="192" t="s">
        <v>3566</v>
      </c>
      <c r="AS1" s="192" t="s">
        <v>3567</v>
      </c>
      <c r="AT1" s="192" t="s">
        <v>3568</v>
      </c>
      <c r="AU1" s="192" t="s">
        <v>3569</v>
      </c>
      <c r="AW1" s="178" t="s">
        <v>3019</v>
      </c>
      <c r="AX1" s="218" t="s">
        <v>3577</v>
      </c>
      <c r="AY1" s="307" t="s">
        <v>3676</v>
      </c>
    </row>
    <row r="2" spans="1:51" ht="15" thickBot="1" x14ac:dyDescent="0.35">
      <c r="A2" s="376" t="s">
        <v>2960</v>
      </c>
      <c r="B2" s="181" t="s">
        <v>2961</v>
      </c>
      <c r="C2" s="182">
        <v>26.7</v>
      </c>
      <c r="D2" s="299"/>
      <c r="E2" s="300"/>
      <c r="F2" s="223" t="s">
        <v>3051</v>
      </c>
      <c r="G2" s="221"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3" t="s">
        <v>3563</v>
      </c>
      <c r="AN2" s="194">
        <v>1</v>
      </c>
      <c r="AO2" s="194">
        <v>0.1</v>
      </c>
      <c r="AP2" s="195">
        <v>0.01</v>
      </c>
      <c r="AQ2" s="195">
        <v>1E-3</v>
      </c>
      <c r="AR2" s="195">
        <v>9.9999999999999995E-7</v>
      </c>
      <c r="AS2" s="195">
        <v>9.9999999999999995E-7</v>
      </c>
      <c r="AT2" s="195">
        <v>1.0000000000000001E-9</v>
      </c>
      <c r="AU2" s="196">
        <v>9.9999999999999998E-13</v>
      </c>
      <c r="AW2" s="3" t="s">
        <v>2961</v>
      </c>
      <c r="AX2" s="3" t="s">
        <v>3050</v>
      </c>
      <c r="AY2" s="308"/>
    </row>
    <row r="3" spans="1:51" ht="15" thickBot="1" x14ac:dyDescent="0.35">
      <c r="A3" s="377" t="s">
        <v>2965</v>
      </c>
      <c r="B3" s="181" t="s">
        <v>2966</v>
      </c>
      <c r="C3" s="183">
        <v>44.3</v>
      </c>
      <c r="D3" s="147">
        <v>0.71</v>
      </c>
      <c r="E3" s="301"/>
      <c r="F3" s="224" t="s">
        <v>3051</v>
      </c>
      <c r="G3" s="222"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3" t="s">
        <v>3570</v>
      </c>
      <c r="AN3" s="197">
        <v>10</v>
      </c>
      <c r="AO3" s="197">
        <v>1</v>
      </c>
      <c r="AP3" s="198">
        <v>0.1</v>
      </c>
      <c r="AQ3" s="198">
        <v>0.01</v>
      </c>
      <c r="AR3" s="198">
        <v>1.0000000000000001E-5</v>
      </c>
      <c r="AS3" s="198">
        <v>1.0000000000000001E-5</v>
      </c>
      <c r="AT3" s="198">
        <v>1E-8</v>
      </c>
      <c r="AU3" s="199">
        <v>9.9999999999999994E-12</v>
      </c>
      <c r="AW3" s="1" t="s">
        <v>2966</v>
      </c>
      <c r="AX3" s="1" t="s">
        <v>3051</v>
      </c>
      <c r="AY3" s="308"/>
    </row>
    <row r="4" spans="1:51" ht="15" thickBot="1" x14ac:dyDescent="0.35">
      <c r="A4" s="377" t="s">
        <v>2970</v>
      </c>
      <c r="B4" s="181" t="s">
        <v>2966</v>
      </c>
      <c r="C4" s="183">
        <v>27</v>
      </c>
      <c r="D4" s="147">
        <v>0.85</v>
      </c>
      <c r="E4" s="301"/>
      <c r="F4" s="224" t="s">
        <v>3050</v>
      </c>
      <c r="G4" s="222"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3" t="s">
        <v>3564</v>
      </c>
      <c r="AN4" s="197">
        <v>100</v>
      </c>
      <c r="AO4" s="197">
        <v>10</v>
      </c>
      <c r="AP4" s="198">
        <v>1</v>
      </c>
      <c r="AQ4" s="198">
        <v>0.1</v>
      </c>
      <c r="AR4" s="198">
        <v>1E-4</v>
      </c>
      <c r="AS4" s="198">
        <v>1E-4</v>
      </c>
      <c r="AT4" s="198">
        <v>9.9999999999999995E-8</v>
      </c>
      <c r="AU4" s="199">
        <v>1E-10</v>
      </c>
      <c r="AW4" s="1" t="s">
        <v>3579</v>
      </c>
      <c r="AX4" s="1"/>
      <c r="AY4" s="308"/>
    </row>
    <row r="5" spans="1:51" ht="15" thickBot="1" x14ac:dyDescent="0.35">
      <c r="A5" s="377" t="s">
        <v>2972</v>
      </c>
      <c r="B5" s="181" t="s">
        <v>2966</v>
      </c>
      <c r="C5" s="183">
        <v>27</v>
      </c>
      <c r="D5" s="217">
        <v>0.75</v>
      </c>
      <c r="E5" s="302"/>
      <c r="F5" s="224" t="s">
        <v>3050</v>
      </c>
      <c r="G5" s="222"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3" t="s">
        <v>3565</v>
      </c>
      <c r="AN5" s="197">
        <v>1000</v>
      </c>
      <c r="AO5" s="197">
        <v>100</v>
      </c>
      <c r="AP5" s="198">
        <v>10</v>
      </c>
      <c r="AQ5" s="198">
        <v>1</v>
      </c>
      <c r="AR5" s="198">
        <v>1E-3</v>
      </c>
      <c r="AS5" s="198">
        <v>1E-3</v>
      </c>
      <c r="AT5" s="198">
        <v>9.9999999999999995E-7</v>
      </c>
      <c r="AU5" s="199">
        <v>1.0000000000000001E-9</v>
      </c>
      <c r="AW5" s="1"/>
      <c r="AX5" s="51"/>
      <c r="AY5" s="309" t="s">
        <v>3585</v>
      </c>
    </row>
    <row r="6" spans="1:51" ht="15" thickBot="1" x14ac:dyDescent="0.35">
      <c r="A6" s="377" t="s">
        <v>2974</v>
      </c>
      <c r="B6" s="181" t="s">
        <v>2966</v>
      </c>
      <c r="C6" s="183">
        <v>40.200000000000003</v>
      </c>
      <c r="D6" s="217">
        <v>1.0349999999999999</v>
      </c>
      <c r="E6" s="301"/>
      <c r="F6" s="224"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3" t="s">
        <v>3566</v>
      </c>
      <c r="AN6" s="197">
        <v>1000000</v>
      </c>
      <c r="AO6" s="197">
        <v>100000</v>
      </c>
      <c r="AP6" s="198">
        <v>10000</v>
      </c>
      <c r="AQ6" s="198">
        <v>1000</v>
      </c>
      <c r="AR6" s="198">
        <v>1</v>
      </c>
      <c r="AS6" s="198">
        <v>1</v>
      </c>
      <c r="AT6" s="198">
        <v>1E-3</v>
      </c>
      <c r="AU6" s="199">
        <v>9.9999999999999995E-7</v>
      </c>
      <c r="AY6" s="309" t="s">
        <v>3586</v>
      </c>
    </row>
    <row r="7" spans="1:51" ht="15" thickBot="1" x14ac:dyDescent="0.35">
      <c r="A7" s="377" t="s">
        <v>2975</v>
      </c>
      <c r="B7" s="181" t="s">
        <v>3579</v>
      </c>
      <c r="C7" s="183">
        <v>2.4700000000000002</v>
      </c>
      <c r="D7" s="303"/>
      <c r="E7" s="219">
        <v>1.25</v>
      </c>
      <c r="F7" s="224"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3" t="s">
        <v>3567</v>
      </c>
      <c r="AN7" s="197">
        <v>1000000</v>
      </c>
      <c r="AO7" s="197">
        <v>100000</v>
      </c>
      <c r="AP7" s="198">
        <v>10000</v>
      </c>
      <c r="AQ7" s="198">
        <v>1000</v>
      </c>
      <c r="AR7" s="198">
        <v>1</v>
      </c>
      <c r="AS7" s="198">
        <v>1</v>
      </c>
      <c r="AT7" s="198">
        <v>1E-3</v>
      </c>
      <c r="AU7" s="199">
        <v>9.9999999999999995E-7</v>
      </c>
      <c r="AY7" s="309" t="s">
        <v>3587</v>
      </c>
    </row>
    <row r="8" spans="1:51" ht="15" thickBot="1" x14ac:dyDescent="0.35">
      <c r="A8" s="377" t="s">
        <v>2976</v>
      </c>
      <c r="B8" s="181" t="s">
        <v>2961</v>
      </c>
      <c r="C8" s="183">
        <v>20.7</v>
      </c>
      <c r="D8" s="303"/>
      <c r="E8" s="301"/>
      <c r="F8" s="224"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3" t="s">
        <v>3568</v>
      </c>
      <c r="AN8" s="197">
        <v>1000000000</v>
      </c>
      <c r="AO8" s="197">
        <v>100000000</v>
      </c>
      <c r="AP8" s="198">
        <v>10000000</v>
      </c>
      <c r="AQ8" s="198">
        <v>1000000</v>
      </c>
      <c r="AR8" s="198">
        <v>1000</v>
      </c>
      <c r="AS8" s="198">
        <v>1000</v>
      </c>
      <c r="AT8" s="198">
        <v>1</v>
      </c>
      <c r="AU8" s="199">
        <v>1E-3</v>
      </c>
      <c r="AY8" s="310"/>
    </row>
    <row r="9" spans="1:51" ht="15" thickBot="1" x14ac:dyDescent="0.35">
      <c r="A9" s="377" t="s">
        <v>3578</v>
      </c>
      <c r="B9" s="181" t="s">
        <v>3579</v>
      </c>
      <c r="C9" s="217">
        <v>45.57</v>
      </c>
      <c r="D9" s="303"/>
      <c r="E9" s="185">
        <v>2.5</v>
      </c>
      <c r="F9" s="224"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3" t="s">
        <v>3569</v>
      </c>
      <c r="AN9" s="200">
        <v>1000000000000</v>
      </c>
      <c r="AO9" s="200">
        <v>100000000000</v>
      </c>
      <c r="AP9" s="201">
        <v>10000000000</v>
      </c>
      <c r="AQ9" s="201">
        <v>1000000000</v>
      </c>
      <c r="AR9" s="201">
        <v>1000000</v>
      </c>
      <c r="AS9" s="201">
        <v>1000000</v>
      </c>
      <c r="AT9" s="201">
        <v>1000</v>
      </c>
      <c r="AU9" s="202">
        <v>1</v>
      </c>
      <c r="AY9" s="309" t="s">
        <v>3588</v>
      </c>
    </row>
    <row r="10" spans="1:51" ht="15" thickBot="1" x14ac:dyDescent="0.35">
      <c r="A10" s="377" t="s">
        <v>2977</v>
      </c>
      <c r="B10" s="181" t="s">
        <v>3579</v>
      </c>
      <c r="C10" s="183">
        <v>28.2</v>
      </c>
      <c r="D10" s="303"/>
      <c r="E10" s="301"/>
      <c r="F10" s="224"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0"/>
    </row>
    <row r="11" spans="1:51" ht="15" thickBot="1" x14ac:dyDescent="0.35">
      <c r="A11" s="377" t="s">
        <v>2978</v>
      </c>
      <c r="B11" s="181" t="s">
        <v>3579</v>
      </c>
      <c r="C11" s="183">
        <v>38.700000000000003</v>
      </c>
      <c r="D11" s="303"/>
      <c r="E11" s="219">
        <v>0.47499999999999998</v>
      </c>
      <c r="F11" s="224"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09" t="s">
        <v>3589</v>
      </c>
    </row>
    <row r="12" spans="1:51" ht="15" thickBot="1" x14ac:dyDescent="0.35">
      <c r="A12" s="377" t="s">
        <v>2979</v>
      </c>
      <c r="B12" s="181" t="s">
        <v>2961</v>
      </c>
      <c r="C12" s="183">
        <v>28.2</v>
      </c>
      <c r="D12" s="303"/>
      <c r="E12" s="301"/>
      <c r="F12" s="224"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8"/>
    </row>
    <row r="13" spans="1:51" ht="15" thickBot="1" x14ac:dyDescent="0.35">
      <c r="A13" s="377" t="s">
        <v>3582</v>
      </c>
      <c r="B13" s="181" t="s">
        <v>2966</v>
      </c>
      <c r="C13" s="183">
        <v>42.3</v>
      </c>
      <c r="D13" s="147">
        <v>0.8</v>
      </c>
      <c r="E13" s="301"/>
      <c r="F13" s="224"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8"/>
    </row>
    <row r="14" spans="1:51" x14ac:dyDescent="0.3">
      <c r="A14" s="377" t="s">
        <v>2980</v>
      </c>
      <c r="B14" s="181" t="s">
        <v>3579</v>
      </c>
      <c r="C14" s="183">
        <v>46.4</v>
      </c>
      <c r="D14" s="184"/>
      <c r="E14" s="185">
        <v>1.3</v>
      </c>
      <c r="F14" s="224" t="s">
        <v>3051</v>
      </c>
      <c r="AY14" s="308"/>
    </row>
    <row r="15" spans="1:51" x14ac:dyDescent="0.3">
      <c r="A15" s="377" t="s">
        <v>2981</v>
      </c>
      <c r="B15" s="181" t="s">
        <v>3579</v>
      </c>
      <c r="C15" s="183">
        <v>28.2</v>
      </c>
      <c r="D15" s="184"/>
      <c r="E15" s="219">
        <v>0.54</v>
      </c>
      <c r="F15" s="224" t="s">
        <v>3051</v>
      </c>
      <c r="AY15" s="309" t="s">
        <v>3590</v>
      </c>
    </row>
    <row r="16" spans="1:51" x14ac:dyDescent="0.3">
      <c r="A16" s="377" t="s">
        <v>2982</v>
      </c>
      <c r="B16" s="181" t="s">
        <v>2966</v>
      </c>
      <c r="C16" s="183">
        <v>43</v>
      </c>
      <c r="D16" s="186">
        <v>0.84</v>
      </c>
      <c r="E16" s="304"/>
      <c r="F16" s="224" t="s">
        <v>3051</v>
      </c>
      <c r="AY16" s="310"/>
    </row>
    <row r="17" spans="1:51" x14ac:dyDescent="0.3">
      <c r="A17" s="377" t="s">
        <v>2983</v>
      </c>
      <c r="B17" s="181" t="s">
        <v>2966</v>
      </c>
      <c r="C17" s="183">
        <v>44.3</v>
      </c>
      <c r="D17" s="217">
        <v>0.81</v>
      </c>
      <c r="E17" s="301"/>
      <c r="F17" s="224" t="s">
        <v>3051</v>
      </c>
      <c r="AY17" s="309" t="s">
        <v>3591</v>
      </c>
    </row>
    <row r="18" spans="1:51" x14ac:dyDescent="0.3">
      <c r="A18" s="377" t="s">
        <v>2984</v>
      </c>
      <c r="B18" s="181" t="s">
        <v>2966</v>
      </c>
      <c r="C18" s="183">
        <v>44.1</v>
      </c>
      <c r="D18" s="147">
        <v>0.79</v>
      </c>
      <c r="E18" s="301"/>
      <c r="F18" s="224" t="s">
        <v>3051</v>
      </c>
      <c r="AY18" s="308"/>
    </row>
    <row r="19" spans="1:51" x14ac:dyDescent="0.3">
      <c r="A19" s="377" t="s">
        <v>3581</v>
      </c>
      <c r="B19" s="181" t="s">
        <v>2966</v>
      </c>
      <c r="C19" s="183">
        <v>43.8</v>
      </c>
      <c r="D19" s="147">
        <v>0.8</v>
      </c>
      <c r="E19" s="301"/>
      <c r="F19" s="224" t="s">
        <v>3051</v>
      </c>
      <c r="AY19" s="308"/>
    </row>
    <row r="20" spans="1:51" x14ac:dyDescent="0.3">
      <c r="A20" s="377" t="s">
        <v>2985</v>
      </c>
      <c r="B20" s="181" t="s">
        <v>3579</v>
      </c>
      <c r="C20" s="183">
        <v>50.4</v>
      </c>
      <c r="D20" s="303"/>
      <c r="E20" s="185">
        <v>0.9</v>
      </c>
      <c r="F20" s="224" t="s">
        <v>3050</v>
      </c>
      <c r="AY20" s="308"/>
    </row>
    <row r="21" spans="1:51" x14ac:dyDescent="0.3">
      <c r="A21" s="377" t="s">
        <v>2986</v>
      </c>
      <c r="B21" s="181" t="s">
        <v>2961</v>
      </c>
      <c r="C21" s="183">
        <v>11.9</v>
      </c>
      <c r="D21" s="303"/>
      <c r="E21" s="301"/>
      <c r="F21" s="224" t="s">
        <v>3051</v>
      </c>
      <c r="AY21" s="308"/>
    </row>
    <row r="22" spans="1:51" x14ac:dyDescent="0.3">
      <c r="A22" s="377" t="s">
        <v>2987</v>
      </c>
      <c r="B22" s="181" t="s">
        <v>2966</v>
      </c>
      <c r="C22" s="183">
        <v>47.3</v>
      </c>
      <c r="D22" s="147">
        <v>0.54</v>
      </c>
      <c r="E22" s="301"/>
      <c r="F22" s="224" t="s">
        <v>3051</v>
      </c>
      <c r="AY22" s="308"/>
    </row>
    <row r="23" spans="1:51" x14ac:dyDescent="0.3">
      <c r="A23" s="377" t="s">
        <v>2988</v>
      </c>
      <c r="B23" s="181" t="s">
        <v>2966</v>
      </c>
      <c r="C23" s="183">
        <v>40.200000000000003</v>
      </c>
      <c r="D23" s="147">
        <v>1</v>
      </c>
      <c r="E23" s="301"/>
      <c r="F23" s="224" t="s">
        <v>3051</v>
      </c>
      <c r="AY23" s="308"/>
    </row>
    <row r="24" spans="1:51" x14ac:dyDescent="0.3">
      <c r="A24" s="377" t="s">
        <v>2989</v>
      </c>
      <c r="B24" s="181" t="s">
        <v>3579</v>
      </c>
      <c r="C24" s="217">
        <v>50</v>
      </c>
      <c r="D24" s="303"/>
      <c r="E24" s="185">
        <v>0.67</v>
      </c>
      <c r="F24" s="224" t="s">
        <v>3051</v>
      </c>
      <c r="AY24" s="309" t="s">
        <v>3592</v>
      </c>
    </row>
    <row r="25" spans="1:51" x14ac:dyDescent="0.3">
      <c r="A25" s="377" t="s">
        <v>2990</v>
      </c>
      <c r="B25" s="181" t="s">
        <v>2966</v>
      </c>
      <c r="C25" s="183">
        <v>44.3</v>
      </c>
      <c r="D25" s="147">
        <v>0.74</v>
      </c>
      <c r="E25" s="301"/>
      <c r="F25" s="224" t="s">
        <v>3051</v>
      </c>
      <c r="AY25" s="308"/>
    </row>
    <row r="26" spans="1:51" x14ac:dyDescent="0.3">
      <c r="A26" s="377" t="s">
        <v>2991</v>
      </c>
      <c r="B26" s="181" t="s">
        <v>2961</v>
      </c>
      <c r="C26" s="183">
        <v>11.6</v>
      </c>
      <c r="D26" s="303"/>
      <c r="E26" s="301"/>
      <c r="F26" s="224" t="s">
        <v>3050</v>
      </c>
      <c r="AY26" s="308"/>
    </row>
    <row r="27" spans="1:51" x14ac:dyDescent="0.3">
      <c r="A27" s="378" t="s">
        <v>2992</v>
      </c>
      <c r="B27" s="181" t="s">
        <v>2961</v>
      </c>
      <c r="C27" s="183">
        <v>10</v>
      </c>
      <c r="D27" s="303"/>
      <c r="E27" s="301"/>
      <c r="F27" s="224" t="s">
        <v>3051</v>
      </c>
      <c r="AY27" s="308"/>
    </row>
    <row r="28" spans="1:51" x14ac:dyDescent="0.3">
      <c r="A28" s="377" t="s">
        <v>2993</v>
      </c>
      <c r="B28" s="181" t="s">
        <v>2966</v>
      </c>
      <c r="C28" s="183">
        <v>44.5</v>
      </c>
      <c r="D28" s="147">
        <v>0.77</v>
      </c>
      <c r="E28" s="301"/>
      <c r="F28" s="224" t="s">
        <v>3051</v>
      </c>
      <c r="AY28" s="308"/>
    </row>
    <row r="29" spans="1:51" x14ac:dyDescent="0.3">
      <c r="A29" s="377" t="s">
        <v>2994</v>
      </c>
      <c r="B29" s="181" t="s">
        <v>3579</v>
      </c>
      <c r="C29" s="183">
        <v>48</v>
      </c>
      <c r="D29" s="303"/>
      <c r="E29" s="185">
        <v>0.7</v>
      </c>
      <c r="F29" s="224" t="s">
        <v>3051</v>
      </c>
      <c r="AY29" s="308"/>
    </row>
    <row r="30" spans="1:51" x14ac:dyDescent="0.3">
      <c r="A30" s="377" t="s">
        <v>3580</v>
      </c>
      <c r="B30" s="181" t="s">
        <v>2966</v>
      </c>
      <c r="C30" s="183">
        <v>44.2</v>
      </c>
      <c r="D30" s="147">
        <v>0.47</v>
      </c>
      <c r="E30" s="301"/>
      <c r="F30" s="224" t="s">
        <v>3051</v>
      </c>
      <c r="AY30" s="308"/>
    </row>
    <row r="31" spans="1:51" x14ac:dyDescent="0.3">
      <c r="A31" s="377" t="s">
        <v>2995</v>
      </c>
      <c r="B31" s="181" t="s">
        <v>2966</v>
      </c>
      <c r="C31" s="183">
        <v>8.9</v>
      </c>
      <c r="D31" s="217">
        <v>0.95</v>
      </c>
      <c r="E31" s="301"/>
      <c r="F31" s="224" t="s">
        <v>3051</v>
      </c>
      <c r="AY31" s="309" t="s">
        <v>3593</v>
      </c>
    </row>
    <row r="32" spans="1:51" x14ac:dyDescent="0.3">
      <c r="A32" s="377" t="s">
        <v>2996</v>
      </c>
      <c r="B32" s="181" t="s">
        <v>2966</v>
      </c>
      <c r="C32" s="183">
        <v>27.5</v>
      </c>
      <c r="D32" s="217">
        <v>1.1299999999999999</v>
      </c>
      <c r="E32" s="301"/>
      <c r="F32" s="224" t="s">
        <v>3051</v>
      </c>
      <c r="AY32" s="309" t="s">
        <v>3603</v>
      </c>
    </row>
    <row r="33" spans="1:51" x14ac:dyDescent="0.3">
      <c r="A33" s="377" t="s">
        <v>2997</v>
      </c>
      <c r="B33" s="181" t="s">
        <v>3579</v>
      </c>
      <c r="C33" s="183">
        <v>7.06</v>
      </c>
      <c r="D33" s="303"/>
      <c r="E33" s="219">
        <v>1.33</v>
      </c>
      <c r="F33" s="224" t="s">
        <v>3051</v>
      </c>
      <c r="AY33" s="309" t="s">
        <v>3604</v>
      </c>
    </row>
    <row r="34" spans="1:51" x14ac:dyDescent="0.3">
      <c r="A34" s="377" t="s">
        <v>2998</v>
      </c>
      <c r="B34" s="181" t="s">
        <v>2961</v>
      </c>
      <c r="C34" s="183">
        <v>40.200000000000003</v>
      </c>
      <c r="D34" s="303"/>
      <c r="E34" s="301"/>
      <c r="F34" s="224" t="s">
        <v>3051</v>
      </c>
      <c r="AY34" s="308"/>
    </row>
    <row r="35" spans="1:51" x14ac:dyDescent="0.3">
      <c r="A35" s="377" t="s">
        <v>2999</v>
      </c>
      <c r="B35" s="181" t="s">
        <v>2961</v>
      </c>
      <c r="C35" s="183">
        <v>20.7</v>
      </c>
      <c r="D35" s="303"/>
      <c r="E35" s="301"/>
      <c r="F35" s="224" t="s">
        <v>3051</v>
      </c>
      <c r="AY35" s="308"/>
    </row>
    <row r="36" spans="1:51" x14ac:dyDescent="0.3">
      <c r="A36" s="377" t="s">
        <v>3000</v>
      </c>
      <c r="B36" s="181" t="s">
        <v>2961</v>
      </c>
      <c r="C36" s="183">
        <v>9.76</v>
      </c>
      <c r="D36" s="303"/>
      <c r="E36" s="301"/>
      <c r="F36" s="224" t="s">
        <v>3051</v>
      </c>
      <c r="AY36" s="308"/>
    </row>
    <row r="37" spans="1:51" x14ac:dyDescent="0.3">
      <c r="A37" s="377" t="s">
        <v>3001</v>
      </c>
      <c r="B37" s="181" t="s">
        <v>2961</v>
      </c>
      <c r="C37" s="183">
        <v>32.5</v>
      </c>
      <c r="D37" s="303"/>
      <c r="E37" s="301"/>
      <c r="F37" s="224" t="s">
        <v>3051</v>
      </c>
      <c r="AY37" s="308"/>
    </row>
    <row r="38" spans="1:51" x14ac:dyDescent="0.3">
      <c r="A38" s="377" t="s">
        <v>3002</v>
      </c>
      <c r="B38" s="181" t="s">
        <v>3579</v>
      </c>
      <c r="C38" s="217">
        <v>46.32</v>
      </c>
      <c r="D38" s="303"/>
      <c r="E38" s="185">
        <v>1.9</v>
      </c>
      <c r="F38" s="224" t="s">
        <v>3051</v>
      </c>
      <c r="AY38" s="309" t="s">
        <v>3594</v>
      </c>
    </row>
    <row r="39" spans="1:51" x14ac:dyDescent="0.3">
      <c r="A39" s="377" t="s">
        <v>3003</v>
      </c>
      <c r="B39" s="181" t="s">
        <v>2966</v>
      </c>
      <c r="C39" s="183">
        <v>43</v>
      </c>
      <c r="D39" s="217">
        <v>0.82499999999999996</v>
      </c>
      <c r="E39" s="301"/>
      <c r="F39" s="224" t="s">
        <v>3051</v>
      </c>
      <c r="AY39" s="309" t="s">
        <v>3595</v>
      </c>
    </row>
    <row r="40" spans="1:51" x14ac:dyDescent="0.3">
      <c r="A40" s="377" t="s">
        <v>3004</v>
      </c>
      <c r="B40" s="181" t="s">
        <v>3579</v>
      </c>
      <c r="C40" s="183">
        <v>49.5</v>
      </c>
      <c r="D40" s="303"/>
      <c r="E40" s="219">
        <v>0.88</v>
      </c>
      <c r="F40" s="224" t="s">
        <v>3051</v>
      </c>
      <c r="AY40" s="309" t="s">
        <v>3596</v>
      </c>
    </row>
    <row r="41" spans="1:51" x14ac:dyDescent="0.3">
      <c r="A41" s="377" t="s">
        <v>3005</v>
      </c>
      <c r="B41" s="181" t="s">
        <v>2966</v>
      </c>
      <c r="C41" s="183">
        <v>40.4</v>
      </c>
      <c r="D41" s="147">
        <v>0.94</v>
      </c>
      <c r="E41" s="301"/>
      <c r="F41" s="224" t="s">
        <v>3051</v>
      </c>
      <c r="AY41" s="308"/>
    </row>
    <row r="42" spans="1:51" x14ac:dyDescent="0.3">
      <c r="A42" s="377" t="s">
        <v>3006</v>
      </c>
      <c r="B42" s="181" t="s">
        <v>2966</v>
      </c>
      <c r="C42" s="183">
        <v>38.1</v>
      </c>
      <c r="D42" s="147">
        <v>1</v>
      </c>
      <c r="E42" s="301"/>
      <c r="F42" s="224" t="s">
        <v>3051</v>
      </c>
      <c r="AY42" s="308"/>
    </row>
    <row r="43" spans="1:51" x14ac:dyDescent="0.3">
      <c r="A43" s="377" t="s">
        <v>3007</v>
      </c>
      <c r="B43" s="181" t="s">
        <v>3579</v>
      </c>
      <c r="C43" s="183">
        <v>50.4</v>
      </c>
      <c r="D43" s="303"/>
      <c r="E43" s="185">
        <v>0.67</v>
      </c>
      <c r="F43" s="224" t="s">
        <v>3050</v>
      </c>
      <c r="AY43" s="308"/>
    </row>
    <row r="44" spans="1:51" x14ac:dyDescent="0.3">
      <c r="A44" s="377" t="s">
        <v>3008</v>
      </c>
      <c r="B44" s="181" t="s">
        <v>2961</v>
      </c>
      <c r="C44" s="183">
        <v>18.899999999999999</v>
      </c>
      <c r="D44" s="303"/>
      <c r="E44" s="301"/>
      <c r="F44" s="224" t="s">
        <v>3051</v>
      </c>
      <c r="AY44" s="308"/>
    </row>
    <row r="45" spans="1:51" x14ac:dyDescent="0.3">
      <c r="A45" s="377" t="s">
        <v>3605</v>
      </c>
      <c r="B45" s="181" t="s">
        <v>2966</v>
      </c>
      <c r="C45" s="183">
        <v>11.8</v>
      </c>
      <c r="D45" s="217">
        <v>1.2</v>
      </c>
      <c r="E45" s="301"/>
      <c r="F45" s="224" t="s">
        <v>3050</v>
      </c>
      <c r="AY45" s="309" t="s">
        <v>3597</v>
      </c>
    </row>
    <row r="46" spans="1:51" x14ac:dyDescent="0.3">
      <c r="A46" s="377" t="s">
        <v>3009</v>
      </c>
      <c r="B46" s="181" t="s">
        <v>2966</v>
      </c>
      <c r="C46" s="217">
        <v>44.4</v>
      </c>
      <c r="D46" s="147">
        <v>0.87</v>
      </c>
      <c r="E46" s="301"/>
      <c r="F46" s="224" t="s">
        <v>3050</v>
      </c>
      <c r="AY46" s="309" t="s">
        <v>3598</v>
      </c>
    </row>
    <row r="47" spans="1:51" x14ac:dyDescent="0.3">
      <c r="A47" s="377" t="s">
        <v>3010</v>
      </c>
      <c r="B47" s="181" t="s">
        <v>2966</v>
      </c>
      <c r="C47" s="217">
        <v>37.799999999999997</v>
      </c>
      <c r="D47" s="147">
        <v>0.9</v>
      </c>
      <c r="E47" s="301"/>
      <c r="F47" s="224" t="s">
        <v>3051</v>
      </c>
      <c r="AY47" s="309" t="s">
        <v>3599</v>
      </c>
    </row>
    <row r="48" spans="1:51" x14ac:dyDescent="0.3">
      <c r="A48" s="377" t="s">
        <v>3011</v>
      </c>
      <c r="B48" s="181" t="s">
        <v>2966</v>
      </c>
      <c r="C48" s="183">
        <v>40.200000000000003</v>
      </c>
      <c r="D48" s="217">
        <v>0.8</v>
      </c>
      <c r="E48" s="301"/>
      <c r="F48" s="224" t="s">
        <v>3051</v>
      </c>
      <c r="AY48" s="309" t="s">
        <v>3600</v>
      </c>
    </row>
    <row r="49" spans="1:51" x14ac:dyDescent="0.3">
      <c r="A49" s="377" t="s">
        <v>3012</v>
      </c>
      <c r="B49" s="181" t="s">
        <v>3579</v>
      </c>
      <c r="C49" s="217">
        <v>35</v>
      </c>
      <c r="D49" s="303"/>
      <c r="E49" s="185">
        <v>0.9</v>
      </c>
      <c r="F49" s="224" t="s">
        <v>3050</v>
      </c>
      <c r="AY49" s="309" t="s">
        <v>3601</v>
      </c>
    </row>
    <row r="50" spans="1:51" x14ac:dyDescent="0.3">
      <c r="A50" s="377" t="s">
        <v>3013</v>
      </c>
      <c r="B50" s="181" t="s">
        <v>2966</v>
      </c>
      <c r="C50" s="183">
        <v>40.200000000000003</v>
      </c>
      <c r="D50" s="217">
        <v>0.75</v>
      </c>
      <c r="E50" s="301"/>
      <c r="F50" s="224" t="s">
        <v>3051</v>
      </c>
      <c r="AY50" s="309" t="s">
        <v>3602</v>
      </c>
    </row>
    <row r="51" spans="1:51" x14ac:dyDescent="0.3">
      <c r="A51" s="379" t="s">
        <v>3014</v>
      </c>
      <c r="B51" s="181" t="s">
        <v>2961</v>
      </c>
      <c r="C51" s="187">
        <v>15.6</v>
      </c>
      <c r="D51" s="305"/>
      <c r="E51" s="306"/>
      <c r="F51" s="224" t="s">
        <v>3050</v>
      </c>
      <c r="AY51" s="308"/>
    </row>
    <row r="52" spans="1:51" x14ac:dyDescent="0.3">
      <c r="A52" s="188" t="s">
        <v>3076</v>
      </c>
      <c r="B52" s="189"/>
      <c r="C52" s="189"/>
      <c r="D52" s="189"/>
      <c r="E52" s="220"/>
      <c r="F52" s="189"/>
      <c r="AY52" s="308"/>
    </row>
    <row r="53" spans="1:51" x14ac:dyDescent="0.3">
      <c r="A53" s="188" t="s">
        <v>3077</v>
      </c>
      <c r="B53" s="189"/>
      <c r="C53" s="189"/>
      <c r="D53" s="189"/>
      <c r="E53" s="220"/>
      <c r="F53" s="189"/>
      <c r="AY53" s="308"/>
    </row>
    <row r="54" spans="1:51" x14ac:dyDescent="0.3">
      <c r="A54" s="188" t="s">
        <v>3078</v>
      </c>
      <c r="B54" s="189"/>
      <c r="C54" s="189"/>
      <c r="D54" s="189"/>
      <c r="E54" s="220"/>
      <c r="F54" s="189"/>
      <c r="AY54" s="308"/>
    </row>
    <row r="55" spans="1:51" x14ac:dyDescent="0.3">
      <c r="A55" s="188" t="s">
        <v>3079</v>
      </c>
      <c r="B55" s="189"/>
      <c r="C55" s="189"/>
      <c r="D55" s="189"/>
      <c r="E55" s="220"/>
      <c r="F55" s="189"/>
      <c r="AY55" s="308"/>
    </row>
    <row r="56" spans="1:51" x14ac:dyDescent="0.3">
      <c r="A56" s="188" t="s">
        <v>3080</v>
      </c>
      <c r="B56" s="189"/>
      <c r="C56" s="189"/>
      <c r="D56" s="189"/>
      <c r="E56" s="220"/>
      <c r="F56" s="189"/>
      <c r="AY56" s="308"/>
    </row>
    <row r="57" spans="1:51" x14ac:dyDescent="0.3">
      <c r="A57" s="188" t="s">
        <v>3081</v>
      </c>
      <c r="B57" s="189"/>
      <c r="C57" s="189"/>
      <c r="D57" s="189"/>
      <c r="E57" s="220"/>
      <c r="F57" s="189"/>
      <c r="AY57" s="308"/>
    </row>
    <row r="58" spans="1:51" x14ac:dyDescent="0.3">
      <c r="A58" s="188" t="s">
        <v>3082</v>
      </c>
      <c r="B58" s="189"/>
      <c r="C58" s="189"/>
      <c r="D58" s="189"/>
      <c r="E58" s="220"/>
      <c r="F58" s="189"/>
      <c r="AY58" s="308"/>
    </row>
    <row r="59" spans="1:51" x14ac:dyDescent="0.3">
      <c r="A59" s="188" t="s">
        <v>3083</v>
      </c>
      <c r="B59" s="189"/>
      <c r="C59" s="189"/>
      <c r="D59" s="189"/>
      <c r="E59" s="220"/>
      <c r="F59" s="189"/>
      <c r="AY59" s="308"/>
    </row>
    <row r="60" spans="1:51" x14ac:dyDescent="0.3">
      <c r="A60" s="188" t="s">
        <v>3084</v>
      </c>
      <c r="B60" s="189"/>
      <c r="C60" s="189"/>
      <c r="D60" s="189"/>
      <c r="E60" s="220"/>
      <c r="F60" s="189"/>
      <c r="AY60" s="308"/>
    </row>
    <row r="61" spans="1:51" ht="15" thickBot="1" x14ac:dyDescent="0.35">
      <c r="A61" s="225" t="s">
        <v>3085</v>
      </c>
      <c r="B61" s="189"/>
      <c r="C61" s="226"/>
      <c r="D61" s="226"/>
      <c r="E61" s="227"/>
      <c r="F61" s="189"/>
      <c r="AY61" s="308"/>
    </row>
    <row r="62" spans="1:51" x14ac:dyDescent="0.3">
      <c r="A62" s="1186" t="s">
        <v>3583</v>
      </c>
      <c r="B62" s="1187"/>
      <c r="C62" s="1187"/>
      <c r="D62" s="1187"/>
      <c r="E62" s="1187"/>
      <c r="F62" s="1187"/>
      <c r="G62" s="1187"/>
      <c r="H62" s="1187"/>
      <c r="I62" s="1187"/>
      <c r="J62" s="1187"/>
      <c r="K62" s="1187"/>
      <c r="L62" s="1187"/>
      <c r="M62" s="1187"/>
      <c r="N62" s="1187"/>
      <c r="O62" s="1187"/>
      <c r="P62" s="1187"/>
      <c r="Q62" s="1187"/>
      <c r="R62" s="1187"/>
      <c r="S62" s="1187"/>
      <c r="T62" s="1187"/>
      <c r="U62" s="1187"/>
      <c r="V62" s="1187"/>
      <c r="W62" s="1187"/>
      <c r="X62" s="1187"/>
      <c r="Y62" s="1187"/>
      <c r="Z62" s="1187"/>
      <c r="AA62" s="1187"/>
      <c r="AB62" s="1187"/>
      <c r="AC62" s="1187"/>
      <c r="AD62" s="1187"/>
      <c r="AE62" s="1187"/>
      <c r="AF62" s="1187"/>
      <c r="AG62" s="1187"/>
      <c r="AH62" s="1187"/>
      <c r="AI62" s="1187"/>
      <c r="AJ62" s="1187"/>
      <c r="AK62" s="1187"/>
      <c r="AL62" s="1187"/>
      <c r="AM62" s="1187"/>
      <c r="AN62" s="1187"/>
      <c r="AO62" s="1187"/>
      <c r="AP62" s="1187"/>
      <c r="AQ62" s="1187"/>
      <c r="AR62" s="1187"/>
      <c r="AS62" s="1187"/>
      <c r="AT62" s="1187"/>
      <c r="AU62" s="1187"/>
      <c r="AV62" s="1187"/>
      <c r="AW62" s="1187"/>
      <c r="AX62" s="1187"/>
      <c r="AY62" s="1188"/>
    </row>
    <row r="63" spans="1:51" ht="43.95" customHeight="1" x14ac:dyDescent="0.3">
      <c r="A63" s="1189" t="s">
        <v>3616</v>
      </c>
      <c r="B63" s="1190"/>
      <c r="C63" s="1190"/>
      <c r="D63" s="1190"/>
      <c r="E63" s="1190"/>
      <c r="F63" s="1190"/>
      <c r="G63" s="1190"/>
      <c r="H63" s="1190"/>
      <c r="I63" s="1190"/>
      <c r="J63" s="1190"/>
      <c r="K63" s="1190"/>
      <c r="L63" s="1190"/>
      <c r="M63" s="1190"/>
      <c r="N63" s="1190"/>
      <c r="O63" s="1190"/>
      <c r="P63" s="1190"/>
      <c r="Q63" s="1190"/>
      <c r="R63" s="1190"/>
      <c r="S63" s="1190"/>
      <c r="T63" s="1190"/>
      <c r="U63" s="1190"/>
      <c r="V63" s="1190"/>
      <c r="W63" s="1190"/>
      <c r="X63" s="1190"/>
      <c r="Y63" s="1190"/>
      <c r="Z63" s="1190"/>
      <c r="AA63" s="1190"/>
      <c r="AB63" s="1190"/>
      <c r="AC63" s="1190"/>
      <c r="AD63" s="1190"/>
      <c r="AE63" s="1190"/>
      <c r="AF63" s="1190"/>
      <c r="AG63" s="1190"/>
      <c r="AH63" s="1190"/>
      <c r="AI63" s="1190"/>
      <c r="AJ63" s="1190"/>
      <c r="AK63" s="1190"/>
      <c r="AL63" s="1190"/>
      <c r="AM63" s="1190"/>
      <c r="AN63" s="1190"/>
      <c r="AO63" s="1190"/>
      <c r="AP63" s="1190"/>
      <c r="AQ63" s="1190"/>
      <c r="AR63" s="1190"/>
      <c r="AS63" s="1190"/>
      <c r="AT63" s="1190"/>
      <c r="AU63" s="1190"/>
      <c r="AV63" s="1190"/>
      <c r="AW63" s="1190"/>
      <c r="AX63" s="1190"/>
      <c r="AY63" s="1191"/>
    </row>
    <row r="64" spans="1:51" x14ac:dyDescent="0.3">
      <c r="A64" s="1192" t="s">
        <v>3617</v>
      </c>
      <c r="B64" s="1193"/>
      <c r="C64" s="1193"/>
      <c r="D64" s="1193"/>
      <c r="E64" s="1193"/>
      <c r="F64" s="1193"/>
      <c r="G64" s="1193"/>
      <c r="H64" s="1193"/>
      <c r="I64" s="1193"/>
      <c r="J64" s="1193"/>
      <c r="K64" s="1193"/>
      <c r="L64" s="1193"/>
      <c r="M64" s="1193"/>
      <c r="N64" s="1193"/>
      <c r="O64" s="1193"/>
      <c r="P64" s="1193"/>
      <c r="Q64" s="1193"/>
      <c r="R64" s="1193"/>
      <c r="S64" s="1193"/>
      <c r="T64" s="1193"/>
      <c r="U64" s="1193"/>
      <c r="V64" s="1193"/>
      <c r="W64" s="1193"/>
      <c r="X64" s="1193"/>
      <c r="Y64" s="1193"/>
      <c r="Z64" s="1193"/>
      <c r="AA64" s="1193"/>
      <c r="AB64" s="1193"/>
      <c r="AC64" s="1193"/>
      <c r="AD64" s="1193"/>
      <c r="AE64" s="1193"/>
      <c r="AF64" s="1193"/>
      <c r="AG64" s="1193"/>
      <c r="AH64" s="1193"/>
      <c r="AI64" s="1193"/>
      <c r="AJ64" s="1193"/>
      <c r="AK64" s="1193"/>
      <c r="AL64" s="1193"/>
      <c r="AM64" s="1193"/>
      <c r="AN64" s="1193"/>
      <c r="AO64" s="1193"/>
      <c r="AP64" s="1193"/>
      <c r="AQ64" s="1193"/>
      <c r="AR64" s="1193"/>
      <c r="AS64" s="1193"/>
      <c r="AT64" s="1193"/>
      <c r="AU64" s="1193"/>
      <c r="AV64" s="1193"/>
      <c r="AW64" s="1193"/>
      <c r="AX64" s="1193"/>
      <c r="AY64" s="1194"/>
    </row>
    <row r="65" spans="1:51" x14ac:dyDescent="0.3">
      <c r="A65" s="1183" t="s">
        <v>3584</v>
      </c>
      <c r="B65" s="1184"/>
      <c r="C65" s="1184"/>
      <c r="D65" s="1184"/>
      <c r="E65" s="1184"/>
      <c r="F65" s="1184"/>
      <c r="G65" s="1184"/>
      <c r="H65" s="1184"/>
      <c r="I65" s="1184"/>
      <c r="J65" s="1184"/>
      <c r="K65" s="1184"/>
      <c r="L65" s="1184"/>
      <c r="M65" s="1184"/>
      <c r="N65" s="1184"/>
      <c r="O65" s="1184"/>
      <c r="P65" s="1184"/>
      <c r="Q65" s="1184"/>
      <c r="R65" s="1184"/>
      <c r="S65" s="1184"/>
      <c r="T65" s="1184"/>
      <c r="U65" s="1184"/>
      <c r="V65" s="1184"/>
      <c r="W65" s="1184"/>
      <c r="X65" s="1184"/>
      <c r="Y65" s="1184"/>
      <c r="Z65" s="1184"/>
      <c r="AA65" s="1184"/>
      <c r="AB65" s="1184"/>
      <c r="AC65" s="1184"/>
      <c r="AD65" s="1184"/>
      <c r="AE65" s="1184"/>
      <c r="AF65" s="1184"/>
      <c r="AG65" s="1184"/>
      <c r="AH65" s="1184"/>
      <c r="AI65" s="1184"/>
      <c r="AJ65" s="1184"/>
      <c r="AK65" s="1184"/>
      <c r="AL65" s="1184"/>
      <c r="AM65" s="1184"/>
      <c r="AN65" s="1184"/>
      <c r="AO65" s="1184"/>
      <c r="AP65" s="1184"/>
      <c r="AQ65" s="1184"/>
      <c r="AR65" s="1184"/>
      <c r="AS65" s="1184"/>
      <c r="AT65" s="1184"/>
      <c r="AU65" s="1184"/>
      <c r="AV65" s="1184"/>
      <c r="AW65" s="1184"/>
      <c r="AX65" s="1184"/>
      <c r="AY65" s="1185"/>
    </row>
    <row r="66" spans="1:51" x14ac:dyDescent="0.3">
      <c r="A66" s="1174" t="s">
        <v>3618</v>
      </c>
      <c r="B66" s="1175"/>
      <c r="C66" s="1175"/>
      <c r="D66" s="1175"/>
      <c r="E66" s="1175"/>
      <c r="F66" s="1175"/>
      <c r="G66" s="1175"/>
      <c r="H66" s="1175"/>
      <c r="I66" s="1175"/>
      <c r="J66" s="1175"/>
      <c r="K66" s="1175"/>
      <c r="L66" s="1175"/>
      <c r="M66" s="1175"/>
      <c r="N66" s="1175"/>
      <c r="O66" s="1175"/>
      <c r="P66" s="1175"/>
      <c r="Q66" s="1175"/>
      <c r="R66" s="1175"/>
      <c r="S66" s="1175"/>
      <c r="T66" s="1175"/>
      <c r="U66" s="1175"/>
      <c r="V66" s="1175"/>
      <c r="W66" s="1175"/>
      <c r="X66" s="1175"/>
      <c r="Y66" s="1175"/>
      <c r="Z66" s="1175"/>
      <c r="AA66" s="1175"/>
      <c r="AB66" s="1175"/>
      <c r="AC66" s="1175"/>
      <c r="AD66" s="1175"/>
      <c r="AE66" s="1175"/>
      <c r="AF66" s="1175"/>
      <c r="AG66" s="1175"/>
      <c r="AH66" s="1175"/>
      <c r="AI66" s="1175"/>
      <c r="AJ66" s="1175"/>
      <c r="AK66" s="1175"/>
      <c r="AL66" s="1175"/>
      <c r="AM66" s="1175"/>
      <c r="AN66" s="1175"/>
      <c r="AO66" s="1175"/>
      <c r="AP66" s="1175"/>
      <c r="AQ66" s="1175"/>
      <c r="AR66" s="1175"/>
      <c r="AS66" s="1175"/>
      <c r="AT66" s="1175"/>
      <c r="AU66" s="1175"/>
      <c r="AV66" s="1175"/>
      <c r="AW66" s="1175"/>
      <c r="AX66" s="1175"/>
      <c r="AY66" s="1176"/>
    </row>
    <row r="67" spans="1:51" x14ac:dyDescent="0.3">
      <c r="A67" s="1171" t="s">
        <v>3619</v>
      </c>
      <c r="B67" s="1172"/>
      <c r="C67" s="1172"/>
      <c r="D67" s="1172"/>
      <c r="E67" s="1172"/>
      <c r="F67" s="1172"/>
      <c r="G67" s="1172"/>
      <c r="H67" s="1172"/>
      <c r="I67" s="1172"/>
      <c r="J67" s="1172"/>
      <c r="K67" s="1172"/>
      <c r="L67" s="1172"/>
      <c r="M67" s="1172"/>
      <c r="N67" s="1172"/>
      <c r="O67" s="1172"/>
      <c r="P67" s="1172"/>
      <c r="Q67" s="1172"/>
      <c r="R67" s="1172"/>
      <c r="S67" s="1172"/>
      <c r="T67" s="1172"/>
      <c r="U67" s="1172"/>
      <c r="V67" s="1172"/>
      <c r="W67" s="1172"/>
      <c r="X67" s="1172"/>
      <c r="Y67" s="1172"/>
      <c r="Z67" s="1172"/>
      <c r="AA67" s="1172"/>
      <c r="AB67" s="1172"/>
      <c r="AC67" s="1172"/>
      <c r="AD67" s="1172"/>
      <c r="AE67" s="1172"/>
      <c r="AF67" s="1172"/>
      <c r="AG67" s="1172"/>
      <c r="AH67" s="1172"/>
      <c r="AI67" s="1172"/>
      <c r="AJ67" s="1172"/>
      <c r="AK67" s="1172"/>
      <c r="AL67" s="1172"/>
      <c r="AM67" s="1172"/>
      <c r="AN67" s="1172"/>
      <c r="AO67" s="1172"/>
      <c r="AP67" s="1172"/>
      <c r="AQ67" s="1172"/>
      <c r="AR67" s="1172"/>
      <c r="AS67" s="1172"/>
      <c r="AT67" s="1172"/>
      <c r="AU67" s="1172"/>
      <c r="AV67" s="1172"/>
      <c r="AW67" s="1172"/>
      <c r="AX67" s="1172"/>
      <c r="AY67" s="1173"/>
    </row>
    <row r="68" spans="1:51" x14ac:dyDescent="0.3">
      <c r="A68" s="1174" t="s">
        <v>3620</v>
      </c>
      <c r="B68" s="1175"/>
      <c r="C68" s="1175"/>
      <c r="D68" s="1175"/>
      <c r="E68" s="1175"/>
      <c r="F68" s="1175"/>
      <c r="G68" s="1175"/>
      <c r="H68" s="1175"/>
      <c r="I68" s="1175"/>
      <c r="J68" s="1175"/>
      <c r="K68" s="1175"/>
      <c r="L68" s="1175"/>
      <c r="M68" s="1175"/>
      <c r="N68" s="1175"/>
      <c r="O68" s="1175"/>
      <c r="P68" s="1175"/>
      <c r="Q68" s="1175"/>
      <c r="R68" s="1175"/>
      <c r="S68" s="1175"/>
      <c r="T68" s="1175"/>
      <c r="U68" s="1175"/>
      <c r="V68" s="1175"/>
      <c r="W68" s="1175"/>
      <c r="X68" s="1175"/>
      <c r="Y68" s="1175"/>
      <c r="Z68" s="1175"/>
      <c r="AA68" s="1175"/>
      <c r="AB68" s="1175"/>
      <c r="AC68" s="1175"/>
      <c r="AD68" s="1175"/>
      <c r="AE68" s="1175"/>
      <c r="AF68" s="1175"/>
      <c r="AG68" s="1175"/>
      <c r="AH68" s="1175"/>
      <c r="AI68" s="1175"/>
      <c r="AJ68" s="1175"/>
      <c r="AK68" s="1175"/>
      <c r="AL68" s="1175"/>
      <c r="AM68" s="1175"/>
      <c r="AN68" s="1175"/>
      <c r="AO68" s="1175"/>
      <c r="AP68" s="1175"/>
      <c r="AQ68" s="1175"/>
      <c r="AR68" s="1175"/>
      <c r="AS68" s="1175"/>
      <c r="AT68" s="1175"/>
      <c r="AU68" s="1175"/>
      <c r="AV68" s="1175"/>
      <c r="AW68" s="1175"/>
      <c r="AX68" s="1175"/>
      <c r="AY68" s="1176"/>
    </row>
    <row r="69" spans="1:51" x14ac:dyDescent="0.3">
      <c r="A69" s="1171" t="s">
        <v>3621</v>
      </c>
      <c r="B69" s="1172"/>
      <c r="C69" s="1172"/>
      <c r="D69" s="1172"/>
      <c r="E69" s="1172"/>
      <c r="F69" s="1172"/>
      <c r="G69" s="1172"/>
      <c r="H69" s="1172"/>
      <c r="I69" s="1172"/>
      <c r="J69" s="1172"/>
      <c r="K69" s="1172"/>
      <c r="L69" s="1172"/>
      <c r="M69" s="1172"/>
      <c r="N69" s="1172"/>
      <c r="O69" s="1172"/>
      <c r="P69" s="1172"/>
      <c r="Q69" s="1172"/>
      <c r="R69" s="1172"/>
      <c r="S69" s="1172"/>
      <c r="T69" s="1172"/>
      <c r="U69" s="1172"/>
      <c r="V69" s="1172"/>
      <c r="W69" s="1172"/>
      <c r="X69" s="1172"/>
      <c r="Y69" s="1172"/>
      <c r="Z69" s="1172"/>
      <c r="AA69" s="1172"/>
      <c r="AB69" s="1172"/>
      <c r="AC69" s="1172"/>
      <c r="AD69" s="1172"/>
      <c r="AE69" s="1172"/>
      <c r="AF69" s="1172"/>
      <c r="AG69" s="1172"/>
      <c r="AH69" s="1172"/>
      <c r="AI69" s="1172"/>
      <c r="AJ69" s="1172"/>
      <c r="AK69" s="1172"/>
      <c r="AL69" s="1172"/>
      <c r="AM69" s="1172"/>
      <c r="AN69" s="1172"/>
      <c r="AO69" s="1172"/>
      <c r="AP69" s="1172"/>
      <c r="AQ69" s="1172"/>
      <c r="AR69" s="1172"/>
      <c r="AS69" s="1172"/>
      <c r="AT69" s="1172"/>
      <c r="AU69" s="1172"/>
      <c r="AV69" s="1172"/>
      <c r="AW69" s="1172"/>
      <c r="AX69" s="1172"/>
      <c r="AY69" s="1173"/>
    </row>
    <row r="70" spans="1:51" x14ac:dyDescent="0.3">
      <c r="A70" s="1174" t="s">
        <v>3622</v>
      </c>
      <c r="B70" s="1175"/>
      <c r="C70" s="1175"/>
      <c r="D70" s="1175"/>
      <c r="E70" s="1175"/>
      <c r="F70" s="1175"/>
      <c r="G70" s="1175"/>
      <c r="H70" s="1175"/>
      <c r="I70" s="1175"/>
      <c r="J70" s="1175"/>
      <c r="K70" s="1175"/>
      <c r="L70" s="1175"/>
      <c r="M70" s="1175"/>
      <c r="N70" s="1175"/>
      <c r="O70" s="1175"/>
      <c r="P70" s="1175"/>
      <c r="Q70" s="1175"/>
      <c r="R70" s="1175"/>
      <c r="S70" s="1175"/>
      <c r="T70" s="1175"/>
      <c r="U70" s="1175"/>
      <c r="V70" s="1175"/>
      <c r="W70" s="1175"/>
      <c r="X70" s="1175"/>
      <c r="Y70" s="1175"/>
      <c r="Z70" s="1175"/>
      <c r="AA70" s="1175"/>
      <c r="AB70" s="1175"/>
      <c r="AC70" s="1175"/>
      <c r="AD70" s="1175"/>
      <c r="AE70" s="1175"/>
      <c r="AF70" s="1175"/>
      <c r="AG70" s="1175"/>
      <c r="AH70" s="1175"/>
      <c r="AI70" s="1175"/>
      <c r="AJ70" s="1175"/>
      <c r="AK70" s="1175"/>
      <c r="AL70" s="1175"/>
      <c r="AM70" s="1175"/>
      <c r="AN70" s="1175"/>
      <c r="AO70" s="1175"/>
      <c r="AP70" s="1175"/>
      <c r="AQ70" s="1175"/>
      <c r="AR70" s="1175"/>
      <c r="AS70" s="1175"/>
      <c r="AT70" s="1175"/>
      <c r="AU70" s="1175"/>
      <c r="AV70" s="1175"/>
      <c r="AW70" s="1175"/>
      <c r="AX70" s="1175"/>
      <c r="AY70" s="1176"/>
    </row>
    <row r="71" spans="1:51" x14ac:dyDescent="0.3">
      <c r="A71" s="1171" t="s">
        <v>3623</v>
      </c>
      <c r="B71" s="1172"/>
      <c r="C71" s="1172"/>
      <c r="D71" s="1172"/>
      <c r="E71" s="1172"/>
      <c r="F71" s="1172"/>
      <c r="G71" s="1172"/>
      <c r="H71" s="1172"/>
      <c r="I71" s="1172"/>
      <c r="J71" s="1172"/>
      <c r="K71" s="1172"/>
      <c r="L71" s="1172"/>
      <c r="M71" s="1172"/>
      <c r="N71" s="1172"/>
      <c r="O71" s="1172"/>
      <c r="P71" s="1172"/>
      <c r="Q71" s="1172"/>
      <c r="R71" s="1172"/>
      <c r="S71" s="1172"/>
      <c r="T71" s="1172"/>
      <c r="U71" s="1172"/>
      <c r="V71" s="1172"/>
      <c r="W71" s="1172"/>
      <c r="X71" s="1172"/>
      <c r="Y71" s="1172"/>
      <c r="Z71" s="1172"/>
      <c r="AA71" s="1172"/>
      <c r="AB71" s="1172"/>
      <c r="AC71" s="1172"/>
      <c r="AD71" s="1172"/>
      <c r="AE71" s="1172"/>
      <c r="AF71" s="1172"/>
      <c r="AG71" s="1172"/>
      <c r="AH71" s="1172"/>
      <c r="AI71" s="1172"/>
      <c r="AJ71" s="1172"/>
      <c r="AK71" s="1172"/>
      <c r="AL71" s="1172"/>
      <c r="AM71" s="1172"/>
      <c r="AN71" s="1172"/>
      <c r="AO71" s="1172"/>
      <c r="AP71" s="1172"/>
      <c r="AQ71" s="1172"/>
      <c r="AR71" s="1172"/>
      <c r="AS71" s="1172"/>
      <c r="AT71" s="1172"/>
      <c r="AU71" s="1172"/>
      <c r="AV71" s="1172"/>
      <c r="AW71" s="1172"/>
      <c r="AX71" s="1172"/>
      <c r="AY71" s="1173"/>
    </row>
    <row r="72" spans="1:51" x14ac:dyDescent="0.3">
      <c r="A72" s="1174" t="s">
        <v>3624</v>
      </c>
      <c r="B72" s="1175"/>
      <c r="C72" s="1175"/>
      <c r="D72" s="1175"/>
      <c r="E72" s="1175"/>
      <c r="F72" s="1175"/>
      <c r="G72" s="1175"/>
      <c r="H72" s="1175"/>
      <c r="I72" s="1175"/>
      <c r="J72" s="1175"/>
      <c r="K72" s="1175"/>
      <c r="L72" s="1175"/>
      <c r="M72" s="1175"/>
      <c r="N72" s="1175"/>
      <c r="O72" s="1175"/>
      <c r="P72" s="1175"/>
      <c r="Q72" s="1175"/>
      <c r="R72" s="1175"/>
      <c r="S72" s="1175"/>
      <c r="T72" s="1175"/>
      <c r="U72" s="1175"/>
      <c r="V72" s="1175"/>
      <c r="W72" s="1175"/>
      <c r="X72" s="1175"/>
      <c r="Y72" s="1175"/>
      <c r="Z72" s="1175"/>
      <c r="AA72" s="1175"/>
      <c r="AB72" s="1175"/>
      <c r="AC72" s="1175"/>
      <c r="AD72" s="1175"/>
      <c r="AE72" s="1175"/>
      <c r="AF72" s="1175"/>
      <c r="AG72" s="1175"/>
      <c r="AH72" s="1175"/>
      <c r="AI72" s="1175"/>
      <c r="AJ72" s="1175"/>
      <c r="AK72" s="1175"/>
      <c r="AL72" s="1175"/>
      <c r="AM72" s="1175"/>
      <c r="AN72" s="1175"/>
      <c r="AO72" s="1175"/>
      <c r="AP72" s="1175"/>
      <c r="AQ72" s="1175"/>
      <c r="AR72" s="1175"/>
      <c r="AS72" s="1175"/>
      <c r="AT72" s="1175"/>
      <c r="AU72" s="1175"/>
      <c r="AV72" s="1175"/>
      <c r="AW72" s="1175"/>
      <c r="AX72" s="1175"/>
      <c r="AY72" s="1176"/>
    </row>
    <row r="73" spans="1:51" x14ac:dyDescent="0.3">
      <c r="A73" s="1171" t="s">
        <v>3625</v>
      </c>
      <c r="B73" s="1172"/>
      <c r="C73" s="1172"/>
      <c r="D73" s="1172"/>
      <c r="E73" s="1172"/>
      <c r="F73" s="1172"/>
      <c r="G73" s="1172"/>
      <c r="H73" s="1172"/>
      <c r="I73" s="1172"/>
      <c r="J73" s="1172"/>
      <c r="K73" s="1172"/>
      <c r="L73" s="1172"/>
      <c r="M73" s="1172"/>
      <c r="N73" s="1172"/>
      <c r="O73" s="1172"/>
      <c r="P73" s="1172"/>
      <c r="Q73" s="1172"/>
      <c r="R73" s="1172"/>
      <c r="S73" s="1172"/>
      <c r="T73" s="1172"/>
      <c r="U73" s="1172"/>
      <c r="V73" s="1172"/>
      <c r="W73" s="1172"/>
      <c r="X73" s="1172"/>
      <c r="Y73" s="1172"/>
      <c r="Z73" s="1172"/>
      <c r="AA73" s="1172"/>
      <c r="AB73" s="1172"/>
      <c r="AC73" s="1172"/>
      <c r="AD73" s="1172"/>
      <c r="AE73" s="1172"/>
      <c r="AF73" s="1172"/>
      <c r="AG73" s="1172"/>
      <c r="AH73" s="1172"/>
      <c r="AI73" s="1172"/>
      <c r="AJ73" s="1172"/>
      <c r="AK73" s="1172"/>
      <c r="AL73" s="1172"/>
      <c r="AM73" s="1172"/>
      <c r="AN73" s="1172"/>
      <c r="AO73" s="1172"/>
      <c r="AP73" s="1172"/>
      <c r="AQ73" s="1172"/>
      <c r="AR73" s="1172"/>
      <c r="AS73" s="1172"/>
      <c r="AT73" s="1172"/>
      <c r="AU73" s="1172"/>
      <c r="AV73" s="1172"/>
      <c r="AW73" s="1172"/>
      <c r="AX73" s="1172"/>
      <c r="AY73" s="1173"/>
    </row>
    <row r="74" spans="1:51" x14ac:dyDescent="0.3">
      <c r="A74" s="1174" t="s">
        <v>3626</v>
      </c>
      <c r="B74" s="1175"/>
      <c r="C74" s="1175"/>
      <c r="D74" s="1175"/>
      <c r="E74" s="1175"/>
      <c r="F74" s="1175"/>
      <c r="G74" s="1175"/>
      <c r="H74" s="1175"/>
      <c r="I74" s="1175"/>
      <c r="J74" s="1175"/>
      <c r="K74" s="1175"/>
      <c r="L74" s="1175"/>
      <c r="M74" s="1175"/>
      <c r="N74" s="1175"/>
      <c r="O74" s="1175"/>
      <c r="P74" s="1175"/>
      <c r="Q74" s="1175"/>
      <c r="R74" s="1175"/>
      <c r="S74" s="1175"/>
      <c r="T74" s="1175"/>
      <c r="U74" s="1175"/>
      <c r="V74" s="1175"/>
      <c r="W74" s="1175"/>
      <c r="X74" s="1175"/>
      <c r="Y74" s="1175"/>
      <c r="Z74" s="1175"/>
      <c r="AA74" s="1175"/>
      <c r="AB74" s="1175"/>
      <c r="AC74" s="1175"/>
      <c r="AD74" s="1175"/>
      <c r="AE74" s="1175"/>
      <c r="AF74" s="1175"/>
      <c r="AG74" s="1175"/>
      <c r="AH74" s="1175"/>
      <c r="AI74" s="1175"/>
      <c r="AJ74" s="1175"/>
      <c r="AK74" s="1175"/>
      <c r="AL74" s="1175"/>
      <c r="AM74" s="1175"/>
      <c r="AN74" s="1175"/>
      <c r="AO74" s="1175"/>
      <c r="AP74" s="1175"/>
      <c r="AQ74" s="1175"/>
      <c r="AR74" s="1175"/>
      <c r="AS74" s="1175"/>
      <c r="AT74" s="1175"/>
      <c r="AU74" s="1175"/>
      <c r="AV74" s="1175"/>
      <c r="AW74" s="1175"/>
      <c r="AX74" s="1175"/>
      <c r="AY74" s="1176"/>
    </row>
    <row r="75" spans="1:51" x14ac:dyDescent="0.3">
      <c r="A75" s="1171" t="s">
        <v>3627</v>
      </c>
      <c r="B75" s="1172"/>
      <c r="C75" s="1172"/>
      <c r="D75" s="1172"/>
      <c r="E75" s="1172"/>
      <c r="F75" s="1172"/>
      <c r="G75" s="1172"/>
      <c r="H75" s="1172"/>
      <c r="I75" s="1172"/>
      <c r="J75" s="1172"/>
      <c r="K75" s="1172"/>
      <c r="L75" s="1172"/>
      <c r="M75" s="1172"/>
      <c r="N75" s="1172"/>
      <c r="O75" s="1172"/>
      <c r="P75" s="1172"/>
      <c r="Q75" s="1172"/>
      <c r="R75" s="1172"/>
      <c r="S75" s="1172"/>
      <c r="T75" s="1172"/>
      <c r="U75" s="1172"/>
      <c r="V75" s="1172"/>
      <c r="W75" s="1172"/>
      <c r="X75" s="1172"/>
      <c r="Y75" s="1172"/>
      <c r="Z75" s="1172"/>
      <c r="AA75" s="1172"/>
      <c r="AB75" s="1172"/>
      <c r="AC75" s="1172"/>
      <c r="AD75" s="1172"/>
      <c r="AE75" s="1172"/>
      <c r="AF75" s="1172"/>
      <c r="AG75" s="1172"/>
      <c r="AH75" s="1172"/>
      <c r="AI75" s="1172"/>
      <c r="AJ75" s="1172"/>
      <c r="AK75" s="1172"/>
      <c r="AL75" s="1172"/>
      <c r="AM75" s="1172"/>
      <c r="AN75" s="1172"/>
      <c r="AO75" s="1172"/>
      <c r="AP75" s="1172"/>
      <c r="AQ75" s="1172"/>
      <c r="AR75" s="1172"/>
      <c r="AS75" s="1172"/>
      <c r="AT75" s="1172"/>
      <c r="AU75" s="1172"/>
      <c r="AV75" s="1172"/>
      <c r="AW75" s="1172"/>
      <c r="AX75" s="1172"/>
      <c r="AY75" s="1173"/>
    </row>
    <row r="76" spans="1:51" x14ac:dyDescent="0.3">
      <c r="A76" s="1168" t="s">
        <v>3628</v>
      </c>
      <c r="B76" s="1169"/>
      <c r="C76" s="1169"/>
      <c r="D76" s="1169"/>
      <c r="E76" s="1169"/>
      <c r="F76" s="1169"/>
      <c r="G76" s="1169"/>
      <c r="H76" s="1169"/>
      <c r="I76" s="1169"/>
      <c r="J76" s="1169"/>
      <c r="K76" s="1169"/>
      <c r="L76" s="1169"/>
      <c r="M76" s="1169"/>
      <c r="N76" s="1169"/>
      <c r="O76" s="1169"/>
      <c r="P76" s="1169"/>
      <c r="Q76" s="1169"/>
      <c r="R76" s="1169"/>
      <c r="S76" s="1169"/>
      <c r="T76" s="1169"/>
      <c r="U76" s="1169"/>
      <c r="V76" s="1169"/>
      <c r="W76" s="1169"/>
      <c r="X76" s="1169"/>
      <c r="Y76" s="1169"/>
      <c r="Z76" s="1169"/>
      <c r="AA76" s="1169"/>
      <c r="AB76" s="1169"/>
      <c r="AC76" s="1169"/>
      <c r="AD76" s="1169"/>
      <c r="AE76" s="1169"/>
      <c r="AF76" s="1169"/>
      <c r="AG76" s="1169"/>
      <c r="AH76" s="1169"/>
      <c r="AI76" s="1169"/>
      <c r="AJ76" s="1169"/>
      <c r="AK76" s="1169"/>
      <c r="AL76" s="1169"/>
      <c r="AM76" s="1169"/>
      <c r="AN76" s="1169"/>
      <c r="AO76" s="1169"/>
      <c r="AP76" s="1169"/>
      <c r="AQ76" s="1169"/>
      <c r="AR76" s="1169"/>
      <c r="AS76" s="1169"/>
      <c r="AT76" s="1169"/>
      <c r="AU76" s="1169"/>
      <c r="AV76" s="1169"/>
      <c r="AW76" s="1169"/>
      <c r="AX76" s="1169"/>
      <c r="AY76" s="1170"/>
    </row>
    <row r="77" spans="1:51" x14ac:dyDescent="0.3">
      <c r="A77" s="1165" t="s">
        <v>3629</v>
      </c>
      <c r="B77" s="1166"/>
      <c r="C77" s="1166"/>
      <c r="D77" s="1166"/>
      <c r="E77" s="1166"/>
      <c r="F77" s="1166"/>
      <c r="G77" s="1166"/>
      <c r="H77" s="1166"/>
      <c r="I77" s="1166"/>
      <c r="J77" s="1166"/>
      <c r="K77" s="1166"/>
      <c r="L77" s="1166"/>
      <c r="M77" s="1166"/>
      <c r="N77" s="1166"/>
      <c r="O77" s="1166"/>
      <c r="P77" s="1166"/>
      <c r="Q77" s="1166"/>
      <c r="R77" s="1166"/>
      <c r="S77" s="1166"/>
      <c r="T77" s="1166"/>
      <c r="U77" s="1166"/>
      <c r="V77" s="1166"/>
      <c r="W77" s="1166"/>
      <c r="X77" s="1166"/>
      <c r="Y77" s="1166"/>
      <c r="Z77" s="1166"/>
      <c r="AA77" s="1166"/>
      <c r="AB77" s="1166"/>
      <c r="AC77" s="1166"/>
      <c r="AD77" s="1166"/>
      <c r="AE77" s="1166"/>
      <c r="AF77" s="1166"/>
      <c r="AG77" s="1166"/>
      <c r="AH77" s="1166"/>
      <c r="AI77" s="1166"/>
      <c r="AJ77" s="1166"/>
      <c r="AK77" s="1166"/>
      <c r="AL77" s="1166"/>
      <c r="AM77" s="1166"/>
      <c r="AN77" s="1166"/>
      <c r="AO77" s="1166"/>
      <c r="AP77" s="1166"/>
      <c r="AQ77" s="1166"/>
      <c r="AR77" s="1166"/>
      <c r="AS77" s="1166"/>
      <c r="AT77" s="1166"/>
      <c r="AU77" s="1166"/>
      <c r="AV77" s="1166"/>
      <c r="AW77" s="1166"/>
      <c r="AX77" s="1166"/>
      <c r="AY77" s="1167"/>
    </row>
    <row r="78" spans="1:51" x14ac:dyDescent="0.3">
      <c r="A78" s="1162" t="s">
        <v>3630</v>
      </c>
      <c r="B78" s="1163"/>
      <c r="C78" s="1163"/>
      <c r="D78" s="1163"/>
      <c r="E78" s="1163"/>
      <c r="F78" s="1163"/>
      <c r="G78" s="1163"/>
      <c r="H78" s="1163"/>
      <c r="I78" s="1163"/>
      <c r="J78" s="1163"/>
      <c r="K78" s="1163"/>
      <c r="L78" s="1163"/>
      <c r="M78" s="1163"/>
      <c r="N78" s="1163"/>
      <c r="O78" s="1163"/>
      <c r="P78" s="1163"/>
      <c r="Q78" s="1163"/>
      <c r="R78" s="1163"/>
      <c r="S78" s="1163"/>
      <c r="T78" s="1163"/>
      <c r="U78" s="1163"/>
      <c r="V78" s="1163"/>
      <c r="W78" s="1163"/>
      <c r="X78" s="1163"/>
      <c r="Y78" s="1163"/>
      <c r="Z78" s="1163"/>
      <c r="AA78" s="1163"/>
      <c r="AB78" s="1163"/>
      <c r="AC78" s="1163"/>
      <c r="AD78" s="1163"/>
      <c r="AE78" s="1163"/>
      <c r="AF78" s="1163"/>
      <c r="AG78" s="1163"/>
      <c r="AH78" s="1163"/>
      <c r="AI78" s="1163"/>
      <c r="AJ78" s="1163"/>
      <c r="AK78" s="1163"/>
      <c r="AL78" s="1163"/>
      <c r="AM78" s="1163"/>
      <c r="AN78" s="1163"/>
      <c r="AO78" s="1163"/>
      <c r="AP78" s="1163"/>
      <c r="AQ78" s="1163"/>
      <c r="AR78" s="1163"/>
      <c r="AS78" s="1163"/>
      <c r="AT78" s="1163"/>
      <c r="AU78" s="1163"/>
      <c r="AV78" s="1163"/>
      <c r="AW78" s="1163"/>
      <c r="AX78" s="1163"/>
      <c r="AY78" s="1164"/>
    </row>
    <row r="79" spans="1:51" x14ac:dyDescent="0.3">
      <c r="A79" s="1180" t="s">
        <v>3631</v>
      </c>
      <c r="B79" s="1181"/>
      <c r="C79" s="1181"/>
      <c r="D79" s="1181"/>
      <c r="E79" s="1181"/>
      <c r="F79" s="1181"/>
      <c r="G79" s="1181"/>
      <c r="H79" s="1181"/>
      <c r="I79" s="1181"/>
      <c r="J79" s="1181"/>
      <c r="K79" s="1181"/>
      <c r="L79" s="1181"/>
      <c r="M79" s="1181"/>
      <c r="N79" s="1181"/>
      <c r="O79" s="1181"/>
      <c r="P79" s="1181"/>
      <c r="Q79" s="1181"/>
      <c r="R79" s="1181"/>
      <c r="S79" s="1181"/>
      <c r="T79" s="1181"/>
      <c r="U79" s="1181"/>
      <c r="V79" s="1181"/>
      <c r="W79" s="1181"/>
      <c r="X79" s="1181"/>
      <c r="Y79" s="1181"/>
      <c r="Z79" s="1181"/>
      <c r="AA79" s="1181"/>
      <c r="AB79" s="1181"/>
      <c r="AC79" s="1181"/>
      <c r="AD79" s="1181"/>
      <c r="AE79" s="1181"/>
      <c r="AF79" s="1181"/>
      <c r="AG79" s="1181"/>
      <c r="AH79" s="1181"/>
      <c r="AI79" s="1181"/>
      <c r="AJ79" s="1181"/>
      <c r="AK79" s="1181"/>
      <c r="AL79" s="1181"/>
      <c r="AM79" s="1181"/>
      <c r="AN79" s="1181"/>
      <c r="AO79" s="1181"/>
      <c r="AP79" s="1181"/>
      <c r="AQ79" s="1181"/>
      <c r="AR79" s="1181"/>
      <c r="AS79" s="1181"/>
      <c r="AT79" s="1181"/>
      <c r="AU79" s="1181"/>
      <c r="AV79" s="1181"/>
      <c r="AW79" s="1181"/>
      <c r="AX79" s="1181"/>
      <c r="AY79" s="1182"/>
    </row>
    <row r="80" spans="1:51" x14ac:dyDescent="0.3">
      <c r="A80" s="1177" t="s">
        <v>3632</v>
      </c>
      <c r="B80" s="1178"/>
      <c r="C80" s="1178"/>
      <c r="D80" s="1178"/>
      <c r="E80" s="1178"/>
      <c r="F80" s="1178"/>
      <c r="G80" s="1178"/>
      <c r="H80" s="1178"/>
      <c r="I80" s="1178"/>
      <c r="J80" s="1178"/>
      <c r="K80" s="1178"/>
      <c r="L80" s="1178"/>
      <c r="M80" s="1178"/>
      <c r="N80" s="1178"/>
      <c r="O80" s="1178"/>
      <c r="P80" s="1178"/>
      <c r="Q80" s="1178"/>
      <c r="R80" s="1178"/>
      <c r="S80" s="1178"/>
      <c r="T80" s="1178"/>
      <c r="U80" s="1178"/>
      <c r="V80" s="1178"/>
      <c r="W80" s="1178"/>
      <c r="X80" s="1178"/>
      <c r="Y80" s="1178"/>
      <c r="Z80" s="1178"/>
      <c r="AA80" s="1178"/>
      <c r="AB80" s="1178"/>
      <c r="AC80" s="1178"/>
      <c r="AD80" s="1178"/>
      <c r="AE80" s="1178"/>
      <c r="AF80" s="1178"/>
      <c r="AG80" s="1178"/>
      <c r="AH80" s="1178"/>
      <c r="AI80" s="1178"/>
      <c r="AJ80" s="1178"/>
      <c r="AK80" s="1178"/>
      <c r="AL80" s="1178"/>
      <c r="AM80" s="1178"/>
      <c r="AN80" s="1178"/>
      <c r="AO80" s="1178"/>
      <c r="AP80" s="1178"/>
      <c r="AQ80" s="1178"/>
      <c r="AR80" s="1178"/>
      <c r="AS80" s="1178"/>
      <c r="AT80" s="1178"/>
      <c r="AU80" s="1178"/>
      <c r="AV80" s="1178"/>
      <c r="AW80" s="1178"/>
      <c r="AX80" s="1178"/>
      <c r="AY80" s="1179"/>
    </row>
    <row r="81" spans="1:51" x14ac:dyDescent="0.3">
      <c r="A81" s="1162" t="s">
        <v>3633</v>
      </c>
      <c r="B81" s="1163"/>
      <c r="C81" s="1163"/>
      <c r="D81" s="1163"/>
      <c r="E81" s="1163"/>
      <c r="F81" s="1163"/>
      <c r="G81" s="1163"/>
      <c r="H81" s="1163"/>
      <c r="I81" s="1163"/>
      <c r="J81" s="1163"/>
      <c r="K81" s="1163"/>
      <c r="L81" s="1163"/>
      <c r="M81" s="1163"/>
      <c r="N81" s="1163"/>
      <c r="O81" s="1163"/>
      <c r="P81" s="1163"/>
      <c r="Q81" s="1163"/>
      <c r="R81" s="1163"/>
      <c r="S81" s="1163"/>
      <c r="T81" s="1163"/>
      <c r="U81" s="1163"/>
      <c r="V81" s="1163"/>
      <c r="W81" s="1163"/>
      <c r="X81" s="1163"/>
      <c r="Y81" s="1163"/>
      <c r="Z81" s="1163"/>
      <c r="AA81" s="1163"/>
      <c r="AB81" s="1163"/>
      <c r="AC81" s="1163"/>
      <c r="AD81" s="1163"/>
      <c r="AE81" s="1163"/>
      <c r="AF81" s="1163"/>
      <c r="AG81" s="1163"/>
      <c r="AH81" s="1163"/>
      <c r="AI81" s="1163"/>
      <c r="AJ81" s="1163"/>
      <c r="AK81" s="1163"/>
      <c r="AL81" s="1163"/>
      <c r="AM81" s="1163"/>
      <c r="AN81" s="1163"/>
      <c r="AO81" s="1163"/>
      <c r="AP81" s="1163"/>
      <c r="AQ81" s="1163"/>
      <c r="AR81" s="1163"/>
      <c r="AS81" s="1163"/>
      <c r="AT81" s="1163"/>
      <c r="AU81" s="1163"/>
      <c r="AV81" s="1163"/>
      <c r="AW81" s="1163"/>
      <c r="AX81" s="1163"/>
      <c r="AY81" s="1164"/>
    </row>
    <row r="82" spans="1:51" x14ac:dyDescent="0.3">
      <c r="A82" s="1174" t="s">
        <v>3634</v>
      </c>
      <c r="B82" s="1175"/>
      <c r="C82" s="1175"/>
      <c r="D82" s="1175"/>
      <c r="E82" s="1175"/>
      <c r="F82" s="1175"/>
      <c r="G82" s="1175"/>
      <c r="H82" s="1175"/>
      <c r="I82" s="1175"/>
      <c r="J82" s="1175"/>
      <c r="K82" s="1175"/>
      <c r="L82" s="1175"/>
      <c r="M82" s="1175"/>
      <c r="N82" s="1175"/>
      <c r="O82" s="1175"/>
      <c r="P82" s="1175"/>
      <c r="Q82" s="1175"/>
      <c r="R82" s="1175"/>
      <c r="S82" s="1175"/>
      <c r="T82" s="1175"/>
      <c r="U82" s="1175"/>
      <c r="V82" s="1175"/>
      <c r="W82" s="1175"/>
      <c r="X82" s="1175"/>
      <c r="Y82" s="1175"/>
      <c r="Z82" s="1175"/>
      <c r="AA82" s="1175"/>
      <c r="AB82" s="1175"/>
      <c r="AC82" s="1175"/>
      <c r="AD82" s="1175"/>
      <c r="AE82" s="1175"/>
      <c r="AF82" s="1175"/>
      <c r="AG82" s="1175"/>
      <c r="AH82" s="1175"/>
      <c r="AI82" s="1175"/>
      <c r="AJ82" s="1175"/>
      <c r="AK82" s="1175"/>
      <c r="AL82" s="1175"/>
      <c r="AM82" s="1175"/>
      <c r="AN82" s="1175"/>
      <c r="AO82" s="1175"/>
      <c r="AP82" s="1175"/>
      <c r="AQ82" s="1175"/>
      <c r="AR82" s="1175"/>
      <c r="AS82" s="1175"/>
      <c r="AT82" s="1175"/>
      <c r="AU82" s="1175"/>
      <c r="AV82" s="1175"/>
      <c r="AW82" s="1175"/>
      <c r="AX82" s="1175"/>
      <c r="AY82" s="1176"/>
    </row>
    <row r="83" spans="1:51" x14ac:dyDescent="0.3">
      <c r="A83" s="1171" t="s">
        <v>3635</v>
      </c>
      <c r="B83" s="1172"/>
      <c r="C83" s="1172"/>
      <c r="D83" s="1172"/>
      <c r="E83" s="1172"/>
      <c r="F83" s="1172"/>
      <c r="G83" s="1172"/>
      <c r="H83" s="1172"/>
      <c r="I83" s="1172"/>
      <c r="J83" s="1172"/>
      <c r="K83" s="1172"/>
      <c r="L83" s="1172"/>
      <c r="M83" s="1172"/>
      <c r="N83" s="1172"/>
      <c r="O83" s="1172"/>
      <c r="P83" s="1172"/>
      <c r="Q83" s="1172"/>
      <c r="R83" s="1172"/>
      <c r="S83" s="1172"/>
      <c r="T83" s="1172"/>
      <c r="U83" s="1172"/>
      <c r="V83" s="1172"/>
      <c r="W83" s="1172"/>
      <c r="X83" s="1172"/>
      <c r="Y83" s="1172"/>
      <c r="Z83" s="1172"/>
      <c r="AA83" s="1172"/>
      <c r="AB83" s="1172"/>
      <c r="AC83" s="1172"/>
      <c r="AD83" s="1172"/>
      <c r="AE83" s="1172"/>
      <c r="AF83" s="1172"/>
      <c r="AG83" s="1172"/>
      <c r="AH83" s="1172"/>
      <c r="AI83" s="1172"/>
      <c r="AJ83" s="1172"/>
      <c r="AK83" s="1172"/>
      <c r="AL83" s="1172"/>
      <c r="AM83" s="1172"/>
      <c r="AN83" s="1172"/>
      <c r="AO83" s="1172"/>
      <c r="AP83" s="1172"/>
      <c r="AQ83" s="1172"/>
      <c r="AR83" s="1172"/>
      <c r="AS83" s="1172"/>
      <c r="AT83" s="1172"/>
      <c r="AU83" s="1172"/>
      <c r="AV83" s="1172"/>
      <c r="AW83" s="1172"/>
      <c r="AX83" s="1172"/>
      <c r="AY83" s="1173"/>
    </row>
    <row r="84" spans="1:51" x14ac:dyDescent="0.3">
      <c r="A84" s="311" t="s">
        <v>3636</v>
      </c>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c r="AN84" s="312"/>
      <c r="AO84" s="312"/>
      <c r="AP84" s="312"/>
      <c r="AQ84" s="312"/>
      <c r="AR84" s="312"/>
      <c r="AS84" s="312"/>
      <c r="AT84" s="312"/>
      <c r="AU84" s="312"/>
      <c r="AV84" s="312"/>
      <c r="AW84" s="312"/>
      <c r="AX84" s="312"/>
      <c r="AY84" s="313"/>
    </row>
    <row r="85" spans="1:51" x14ac:dyDescent="0.3">
      <c r="A85" s="1177" t="s">
        <v>3637</v>
      </c>
      <c r="B85" s="1195"/>
      <c r="C85" s="1195"/>
      <c r="D85" s="1195"/>
      <c r="E85" s="1195"/>
      <c r="F85" s="1195"/>
      <c r="G85" s="1195"/>
      <c r="H85" s="1195"/>
      <c r="I85" s="1195"/>
      <c r="J85" s="1195"/>
      <c r="K85" s="1195"/>
      <c r="L85" s="1195"/>
      <c r="M85" s="1195"/>
      <c r="N85" s="1195"/>
      <c r="O85" s="1195"/>
      <c r="P85" s="1195"/>
      <c r="Q85" s="1195"/>
      <c r="R85" s="1195"/>
      <c r="S85" s="1195"/>
      <c r="T85" s="1195"/>
      <c r="U85" s="1195"/>
      <c r="V85" s="1195"/>
      <c r="W85" s="1195"/>
      <c r="X85" s="1195"/>
      <c r="Y85" s="1195"/>
      <c r="Z85" s="1195"/>
      <c r="AA85" s="1195"/>
      <c r="AB85" s="1195"/>
      <c r="AC85" s="1195"/>
      <c r="AD85" s="1195"/>
      <c r="AE85" s="1195"/>
      <c r="AF85" s="1195"/>
      <c r="AG85" s="1195"/>
      <c r="AH85" s="1195"/>
      <c r="AI85" s="1195"/>
      <c r="AJ85" s="1195"/>
      <c r="AK85" s="1195"/>
      <c r="AL85" s="1195"/>
      <c r="AM85" s="1195"/>
      <c r="AN85" s="1195"/>
      <c r="AO85" s="1195"/>
      <c r="AP85" s="1195"/>
      <c r="AQ85" s="1195"/>
      <c r="AR85" s="1195"/>
      <c r="AS85" s="1195"/>
      <c r="AT85" s="1195"/>
      <c r="AU85" s="1195"/>
      <c r="AV85" s="1195"/>
      <c r="AW85" s="1195"/>
      <c r="AX85" s="1195"/>
      <c r="AY85" s="1196"/>
    </row>
    <row r="86" spans="1:51" x14ac:dyDescent="0.3">
      <c r="A86" s="1162" t="s">
        <v>3638</v>
      </c>
      <c r="B86" s="1163"/>
      <c r="C86" s="1163"/>
      <c r="D86" s="1163"/>
      <c r="E86" s="1163"/>
      <c r="F86" s="1163"/>
      <c r="G86" s="1163"/>
      <c r="H86" s="1163"/>
      <c r="I86" s="1163"/>
      <c r="J86" s="1163"/>
      <c r="K86" s="1163"/>
      <c r="L86" s="1163"/>
      <c r="M86" s="1163"/>
      <c r="N86" s="1163"/>
      <c r="O86" s="1163"/>
      <c r="P86" s="1163"/>
      <c r="Q86" s="1163"/>
      <c r="R86" s="1163"/>
      <c r="S86" s="1163"/>
      <c r="T86" s="1163"/>
      <c r="U86" s="1163"/>
      <c r="V86" s="1163"/>
      <c r="W86" s="1163"/>
      <c r="X86" s="1163"/>
      <c r="Y86" s="1163"/>
      <c r="Z86" s="1163"/>
      <c r="AA86" s="1163"/>
      <c r="AB86" s="1163"/>
      <c r="AC86" s="1163"/>
      <c r="AD86" s="1163"/>
      <c r="AE86" s="1163"/>
      <c r="AF86" s="1163"/>
      <c r="AG86" s="1163"/>
      <c r="AH86" s="1163"/>
      <c r="AI86" s="1163"/>
      <c r="AJ86" s="1163"/>
      <c r="AK86" s="1163"/>
      <c r="AL86" s="1163"/>
      <c r="AM86" s="1163"/>
      <c r="AN86" s="1163"/>
      <c r="AO86" s="1163"/>
      <c r="AP86" s="1163"/>
      <c r="AQ86" s="1163"/>
      <c r="AR86" s="1163"/>
      <c r="AS86" s="1163"/>
      <c r="AT86" s="1163"/>
      <c r="AU86" s="1163"/>
      <c r="AV86" s="1163"/>
      <c r="AW86" s="1163"/>
      <c r="AX86" s="1163"/>
      <c r="AY86" s="1164"/>
    </row>
    <row r="87" spans="1:51" x14ac:dyDescent="0.3">
      <c r="A87" s="1197" t="s">
        <v>3639</v>
      </c>
      <c r="B87" s="1198"/>
      <c r="C87" s="1198"/>
      <c r="D87" s="1198"/>
      <c r="E87" s="1198"/>
      <c r="F87" s="1198"/>
      <c r="G87" s="1198"/>
      <c r="H87" s="1198"/>
      <c r="I87" s="1198"/>
      <c r="J87" s="1198"/>
      <c r="K87" s="1198"/>
      <c r="L87" s="1198"/>
      <c r="M87" s="1198"/>
      <c r="N87" s="1198"/>
      <c r="O87" s="1198"/>
      <c r="P87" s="1198"/>
      <c r="Q87" s="1198"/>
      <c r="R87" s="1198"/>
      <c r="S87" s="1198"/>
      <c r="T87" s="1198"/>
      <c r="U87" s="1198"/>
      <c r="V87" s="1198"/>
      <c r="W87" s="1198"/>
      <c r="X87" s="1198"/>
      <c r="Y87" s="1198"/>
      <c r="Z87" s="1198"/>
      <c r="AA87" s="1198"/>
      <c r="AB87" s="1198"/>
      <c r="AC87" s="1198"/>
      <c r="AD87" s="1198"/>
      <c r="AE87" s="1198"/>
      <c r="AF87" s="1198"/>
      <c r="AG87" s="1198"/>
      <c r="AH87" s="1198"/>
      <c r="AI87" s="1198"/>
      <c r="AJ87" s="1198"/>
      <c r="AK87" s="1198"/>
      <c r="AL87" s="1198"/>
      <c r="AM87" s="1198"/>
      <c r="AN87" s="1198"/>
      <c r="AO87" s="1198"/>
      <c r="AP87" s="1198"/>
      <c r="AQ87" s="1198"/>
      <c r="AR87" s="1198"/>
      <c r="AS87" s="1198"/>
      <c r="AT87" s="1198"/>
      <c r="AU87" s="1198"/>
      <c r="AV87" s="1198"/>
      <c r="AW87" s="1198"/>
      <c r="AX87" s="1198"/>
      <c r="AY87" s="1199"/>
    </row>
    <row r="88" spans="1:51" x14ac:dyDescent="0.3">
      <c r="A88" s="1171" t="s">
        <v>3640</v>
      </c>
      <c r="B88" s="1200"/>
      <c r="C88" s="1200"/>
      <c r="D88" s="1200"/>
      <c r="E88" s="1200"/>
      <c r="F88" s="1200"/>
      <c r="G88" s="1200"/>
      <c r="H88" s="1200"/>
      <c r="I88" s="1200"/>
      <c r="J88" s="1200"/>
      <c r="K88" s="1200"/>
      <c r="L88" s="1200"/>
      <c r="M88" s="1200"/>
      <c r="N88" s="1200"/>
      <c r="O88" s="1200"/>
      <c r="P88" s="1200"/>
      <c r="Q88" s="1200"/>
      <c r="R88" s="1200"/>
      <c r="S88" s="1200"/>
      <c r="T88" s="1200"/>
      <c r="U88" s="1200"/>
      <c r="V88" s="1200"/>
      <c r="W88" s="1200"/>
      <c r="X88" s="1200"/>
      <c r="Y88" s="1200"/>
      <c r="Z88" s="1200"/>
      <c r="AA88" s="1200"/>
      <c r="AB88" s="1200"/>
      <c r="AC88" s="1200"/>
      <c r="AD88" s="1200"/>
      <c r="AE88" s="1200"/>
      <c r="AF88" s="1200"/>
      <c r="AG88" s="1200"/>
      <c r="AH88" s="1200"/>
      <c r="AI88" s="1200"/>
      <c r="AJ88" s="1200"/>
      <c r="AK88" s="1200"/>
      <c r="AL88" s="1200"/>
      <c r="AM88" s="1200"/>
      <c r="AN88" s="1200"/>
      <c r="AO88" s="1200"/>
      <c r="AP88" s="1200"/>
      <c r="AQ88" s="1200"/>
      <c r="AR88" s="1200"/>
      <c r="AS88" s="1200"/>
      <c r="AT88" s="1200"/>
      <c r="AU88" s="1200"/>
      <c r="AV88" s="1200"/>
      <c r="AW88" s="1200"/>
      <c r="AX88" s="1200"/>
      <c r="AY88" s="1201"/>
    </row>
    <row r="89" spans="1:51" x14ac:dyDescent="0.3">
      <c r="A89" s="1174" t="s">
        <v>3641</v>
      </c>
      <c r="B89" s="1175"/>
      <c r="C89" s="1175"/>
      <c r="D89" s="1175"/>
      <c r="E89" s="1175"/>
      <c r="F89" s="1175"/>
      <c r="G89" s="1175"/>
      <c r="H89" s="1175"/>
      <c r="I89" s="1175"/>
      <c r="J89" s="1175"/>
      <c r="K89" s="1175"/>
      <c r="L89" s="1175"/>
      <c r="M89" s="1175"/>
      <c r="N89" s="1175"/>
      <c r="O89" s="1175"/>
      <c r="P89" s="1175"/>
      <c r="Q89" s="1175"/>
      <c r="R89" s="1175"/>
      <c r="S89" s="1175"/>
      <c r="T89" s="1175"/>
      <c r="U89" s="1175"/>
      <c r="V89" s="1175"/>
      <c r="W89" s="1175"/>
      <c r="X89" s="1175"/>
      <c r="Y89" s="1175"/>
      <c r="Z89" s="1175"/>
      <c r="AA89" s="1175"/>
      <c r="AB89" s="1175"/>
      <c r="AC89" s="1175"/>
      <c r="AD89" s="1175"/>
      <c r="AE89" s="1175"/>
      <c r="AF89" s="1175"/>
      <c r="AG89" s="1175"/>
      <c r="AH89" s="1175"/>
      <c r="AI89" s="1175"/>
      <c r="AJ89" s="1175"/>
      <c r="AK89" s="1175"/>
      <c r="AL89" s="1175"/>
      <c r="AM89" s="1175"/>
      <c r="AN89" s="1175"/>
      <c r="AO89" s="1175"/>
      <c r="AP89" s="1175"/>
      <c r="AQ89" s="1175"/>
      <c r="AR89" s="1175"/>
      <c r="AS89" s="1175"/>
      <c r="AT89" s="1175"/>
      <c r="AU89" s="1175"/>
      <c r="AV89" s="1175"/>
      <c r="AW89" s="1175"/>
      <c r="AX89" s="1175"/>
      <c r="AY89" s="1176"/>
    </row>
    <row r="90" spans="1:51" x14ac:dyDescent="0.3">
      <c r="A90" s="1171" t="s">
        <v>3642</v>
      </c>
      <c r="B90" s="1200"/>
      <c r="C90" s="1200"/>
      <c r="D90" s="1200"/>
      <c r="E90" s="1200"/>
      <c r="F90" s="1200"/>
      <c r="G90" s="1200"/>
      <c r="H90" s="1200"/>
      <c r="I90" s="1200"/>
      <c r="J90" s="1200"/>
      <c r="K90" s="1200"/>
      <c r="L90" s="1200"/>
      <c r="M90" s="1200"/>
      <c r="N90" s="1200"/>
      <c r="O90" s="1200"/>
      <c r="P90" s="1200"/>
      <c r="Q90" s="1200"/>
      <c r="R90" s="1200"/>
      <c r="S90" s="1200"/>
      <c r="T90" s="1200"/>
      <c r="U90" s="1200"/>
      <c r="V90" s="1200"/>
      <c r="W90" s="1200"/>
      <c r="X90" s="1200"/>
      <c r="Y90" s="1200"/>
      <c r="Z90" s="1200"/>
      <c r="AA90" s="1200"/>
      <c r="AB90" s="1200"/>
      <c r="AC90" s="1200"/>
      <c r="AD90" s="1200"/>
      <c r="AE90" s="1200"/>
      <c r="AF90" s="1200"/>
      <c r="AG90" s="1200"/>
      <c r="AH90" s="1200"/>
      <c r="AI90" s="1200"/>
      <c r="AJ90" s="1200"/>
      <c r="AK90" s="1200"/>
      <c r="AL90" s="1200"/>
      <c r="AM90" s="1200"/>
      <c r="AN90" s="1200"/>
      <c r="AO90" s="1200"/>
      <c r="AP90" s="1200"/>
      <c r="AQ90" s="1200"/>
      <c r="AR90" s="1200"/>
      <c r="AS90" s="1200"/>
      <c r="AT90" s="1200"/>
      <c r="AU90" s="1200"/>
      <c r="AV90" s="1200"/>
      <c r="AW90" s="1200"/>
      <c r="AX90" s="1200"/>
      <c r="AY90" s="1201"/>
    </row>
    <row r="91" spans="1:51" x14ac:dyDescent="0.3">
      <c r="A91" s="1174" t="s">
        <v>3643</v>
      </c>
      <c r="B91" s="1175"/>
      <c r="C91" s="1175"/>
      <c r="D91" s="1175"/>
      <c r="E91" s="1175"/>
      <c r="F91" s="1175"/>
      <c r="G91" s="1175"/>
      <c r="H91" s="1175"/>
      <c r="I91" s="1175"/>
      <c r="J91" s="1175"/>
      <c r="K91" s="1175"/>
      <c r="L91" s="1175"/>
      <c r="M91" s="1175"/>
      <c r="N91" s="1175"/>
      <c r="O91" s="1175"/>
      <c r="P91" s="1175"/>
      <c r="Q91" s="1175"/>
      <c r="R91" s="1175"/>
      <c r="S91" s="1175"/>
      <c r="T91" s="1175"/>
      <c r="U91" s="1175"/>
      <c r="V91" s="1175"/>
      <c r="W91" s="1175"/>
      <c r="X91" s="1175"/>
      <c r="Y91" s="1175"/>
      <c r="Z91" s="1175"/>
      <c r="AA91" s="1175"/>
      <c r="AB91" s="1175"/>
      <c r="AC91" s="1175"/>
      <c r="AD91" s="1175"/>
      <c r="AE91" s="1175"/>
      <c r="AF91" s="1175"/>
      <c r="AG91" s="1175"/>
      <c r="AH91" s="1175"/>
      <c r="AI91" s="1175"/>
      <c r="AJ91" s="1175"/>
      <c r="AK91" s="1175"/>
      <c r="AL91" s="1175"/>
      <c r="AM91" s="1175"/>
      <c r="AN91" s="1175"/>
      <c r="AO91" s="1175"/>
      <c r="AP91" s="1175"/>
      <c r="AQ91" s="1175"/>
      <c r="AR91" s="1175"/>
      <c r="AS91" s="1175"/>
      <c r="AT91" s="1175"/>
      <c r="AU91" s="1175"/>
      <c r="AV91" s="1175"/>
      <c r="AW91" s="1175"/>
      <c r="AX91" s="1175"/>
      <c r="AY91" s="1176"/>
    </row>
    <row r="92" spans="1:51" x14ac:dyDescent="0.3">
      <c r="A92" s="1171" t="s">
        <v>3644</v>
      </c>
      <c r="B92" s="1200"/>
      <c r="C92" s="1200"/>
      <c r="D92" s="1200"/>
      <c r="E92" s="1200"/>
      <c r="F92" s="1200"/>
      <c r="G92" s="1200"/>
      <c r="H92" s="1200"/>
      <c r="I92" s="1200"/>
      <c r="J92" s="1200"/>
      <c r="K92" s="1200"/>
      <c r="L92" s="1200"/>
      <c r="M92" s="1200"/>
      <c r="N92" s="1200"/>
      <c r="O92" s="1200"/>
      <c r="P92" s="1200"/>
      <c r="Q92" s="1200"/>
      <c r="R92" s="1200"/>
      <c r="S92" s="1200"/>
      <c r="T92" s="1200"/>
      <c r="U92" s="1200"/>
      <c r="V92" s="1200"/>
      <c r="W92" s="1200"/>
      <c r="X92" s="1200"/>
      <c r="Y92" s="1200"/>
      <c r="Z92" s="1200"/>
      <c r="AA92" s="1200"/>
      <c r="AB92" s="1200"/>
      <c r="AC92" s="1200"/>
      <c r="AD92" s="1200"/>
      <c r="AE92" s="1200"/>
      <c r="AF92" s="1200"/>
      <c r="AG92" s="1200"/>
      <c r="AH92" s="1200"/>
      <c r="AI92" s="1200"/>
      <c r="AJ92" s="1200"/>
      <c r="AK92" s="1200"/>
      <c r="AL92" s="1200"/>
      <c r="AM92" s="1200"/>
      <c r="AN92" s="1200"/>
      <c r="AO92" s="1200"/>
      <c r="AP92" s="1200"/>
      <c r="AQ92" s="1200"/>
      <c r="AR92" s="1200"/>
      <c r="AS92" s="1200"/>
      <c r="AT92" s="1200"/>
      <c r="AU92" s="1200"/>
      <c r="AV92" s="1200"/>
      <c r="AW92" s="1200"/>
      <c r="AX92" s="1200"/>
      <c r="AY92" s="1201"/>
    </row>
    <row r="93" spans="1:51" x14ac:dyDescent="0.3">
      <c r="A93" s="1174" t="s">
        <v>3645</v>
      </c>
      <c r="B93" s="1175"/>
      <c r="C93" s="1175"/>
      <c r="D93" s="1175"/>
      <c r="E93" s="1175"/>
      <c r="F93" s="1175"/>
      <c r="G93" s="1175"/>
      <c r="H93" s="1175"/>
      <c r="I93" s="1175"/>
      <c r="J93" s="1175"/>
      <c r="K93" s="1175"/>
      <c r="L93" s="1175"/>
      <c r="M93" s="1175"/>
      <c r="N93" s="1175"/>
      <c r="O93" s="1175"/>
      <c r="P93" s="1175"/>
      <c r="Q93" s="1175"/>
      <c r="R93" s="1175"/>
      <c r="S93" s="1175"/>
      <c r="T93" s="1175"/>
      <c r="U93" s="1175"/>
      <c r="V93" s="1175"/>
      <c r="W93" s="1175"/>
      <c r="X93" s="1175"/>
      <c r="Y93" s="1175"/>
      <c r="Z93" s="1175"/>
      <c r="AA93" s="1175"/>
      <c r="AB93" s="1175"/>
      <c r="AC93" s="1175"/>
      <c r="AD93" s="1175"/>
      <c r="AE93" s="1175"/>
      <c r="AF93" s="1175"/>
      <c r="AG93" s="1175"/>
      <c r="AH93" s="1175"/>
      <c r="AI93" s="1175"/>
      <c r="AJ93" s="1175"/>
      <c r="AK93" s="1175"/>
      <c r="AL93" s="1175"/>
      <c r="AM93" s="1175"/>
      <c r="AN93" s="1175"/>
      <c r="AO93" s="1175"/>
      <c r="AP93" s="1175"/>
      <c r="AQ93" s="1175"/>
      <c r="AR93" s="1175"/>
      <c r="AS93" s="1175"/>
      <c r="AT93" s="1175"/>
      <c r="AU93" s="1175"/>
      <c r="AV93" s="1175"/>
      <c r="AW93" s="1175"/>
      <c r="AX93" s="1175"/>
      <c r="AY93" s="1176"/>
    </row>
    <row r="94" spans="1:51" x14ac:dyDescent="0.3">
      <c r="A94" s="1171" t="s">
        <v>3646</v>
      </c>
      <c r="B94" s="1200"/>
      <c r="C94" s="1200"/>
      <c r="D94" s="1200"/>
      <c r="E94" s="1200"/>
      <c r="F94" s="1200"/>
      <c r="G94" s="1200"/>
      <c r="H94" s="1200"/>
      <c r="I94" s="1200"/>
      <c r="J94" s="1200"/>
      <c r="K94" s="1200"/>
      <c r="L94" s="1200"/>
      <c r="M94" s="1200"/>
      <c r="N94" s="1200"/>
      <c r="O94" s="1200"/>
      <c r="P94" s="1200"/>
      <c r="Q94" s="1200"/>
      <c r="R94" s="1200"/>
      <c r="S94" s="1200"/>
      <c r="T94" s="1200"/>
      <c r="U94" s="1200"/>
      <c r="V94" s="1200"/>
      <c r="W94" s="1200"/>
      <c r="X94" s="1200"/>
      <c r="Y94" s="1200"/>
      <c r="Z94" s="1200"/>
      <c r="AA94" s="1200"/>
      <c r="AB94" s="1200"/>
      <c r="AC94" s="1200"/>
      <c r="AD94" s="1200"/>
      <c r="AE94" s="1200"/>
      <c r="AF94" s="1200"/>
      <c r="AG94" s="1200"/>
      <c r="AH94" s="1200"/>
      <c r="AI94" s="1200"/>
      <c r="AJ94" s="1200"/>
      <c r="AK94" s="1200"/>
      <c r="AL94" s="1200"/>
      <c r="AM94" s="1200"/>
      <c r="AN94" s="1200"/>
      <c r="AO94" s="1200"/>
      <c r="AP94" s="1200"/>
      <c r="AQ94" s="1200"/>
      <c r="AR94" s="1200"/>
      <c r="AS94" s="1200"/>
      <c r="AT94" s="1200"/>
      <c r="AU94" s="1200"/>
      <c r="AV94" s="1200"/>
      <c r="AW94" s="1200"/>
      <c r="AX94" s="1200"/>
      <c r="AY94" s="1201"/>
    </row>
    <row r="95" spans="1:51" x14ac:dyDescent="0.3">
      <c r="A95" s="1174" t="s">
        <v>3647</v>
      </c>
      <c r="B95" s="1175"/>
      <c r="C95" s="1175"/>
      <c r="D95" s="1175"/>
      <c r="E95" s="1175"/>
      <c r="F95" s="1175"/>
      <c r="G95" s="1175"/>
      <c r="H95" s="1175"/>
      <c r="I95" s="1175"/>
      <c r="J95" s="1175"/>
      <c r="K95" s="1175"/>
      <c r="L95" s="1175"/>
      <c r="M95" s="1175"/>
      <c r="N95" s="1175"/>
      <c r="O95" s="1175"/>
      <c r="P95" s="1175"/>
      <c r="Q95" s="1175"/>
      <c r="R95" s="1175"/>
      <c r="S95" s="1175"/>
      <c r="T95" s="1175"/>
      <c r="U95" s="1175"/>
      <c r="V95" s="1175"/>
      <c r="W95" s="1175"/>
      <c r="X95" s="1175"/>
      <c r="Y95" s="1175"/>
      <c r="Z95" s="1175"/>
      <c r="AA95" s="1175"/>
      <c r="AB95" s="1175"/>
      <c r="AC95" s="1175"/>
      <c r="AD95" s="1175"/>
      <c r="AE95" s="1175"/>
      <c r="AF95" s="1175"/>
      <c r="AG95" s="1175"/>
      <c r="AH95" s="1175"/>
      <c r="AI95" s="1175"/>
      <c r="AJ95" s="1175"/>
      <c r="AK95" s="1175"/>
      <c r="AL95" s="1175"/>
      <c r="AM95" s="1175"/>
      <c r="AN95" s="1175"/>
      <c r="AO95" s="1175"/>
      <c r="AP95" s="1175"/>
      <c r="AQ95" s="1175"/>
      <c r="AR95" s="1175"/>
      <c r="AS95" s="1175"/>
      <c r="AT95" s="1175"/>
      <c r="AU95" s="1175"/>
      <c r="AV95" s="1175"/>
      <c r="AW95" s="1175"/>
      <c r="AX95" s="1175"/>
      <c r="AY95" s="1176"/>
    </row>
    <row r="96" spans="1:51" x14ac:dyDescent="0.3">
      <c r="A96" s="1171" t="s">
        <v>3648</v>
      </c>
      <c r="B96" s="1200"/>
      <c r="C96" s="1200"/>
      <c r="D96" s="1200"/>
      <c r="E96" s="1200"/>
      <c r="F96" s="1200"/>
      <c r="G96" s="1200"/>
      <c r="H96" s="1200"/>
      <c r="I96" s="1200"/>
      <c r="J96" s="1200"/>
      <c r="K96" s="1200"/>
      <c r="L96" s="1200"/>
      <c r="M96" s="1200"/>
      <c r="N96" s="1200"/>
      <c r="O96" s="1200"/>
      <c r="P96" s="1200"/>
      <c r="Q96" s="1200"/>
      <c r="R96" s="1200"/>
      <c r="S96" s="1200"/>
      <c r="T96" s="1200"/>
      <c r="U96" s="1200"/>
      <c r="V96" s="1200"/>
      <c r="W96" s="1200"/>
      <c r="X96" s="1200"/>
      <c r="Y96" s="1200"/>
      <c r="Z96" s="1200"/>
      <c r="AA96" s="1200"/>
      <c r="AB96" s="1200"/>
      <c r="AC96" s="1200"/>
      <c r="AD96" s="1200"/>
      <c r="AE96" s="1200"/>
      <c r="AF96" s="1200"/>
      <c r="AG96" s="1200"/>
      <c r="AH96" s="1200"/>
      <c r="AI96" s="1200"/>
      <c r="AJ96" s="1200"/>
      <c r="AK96" s="1200"/>
      <c r="AL96" s="1200"/>
      <c r="AM96" s="1200"/>
      <c r="AN96" s="1200"/>
      <c r="AO96" s="1200"/>
      <c r="AP96" s="1200"/>
      <c r="AQ96" s="1200"/>
      <c r="AR96" s="1200"/>
      <c r="AS96" s="1200"/>
      <c r="AT96" s="1200"/>
      <c r="AU96" s="1200"/>
      <c r="AV96" s="1200"/>
      <c r="AW96" s="1200"/>
      <c r="AX96" s="1200"/>
      <c r="AY96" s="1201"/>
    </row>
    <row r="97" spans="1:51" x14ac:dyDescent="0.3">
      <c r="A97" s="1174" t="s">
        <v>3649</v>
      </c>
      <c r="B97" s="1175"/>
      <c r="C97" s="1175"/>
      <c r="D97" s="1175"/>
      <c r="E97" s="1175"/>
      <c r="F97" s="1175"/>
      <c r="G97" s="1175"/>
      <c r="H97" s="1175"/>
      <c r="I97" s="1175"/>
      <c r="J97" s="1175"/>
      <c r="K97" s="1175"/>
      <c r="L97" s="1175"/>
      <c r="M97" s="1175"/>
      <c r="N97" s="1175"/>
      <c r="O97" s="1175"/>
      <c r="P97" s="1175"/>
      <c r="Q97" s="1175"/>
      <c r="R97" s="1175"/>
      <c r="S97" s="1175"/>
      <c r="T97" s="1175"/>
      <c r="U97" s="1175"/>
      <c r="V97" s="1175"/>
      <c r="W97" s="1175"/>
      <c r="X97" s="1175"/>
      <c r="Y97" s="1175"/>
      <c r="Z97" s="1175"/>
      <c r="AA97" s="1175"/>
      <c r="AB97" s="1175"/>
      <c r="AC97" s="1175"/>
      <c r="AD97" s="1175"/>
      <c r="AE97" s="1175"/>
      <c r="AF97" s="1175"/>
      <c r="AG97" s="1175"/>
      <c r="AH97" s="1175"/>
      <c r="AI97" s="1175"/>
      <c r="AJ97" s="1175"/>
      <c r="AK97" s="1175"/>
      <c r="AL97" s="1175"/>
      <c r="AM97" s="1175"/>
      <c r="AN97" s="1175"/>
      <c r="AO97" s="1175"/>
      <c r="AP97" s="1175"/>
      <c r="AQ97" s="1175"/>
      <c r="AR97" s="1175"/>
      <c r="AS97" s="1175"/>
      <c r="AT97" s="1175"/>
      <c r="AU97" s="1175"/>
      <c r="AV97" s="1175"/>
      <c r="AW97" s="1175"/>
      <c r="AX97" s="1175"/>
      <c r="AY97" s="1176"/>
    </row>
    <row r="98" spans="1:51" x14ac:dyDescent="0.3">
      <c r="A98" s="1171" t="s">
        <v>3650</v>
      </c>
      <c r="B98" s="1200"/>
      <c r="C98" s="1200"/>
      <c r="D98" s="1200"/>
      <c r="E98" s="1200"/>
      <c r="F98" s="1200"/>
      <c r="G98" s="1200"/>
      <c r="H98" s="1200"/>
      <c r="I98" s="1200"/>
      <c r="J98" s="1200"/>
      <c r="K98" s="1200"/>
      <c r="L98" s="1200"/>
      <c r="M98" s="1200"/>
      <c r="N98" s="1200"/>
      <c r="O98" s="1200"/>
      <c r="P98" s="1200"/>
      <c r="Q98" s="1200"/>
      <c r="R98" s="1200"/>
      <c r="S98" s="1200"/>
      <c r="T98" s="1200"/>
      <c r="U98" s="1200"/>
      <c r="V98" s="1200"/>
      <c r="W98" s="1200"/>
      <c r="X98" s="1200"/>
      <c r="Y98" s="1200"/>
      <c r="Z98" s="1200"/>
      <c r="AA98" s="1200"/>
      <c r="AB98" s="1200"/>
      <c r="AC98" s="1200"/>
      <c r="AD98" s="1200"/>
      <c r="AE98" s="1200"/>
      <c r="AF98" s="1200"/>
      <c r="AG98" s="1200"/>
      <c r="AH98" s="1200"/>
      <c r="AI98" s="1200"/>
      <c r="AJ98" s="1200"/>
      <c r="AK98" s="1200"/>
      <c r="AL98" s="1200"/>
      <c r="AM98" s="1200"/>
      <c r="AN98" s="1200"/>
      <c r="AO98" s="1200"/>
      <c r="AP98" s="1200"/>
      <c r="AQ98" s="1200"/>
      <c r="AR98" s="1200"/>
      <c r="AS98" s="1200"/>
      <c r="AT98" s="1200"/>
      <c r="AU98" s="1200"/>
      <c r="AV98" s="1200"/>
      <c r="AW98" s="1200"/>
      <c r="AX98" s="1200"/>
      <c r="AY98" s="1201"/>
    </row>
    <row r="99" spans="1:51" x14ac:dyDescent="0.3">
      <c r="A99" s="1174" t="s">
        <v>3651</v>
      </c>
      <c r="B99" s="1175"/>
      <c r="C99" s="1175"/>
      <c r="D99" s="1175"/>
      <c r="E99" s="1175"/>
      <c r="F99" s="1175"/>
      <c r="G99" s="1175"/>
      <c r="H99" s="1175"/>
      <c r="I99" s="1175"/>
      <c r="J99" s="1175"/>
      <c r="K99" s="1175"/>
      <c r="L99" s="1175"/>
      <c r="M99" s="1175"/>
      <c r="N99" s="1175"/>
      <c r="O99" s="1175"/>
      <c r="P99" s="1175"/>
      <c r="Q99" s="1175"/>
      <c r="R99" s="1175"/>
      <c r="S99" s="1175"/>
      <c r="T99" s="1175"/>
      <c r="U99" s="1175"/>
      <c r="V99" s="1175"/>
      <c r="W99" s="1175"/>
      <c r="X99" s="1175"/>
      <c r="Y99" s="1175"/>
      <c r="Z99" s="1175"/>
      <c r="AA99" s="1175"/>
      <c r="AB99" s="1175"/>
      <c r="AC99" s="1175"/>
      <c r="AD99" s="1175"/>
      <c r="AE99" s="1175"/>
      <c r="AF99" s="1175"/>
      <c r="AG99" s="1175"/>
      <c r="AH99" s="1175"/>
      <c r="AI99" s="1175"/>
      <c r="AJ99" s="1175"/>
      <c r="AK99" s="1175"/>
      <c r="AL99" s="1175"/>
      <c r="AM99" s="1175"/>
      <c r="AN99" s="1175"/>
      <c r="AO99" s="1175"/>
      <c r="AP99" s="1175"/>
      <c r="AQ99" s="1175"/>
      <c r="AR99" s="1175"/>
      <c r="AS99" s="1175"/>
      <c r="AT99" s="1175"/>
      <c r="AU99" s="1175"/>
      <c r="AV99" s="1175"/>
      <c r="AW99" s="1175"/>
      <c r="AX99" s="1175"/>
      <c r="AY99" s="1176"/>
    </row>
    <row r="100" spans="1:51" x14ac:dyDescent="0.3">
      <c r="A100" s="1171" t="s">
        <v>3652</v>
      </c>
      <c r="B100" s="1200"/>
      <c r="C100" s="1200"/>
      <c r="D100" s="1200"/>
      <c r="E100" s="1200"/>
      <c r="F100" s="1200"/>
      <c r="G100" s="1200"/>
      <c r="H100" s="1200"/>
      <c r="I100" s="1200"/>
      <c r="J100" s="1200"/>
      <c r="K100" s="1200"/>
      <c r="L100" s="1200"/>
      <c r="M100" s="1200"/>
      <c r="N100" s="1200"/>
      <c r="O100" s="1200"/>
      <c r="P100" s="1200"/>
      <c r="Q100" s="1200"/>
      <c r="R100" s="1200"/>
      <c r="S100" s="1200"/>
      <c r="T100" s="1200"/>
      <c r="U100" s="1200"/>
      <c r="V100" s="1200"/>
      <c r="W100" s="1200"/>
      <c r="X100" s="1200"/>
      <c r="Y100" s="1200"/>
      <c r="Z100" s="1200"/>
      <c r="AA100" s="1200"/>
      <c r="AB100" s="1200"/>
      <c r="AC100" s="1200"/>
      <c r="AD100" s="1200"/>
      <c r="AE100" s="1200"/>
      <c r="AF100" s="1200"/>
      <c r="AG100" s="1200"/>
      <c r="AH100" s="1200"/>
      <c r="AI100" s="1200"/>
      <c r="AJ100" s="1200"/>
      <c r="AK100" s="1200"/>
      <c r="AL100" s="1200"/>
      <c r="AM100" s="1200"/>
      <c r="AN100" s="1200"/>
      <c r="AO100" s="1200"/>
      <c r="AP100" s="1200"/>
      <c r="AQ100" s="1200"/>
      <c r="AR100" s="1200"/>
      <c r="AS100" s="1200"/>
      <c r="AT100" s="1200"/>
      <c r="AU100" s="1200"/>
      <c r="AV100" s="1200"/>
      <c r="AW100" s="1200"/>
      <c r="AX100" s="1200"/>
      <c r="AY100" s="1201"/>
    </row>
    <row r="101" spans="1:51" x14ac:dyDescent="0.3">
      <c r="A101" s="1174" t="s">
        <v>3653</v>
      </c>
      <c r="B101" s="1175"/>
      <c r="C101" s="1175"/>
      <c r="D101" s="1175"/>
      <c r="E101" s="1175"/>
      <c r="F101" s="1175"/>
      <c r="G101" s="1175"/>
      <c r="H101" s="1175"/>
      <c r="I101" s="1175"/>
      <c r="J101" s="1175"/>
      <c r="K101" s="1175"/>
      <c r="L101" s="1175"/>
      <c r="M101" s="1175"/>
      <c r="N101" s="1175"/>
      <c r="O101" s="1175"/>
      <c r="P101" s="1175"/>
      <c r="Q101" s="1175"/>
      <c r="R101" s="1175"/>
      <c r="S101" s="1175"/>
      <c r="T101" s="1175"/>
      <c r="U101" s="1175"/>
      <c r="V101" s="1175"/>
      <c r="W101" s="1175"/>
      <c r="X101" s="1175"/>
      <c r="Y101" s="1175"/>
      <c r="Z101" s="1175"/>
      <c r="AA101" s="1175"/>
      <c r="AB101" s="1175"/>
      <c r="AC101" s="1175"/>
      <c r="AD101" s="1175"/>
      <c r="AE101" s="1175"/>
      <c r="AF101" s="1175"/>
      <c r="AG101" s="1175"/>
      <c r="AH101" s="1175"/>
      <c r="AI101" s="1175"/>
      <c r="AJ101" s="1175"/>
      <c r="AK101" s="1175"/>
      <c r="AL101" s="1175"/>
      <c r="AM101" s="1175"/>
      <c r="AN101" s="1175"/>
      <c r="AO101" s="1175"/>
      <c r="AP101" s="1175"/>
      <c r="AQ101" s="1175"/>
      <c r="AR101" s="1175"/>
      <c r="AS101" s="1175"/>
      <c r="AT101" s="1175"/>
      <c r="AU101" s="1175"/>
      <c r="AV101" s="1175"/>
      <c r="AW101" s="1175"/>
      <c r="AX101" s="1175"/>
      <c r="AY101" s="1176"/>
    </row>
    <row r="102" spans="1:51" x14ac:dyDescent="0.3">
      <c r="A102" s="1171" t="s">
        <v>3654</v>
      </c>
      <c r="B102" s="1200"/>
      <c r="C102" s="1200"/>
      <c r="D102" s="1200"/>
      <c r="E102" s="1200"/>
      <c r="F102" s="1200"/>
      <c r="G102" s="1200"/>
      <c r="H102" s="1200"/>
      <c r="I102" s="1200"/>
      <c r="J102" s="1200"/>
      <c r="K102" s="1200"/>
      <c r="L102" s="1200"/>
      <c r="M102" s="1200"/>
      <c r="N102" s="1200"/>
      <c r="O102" s="1200"/>
      <c r="P102" s="1200"/>
      <c r="Q102" s="1200"/>
      <c r="R102" s="1200"/>
      <c r="S102" s="1200"/>
      <c r="T102" s="1200"/>
      <c r="U102" s="1200"/>
      <c r="V102" s="1200"/>
      <c r="W102" s="1200"/>
      <c r="X102" s="1200"/>
      <c r="Y102" s="1200"/>
      <c r="Z102" s="1200"/>
      <c r="AA102" s="1200"/>
      <c r="AB102" s="1200"/>
      <c r="AC102" s="1200"/>
      <c r="AD102" s="1200"/>
      <c r="AE102" s="1200"/>
      <c r="AF102" s="1200"/>
      <c r="AG102" s="1200"/>
      <c r="AH102" s="1200"/>
      <c r="AI102" s="1200"/>
      <c r="AJ102" s="1200"/>
      <c r="AK102" s="1200"/>
      <c r="AL102" s="1200"/>
      <c r="AM102" s="1200"/>
      <c r="AN102" s="1200"/>
      <c r="AO102" s="1200"/>
      <c r="AP102" s="1200"/>
      <c r="AQ102" s="1200"/>
      <c r="AR102" s="1200"/>
      <c r="AS102" s="1200"/>
      <c r="AT102" s="1200"/>
      <c r="AU102" s="1200"/>
      <c r="AV102" s="1200"/>
      <c r="AW102" s="1200"/>
      <c r="AX102" s="1200"/>
      <c r="AY102" s="1201"/>
    </row>
    <row r="103" spans="1:51" x14ac:dyDescent="0.3">
      <c r="A103" s="1174" t="s">
        <v>3655</v>
      </c>
      <c r="B103" s="1175"/>
      <c r="C103" s="1175"/>
      <c r="D103" s="1175"/>
      <c r="E103" s="1175"/>
      <c r="F103" s="1175"/>
      <c r="G103" s="1175"/>
      <c r="H103" s="1175"/>
      <c r="I103" s="1175"/>
      <c r="J103" s="1175"/>
      <c r="K103" s="1175"/>
      <c r="L103" s="1175"/>
      <c r="M103" s="1175"/>
      <c r="N103" s="1175"/>
      <c r="O103" s="1175"/>
      <c r="P103" s="1175"/>
      <c r="Q103" s="1175"/>
      <c r="R103" s="1175"/>
      <c r="S103" s="1175"/>
      <c r="T103" s="1175"/>
      <c r="U103" s="1175"/>
      <c r="V103" s="1175"/>
      <c r="W103" s="1175"/>
      <c r="X103" s="1175"/>
      <c r="Y103" s="1175"/>
      <c r="Z103" s="1175"/>
      <c r="AA103" s="1175"/>
      <c r="AB103" s="1175"/>
      <c r="AC103" s="1175"/>
      <c r="AD103" s="1175"/>
      <c r="AE103" s="1175"/>
      <c r="AF103" s="1175"/>
      <c r="AG103" s="1175"/>
      <c r="AH103" s="1175"/>
      <c r="AI103" s="1175"/>
      <c r="AJ103" s="1175"/>
      <c r="AK103" s="1175"/>
      <c r="AL103" s="1175"/>
      <c r="AM103" s="1175"/>
      <c r="AN103" s="1175"/>
      <c r="AO103" s="1175"/>
      <c r="AP103" s="1175"/>
      <c r="AQ103" s="1175"/>
      <c r="AR103" s="1175"/>
      <c r="AS103" s="1175"/>
      <c r="AT103" s="1175"/>
      <c r="AU103" s="1175"/>
      <c r="AV103" s="1175"/>
      <c r="AW103" s="1175"/>
      <c r="AX103" s="1175"/>
      <c r="AY103" s="1176"/>
    </row>
    <row r="104" spans="1:51" x14ac:dyDescent="0.3">
      <c r="A104" s="1171" t="s">
        <v>3656</v>
      </c>
      <c r="B104" s="1200"/>
      <c r="C104" s="1200"/>
      <c r="D104" s="1200"/>
      <c r="E104" s="1200"/>
      <c r="F104" s="1200"/>
      <c r="G104" s="1200"/>
      <c r="H104" s="1200"/>
      <c r="I104" s="1200"/>
      <c r="J104" s="1200"/>
      <c r="K104" s="1200"/>
      <c r="L104" s="1200"/>
      <c r="M104" s="1200"/>
      <c r="N104" s="1200"/>
      <c r="O104" s="1200"/>
      <c r="P104" s="1200"/>
      <c r="Q104" s="1200"/>
      <c r="R104" s="1200"/>
      <c r="S104" s="1200"/>
      <c r="T104" s="1200"/>
      <c r="U104" s="1200"/>
      <c r="V104" s="1200"/>
      <c r="W104" s="1200"/>
      <c r="X104" s="1200"/>
      <c r="Y104" s="1200"/>
      <c r="Z104" s="1200"/>
      <c r="AA104" s="1200"/>
      <c r="AB104" s="1200"/>
      <c r="AC104" s="1200"/>
      <c r="AD104" s="1200"/>
      <c r="AE104" s="1200"/>
      <c r="AF104" s="1200"/>
      <c r="AG104" s="1200"/>
      <c r="AH104" s="1200"/>
      <c r="AI104" s="1200"/>
      <c r="AJ104" s="1200"/>
      <c r="AK104" s="1200"/>
      <c r="AL104" s="1200"/>
      <c r="AM104" s="1200"/>
      <c r="AN104" s="1200"/>
      <c r="AO104" s="1200"/>
      <c r="AP104" s="1200"/>
      <c r="AQ104" s="1200"/>
      <c r="AR104" s="1200"/>
      <c r="AS104" s="1200"/>
      <c r="AT104" s="1200"/>
      <c r="AU104" s="1200"/>
      <c r="AV104" s="1200"/>
      <c r="AW104" s="1200"/>
      <c r="AX104" s="1200"/>
      <c r="AY104" s="1201"/>
    </row>
    <row r="105" spans="1:51" x14ac:dyDescent="0.3">
      <c r="A105" s="1174" t="s">
        <v>3657</v>
      </c>
      <c r="B105" s="1175"/>
      <c r="C105" s="1175"/>
      <c r="D105" s="1175"/>
      <c r="E105" s="1175"/>
      <c r="F105" s="1175"/>
      <c r="G105" s="1175"/>
      <c r="H105" s="1175"/>
      <c r="I105" s="1175"/>
      <c r="J105" s="1175"/>
      <c r="K105" s="1175"/>
      <c r="L105" s="1175"/>
      <c r="M105" s="1175"/>
      <c r="N105" s="1175"/>
      <c r="O105" s="1175"/>
      <c r="P105" s="1175"/>
      <c r="Q105" s="1175"/>
      <c r="R105" s="1175"/>
      <c r="S105" s="1175"/>
      <c r="T105" s="1175"/>
      <c r="U105" s="1175"/>
      <c r="V105" s="1175"/>
      <c r="W105" s="1175"/>
      <c r="X105" s="1175"/>
      <c r="Y105" s="1175"/>
      <c r="Z105" s="1175"/>
      <c r="AA105" s="1175"/>
      <c r="AB105" s="1175"/>
      <c r="AC105" s="1175"/>
      <c r="AD105" s="1175"/>
      <c r="AE105" s="1175"/>
      <c r="AF105" s="1175"/>
      <c r="AG105" s="1175"/>
      <c r="AH105" s="1175"/>
      <c r="AI105" s="1175"/>
      <c r="AJ105" s="1175"/>
      <c r="AK105" s="1175"/>
      <c r="AL105" s="1175"/>
      <c r="AM105" s="1175"/>
      <c r="AN105" s="1175"/>
      <c r="AO105" s="1175"/>
      <c r="AP105" s="1175"/>
      <c r="AQ105" s="1175"/>
      <c r="AR105" s="1175"/>
      <c r="AS105" s="1175"/>
      <c r="AT105" s="1175"/>
      <c r="AU105" s="1175"/>
      <c r="AV105" s="1175"/>
      <c r="AW105" s="1175"/>
      <c r="AX105" s="1175"/>
      <c r="AY105" s="1176"/>
    </row>
    <row r="106" spans="1:51" x14ac:dyDescent="0.3">
      <c r="A106" s="1171" t="s">
        <v>3658</v>
      </c>
      <c r="B106" s="1200"/>
      <c r="C106" s="1200"/>
      <c r="D106" s="1200"/>
      <c r="E106" s="1200"/>
      <c r="F106" s="1200"/>
      <c r="G106" s="1200"/>
      <c r="H106" s="1200"/>
      <c r="I106" s="1200"/>
      <c r="J106" s="1200"/>
      <c r="K106" s="1200"/>
      <c r="L106" s="1200"/>
      <c r="M106" s="1200"/>
      <c r="N106" s="1200"/>
      <c r="O106" s="1200"/>
      <c r="P106" s="1200"/>
      <c r="Q106" s="1200"/>
      <c r="R106" s="1200"/>
      <c r="S106" s="1200"/>
      <c r="T106" s="1200"/>
      <c r="U106" s="1200"/>
      <c r="V106" s="1200"/>
      <c r="W106" s="1200"/>
      <c r="X106" s="1200"/>
      <c r="Y106" s="1200"/>
      <c r="Z106" s="1200"/>
      <c r="AA106" s="1200"/>
      <c r="AB106" s="1200"/>
      <c r="AC106" s="1200"/>
      <c r="AD106" s="1200"/>
      <c r="AE106" s="1200"/>
      <c r="AF106" s="1200"/>
      <c r="AG106" s="1200"/>
      <c r="AH106" s="1200"/>
      <c r="AI106" s="1200"/>
      <c r="AJ106" s="1200"/>
      <c r="AK106" s="1200"/>
      <c r="AL106" s="1200"/>
      <c r="AM106" s="1200"/>
      <c r="AN106" s="1200"/>
      <c r="AO106" s="1200"/>
      <c r="AP106" s="1200"/>
      <c r="AQ106" s="1200"/>
      <c r="AR106" s="1200"/>
      <c r="AS106" s="1200"/>
      <c r="AT106" s="1200"/>
      <c r="AU106" s="1200"/>
      <c r="AV106" s="1200"/>
      <c r="AW106" s="1200"/>
      <c r="AX106" s="1200"/>
      <c r="AY106" s="1201"/>
    </row>
    <row r="107" spans="1:51" x14ac:dyDescent="0.3">
      <c r="A107" s="1202" t="s">
        <v>3659</v>
      </c>
      <c r="B107" s="1195"/>
      <c r="C107" s="1195"/>
      <c r="D107" s="1195"/>
      <c r="E107" s="1195"/>
      <c r="F107" s="1195"/>
      <c r="G107" s="1195"/>
      <c r="H107" s="1195"/>
      <c r="I107" s="1195"/>
      <c r="J107" s="1195"/>
      <c r="K107" s="1195"/>
      <c r="L107" s="1195"/>
      <c r="M107" s="1195"/>
      <c r="N107" s="1195"/>
      <c r="O107" s="1195"/>
      <c r="P107" s="1195"/>
      <c r="Q107" s="1195"/>
      <c r="R107" s="1195"/>
      <c r="S107" s="1195"/>
      <c r="T107" s="1195"/>
      <c r="U107" s="1195"/>
      <c r="V107" s="1195"/>
      <c r="W107" s="1195"/>
      <c r="X107" s="1195"/>
      <c r="Y107" s="1195"/>
      <c r="Z107" s="1195"/>
      <c r="AA107" s="1195"/>
      <c r="AB107" s="1195"/>
      <c r="AC107" s="1195"/>
      <c r="AD107" s="1195"/>
      <c r="AE107" s="1195"/>
      <c r="AF107" s="1195"/>
      <c r="AG107" s="1195"/>
      <c r="AH107" s="1195"/>
      <c r="AI107" s="1195"/>
      <c r="AJ107" s="1195"/>
      <c r="AK107" s="1195"/>
      <c r="AL107" s="1195"/>
      <c r="AM107" s="1195"/>
      <c r="AN107" s="1195"/>
      <c r="AO107" s="1195"/>
      <c r="AP107" s="1195"/>
      <c r="AQ107" s="1195"/>
      <c r="AR107" s="1195"/>
      <c r="AS107" s="1195"/>
      <c r="AT107" s="1195"/>
      <c r="AU107" s="1195"/>
      <c r="AV107" s="1195"/>
      <c r="AW107" s="1195"/>
      <c r="AX107" s="1195"/>
      <c r="AY107" s="1196"/>
    </row>
    <row r="108" spans="1:51" ht="15" thickBot="1" x14ac:dyDescent="0.35">
      <c r="A108" s="1203" t="s">
        <v>3660</v>
      </c>
      <c r="B108" s="1204"/>
      <c r="C108" s="1204"/>
      <c r="D108" s="1204"/>
      <c r="E108" s="1204"/>
      <c r="F108" s="1204"/>
      <c r="G108" s="1204"/>
      <c r="H108" s="1204"/>
      <c r="I108" s="1204"/>
      <c r="J108" s="1204"/>
      <c r="K108" s="1204"/>
      <c r="L108" s="1204"/>
      <c r="M108" s="1204"/>
      <c r="N108" s="1204"/>
      <c r="O108" s="1204"/>
      <c r="P108" s="1204"/>
      <c r="Q108" s="1204"/>
      <c r="R108" s="1204"/>
      <c r="S108" s="1204"/>
      <c r="T108" s="1204"/>
      <c r="U108" s="1204"/>
      <c r="V108" s="1204"/>
      <c r="W108" s="1204"/>
      <c r="X108" s="1204"/>
      <c r="Y108" s="1204"/>
      <c r="Z108" s="1204"/>
      <c r="AA108" s="1204"/>
      <c r="AB108" s="1204"/>
      <c r="AC108" s="1204"/>
      <c r="AD108" s="1204"/>
      <c r="AE108" s="1204"/>
      <c r="AF108" s="1204"/>
      <c r="AG108" s="1204"/>
      <c r="AH108" s="1204"/>
      <c r="AI108" s="1204"/>
      <c r="AJ108" s="1204"/>
      <c r="AK108" s="1204"/>
      <c r="AL108" s="1204"/>
      <c r="AM108" s="1204"/>
      <c r="AN108" s="1204"/>
      <c r="AO108" s="1204"/>
      <c r="AP108" s="1204"/>
      <c r="AQ108" s="1204"/>
      <c r="AR108" s="1204"/>
      <c r="AS108" s="1204"/>
      <c r="AT108" s="1204"/>
      <c r="AU108" s="1204"/>
      <c r="AV108" s="1204"/>
      <c r="AW108" s="1204"/>
      <c r="AX108" s="1204"/>
      <c r="AY108" s="1205"/>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209" t="str">
        <f>template_label_unit_of_measurement_converter</f>
        <v>UNIT OF MEASUREMENT CONVERTER</v>
      </c>
      <c r="B1" s="1210"/>
      <c r="C1" s="1211"/>
    </row>
    <row r="2" spans="1:7" s="10" customFormat="1" ht="15" thickTop="1" x14ac:dyDescent="0.3">
      <c r="A2" s="18"/>
      <c r="B2" s="18"/>
      <c r="C2" s="18"/>
    </row>
    <row r="3" spans="1:7" ht="15" thickBot="1" x14ac:dyDescent="0.35">
      <c r="A3" s="10"/>
      <c r="B3" s="10"/>
      <c r="C3" s="10"/>
      <c r="D3" s="10"/>
    </row>
    <row r="4" spans="1:7" ht="15" thickBot="1" x14ac:dyDescent="0.35">
      <c r="A4" s="1206" t="str">
        <f>template_label_unit_of_measurement_of_mass_converter</f>
        <v>Unit of measurement of Mass Converter</v>
      </c>
      <c r="B4" s="1207"/>
      <c r="C4" s="1207"/>
      <c r="D4" s="1207"/>
      <c r="E4" s="50"/>
      <c r="G4" s="457" t="str">
        <f>template_label_usage_of_unit_of_measurement_converter</f>
        <v>Usage of Unit of Measurement Converter</v>
      </c>
    </row>
    <row r="5" spans="1:7" ht="15" thickBot="1" x14ac:dyDescent="0.35">
      <c r="A5" s="43" t="str">
        <f>template_label_from_capital_case</f>
        <v xml:space="preserve">From </v>
      </c>
      <c r="B5" s="175"/>
      <c r="C5" s="44" t="str">
        <f>template_label_to</f>
        <v>to</v>
      </c>
      <c r="D5" s="175"/>
      <c r="G5" s="398" t="str">
        <f>template_label_steps_to_follow_for_the_mass_table</f>
        <v>Steps to follow for the Mass table:</v>
      </c>
    </row>
    <row r="6" spans="1:7" ht="15" thickBot="1" x14ac:dyDescent="0.35">
      <c r="A6" s="10"/>
      <c r="B6" s="190"/>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56"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456" t="str">
        <f>template_label_2_then_in_the_cell_b6_the_amount_of_mass_can_be_inserted</f>
        <v>2. Then in the cell B6 the amount of mass can be inserted.</v>
      </c>
    </row>
    <row r="8" spans="1:7" s="10" customFormat="1" ht="15" thickBot="1" x14ac:dyDescent="0.35">
      <c r="A8" s="1206" t="str">
        <f>template_label_unit_of_measurement_of_volume_converter</f>
        <v>Unit of measurement of Volume Converter</v>
      </c>
      <c r="B8" s="1207"/>
      <c r="C8" s="1207"/>
      <c r="D8" s="1208"/>
      <c r="G8" s="456"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75"/>
      <c r="C9" s="44" t="str">
        <f>template_label_to</f>
        <v>to</v>
      </c>
      <c r="D9" s="175"/>
      <c r="G9" s="456" t="str">
        <f>template_label_4_the_outcome_of_the_conversion_will_be_displayed_in_the_cell_d6</f>
        <v>4. The outcome of the conversion will be displayed in the cell D6.</v>
      </c>
    </row>
    <row r="10" spans="1:7" s="10" customFormat="1" ht="15" thickBot="1" x14ac:dyDescent="0.35">
      <c r="B10" s="190"/>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206" t="str">
        <f>template_label_unit_of_measurement_of_energy_consumption_per_hour</f>
        <v>Unit of measurement of Energy Consumption per Hour</v>
      </c>
      <c r="B12" s="1207"/>
      <c r="C12" s="1207"/>
      <c r="D12" s="1208"/>
      <c r="G12" s="398" t="str">
        <f>template_label_unit_of_measurement_of_mass_converter_list</f>
        <v>▪ Unit of measurement of Mass Converter:</v>
      </c>
    </row>
    <row r="13" spans="1:7" s="10" customFormat="1" ht="15" thickBot="1" x14ac:dyDescent="0.35">
      <c r="A13" s="43" t="str">
        <f>template_label_from_capital_case</f>
        <v xml:space="preserve">From </v>
      </c>
      <c r="B13" s="175"/>
      <c r="C13" s="44" t="str">
        <f>template_label_to</f>
        <v>to</v>
      </c>
      <c r="D13" s="175"/>
      <c r="G13" s="456" t="s">
        <v>4520</v>
      </c>
    </row>
    <row r="14" spans="1:7" s="10" customFormat="1" ht="15" thickBot="1" x14ac:dyDescent="0.35">
      <c r="B14" s="190"/>
      <c r="D14" s="21" t="str">
        <f>IF(OR(B13="",B14="",D13=""),"-",
IF(AND(B13="MWh - Megawatt hours",D13="MWh - Megawatt hours"),B14*1,
IF(AND(B13="TJ - Terajoule",D13="TJ - Terajoule"),B14*1,
IF(AND(B13="TJ - Terajoule",D13="MWh - Megawatt hours"),B14*277.778,
IF(AND(B13="MWh - Megawatt hours",D13="MWh - Megawatt hours"),B14/277.778,
"")))))</f>
        <v>-</v>
      </c>
      <c r="G14" s="456" t="s">
        <v>4521</v>
      </c>
    </row>
    <row r="15" spans="1:7" s="10" customFormat="1" ht="15" thickBot="1" x14ac:dyDescent="0.35">
      <c r="G15" s="456" t="s">
        <v>4522</v>
      </c>
    </row>
    <row r="16" spans="1:7" s="10" customFormat="1" ht="15" thickBot="1" x14ac:dyDescent="0.35">
      <c r="A16" s="1206" t="str">
        <f>template_label_unit_of_measurement_of_density_converter</f>
        <v>Unit of measurement of Density Converter</v>
      </c>
      <c r="B16" s="1207"/>
      <c r="C16" s="1207"/>
      <c r="D16" s="1208"/>
      <c r="G16" s="456" t="s">
        <v>4523</v>
      </c>
    </row>
    <row r="17" spans="1:7" s="10" customFormat="1" ht="15" thickBot="1" x14ac:dyDescent="0.35">
      <c r="A17" s="43" t="str">
        <f>template_label_from_capital_case</f>
        <v xml:space="preserve">From </v>
      </c>
      <c r="B17" s="175"/>
      <c r="C17" s="44" t="str">
        <f>template_label_to</f>
        <v>to</v>
      </c>
      <c r="D17" s="175"/>
      <c r="G17" s="398" t="str">
        <f>template_label_unit_of_measurement_of_volume_converter_list</f>
        <v>▪ Unit of measurement of Volume Converter:</v>
      </c>
    </row>
    <row r="18" spans="1:7" s="10" customFormat="1" ht="15" thickBot="1" x14ac:dyDescent="0.35">
      <c r="B18" s="190"/>
      <c r="D18" s="21" t="str">
        <f>IF(OR(B17="",B16="",D17=""), "-", B18 * INDEX('Fuel Conversion Parameters'!L2:S9, MATCH(B17, 'Fuel Conversion Parameters'!K2:K9, 0), MATCH(D17, 'Fuel Conversion Parameters'!L1:S1, 0)))</f>
        <v>-</v>
      </c>
      <c r="G18" s="456" t="s">
        <v>4524</v>
      </c>
    </row>
    <row r="19" spans="1:7" s="10" customFormat="1" ht="15" thickBot="1" x14ac:dyDescent="0.35">
      <c r="G19" s="456" t="s">
        <v>4525</v>
      </c>
    </row>
    <row r="20" spans="1:7" s="10" customFormat="1" ht="15" customHeight="1" thickBot="1" x14ac:dyDescent="0.35">
      <c r="A20" s="1206" t="str">
        <f>template_label_unit_of_measurement_of_ncv_converter</f>
        <v>Unit of measurement of NCV Converter</v>
      </c>
      <c r="B20" s="1207"/>
      <c r="C20" s="1207"/>
      <c r="D20" s="1208"/>
      <c r="G20" s="398" t="str">
        <f>template_label_unit_of_measurement_of_energy_converter_list</f>
        <v>▪ Unit of measurement of Energy Converter:</v>
      </c>
    </row>
    <row r="21" spans="1:7" s="10" customFormat="1" ht="15" thickBot="1" x14ac:dyDescent="0.35">
      <c r="A21" s="43" t="str">
        <f>template_label_from_capital_case</f>
        <v xml:space="preserve">From </v>
      </c>
      <c r="B21" s="175"/>
      <c r="C21" s="44" t="str">
        <f>template_label_to</f>
        <v>to</v>
      </c>
      <c r="D21" s="175"/>
      <c r="G21" s="456" t="s">
        <v>4526</v>
      </c>
    </row>
    <row r="22" spans="1:7" s="10" customFormat="1" ht="15" thickBot="1" x14ac:dyDescent="0.35">
      <c r="B22" s="190"/>
      <c r="D22" s="24" t="str">
        <f>IF(OR(B21="",B22="",D21=""), "-", B22 * INDEX('Fuel Conversion Parameters'!V2:AK13, MATCH(B21, 'Fuel Conversion Parameters'!U2:U13, 0), MATCH(D21, 'Fuel Conversion Parameters'!V1:AK1, 0)))</f>
        <v>-</v>
      </c>
      <c r="G22" s="456" t="s">
        <v>4527</v>
      </c>
    </row>
    <row r="23" spans="1:7" s="10" customFormat="1" x14ac:dyDescent="0.3">
      <c r="G23" s="398" t="str">
        <f>template_label_unit_of_measurement_of_density_converter_list</f>
        <v>▪ Unit of measurement of Density Converter:</v>
      </c>
    </row>
    <row r="24" spans="1:7" s="10" customFormat="1" x14ac:dyDescent="0.3">
      <c r="G24" s="456" t="s">
        <v>2940</v>
      </c>
    </row>
    <row r="25" spans="1:7" s="10" customFormat="1" x14ac:dyDescent="0.3">
      <c r="G25" s="456" t="s">
        <v>2941</v>
      </c>
    </row>
    <row r="26" spans="1:7" s="10" customFormat="1" x14ac:dyDescent="0.3">
      <c r="G26" s="456" t="s">
        <v>2942</v>
      </c>
    </row>
    <row r="27" spans="1:7" s="10" customFormat="1" x14ac:dyDescent="0.3">
      <c r="G27" s="456" t="s">
        <v>2943</v>
      </c>
    </row>
    <row r="28" spans="1:7" s="10" customFormat="1" x14ac:dyDescent="0.3">
      <c r="G28" s="456" t="s">
        <v>2944</v>
      </c>
    </row>
    <row r="29" spans="1:7" s="10" customFormat="1" x14ac:dyDescent="0.3">
      <c r="G29" s="456" t="s">
        <v>2945</v>
      </c>
    </row>
    <row r="30" spans="1:7" s="10" customFormat="1" x14ac:dyDescent="0.3">
      <c r="G30" s="456" t="s">
        <v>2946</v>
      </c>
    </row>
    <row r="31" spans="1:7" s="10" customFormat="1" x14ac:dyDescent="0.3">
      <c r="G31" s="456" t="s">
        <v>2947</v>
      </c>
    </row>
    <row r="32" spans="1:7" s="10" customFormat="1" x14ac:dyDescent="0.3">
      <c r="G32" s="398" t="str">
        <f>template_label_unit_of_measurement_of_ncv_converter_list</f>
        <v>▪ Unit of measurement of NCV Converter:</v>
      </c>
    </row>
    <row r="33" spans="7:7" s="10" customFormat="1" x14ac:dyDescent="0.3">
      <c r="G33" s="456" t="s">
        <v>2948</v>
      </c>
    </row>
    <row r="34" spans="7:7" s="10" customFormat="1" x14ac:dyDescent="0.3">
      <c r="G34" s="456" t="s">
        <v>2949</v>
      </c>
    </row>
    <row r="35" spans="7:7" s="10" customFormat="1" x14ac:dyDescent="0.3">
      <c r="G35" s="456" t="s">
        <v>2950</v>
      </c>
    </row>
    <row r="36" spans="7:7" s="10" customFormat="1" x14ac:dyDescent="0.3">
      <c r="G36" s="456" t="s">
        <v>2951</v>
      </c>
    </row>
    <row r="37" spans="7:7" s="10" customFormat="1" x14ac:dyDescent="0.3">
      <c r="G37" s="456" t="s">
        <v>3020</v>
      </c>
    </row>
    <row r="38" spans="7:7" s="10" customFormat="1" x14ac:dyDescent="0.3">
      <c r="G38" s="456" t="s">
        <v>3021</v>
      </c>
    </row>
    <row r="39" spans="7:7" s="10" customFormat="1" x14ac:dyDescent="0.3">
      <c r="G39" s="456" t="s">
        <v>3022</v>
      </c>
    </row>
    <row r="40" spans="7:7" s="10" customFormat="1" x14ac:dyDescent="0.3">
      <c r="G40" s="456" t="s">
        <v>3023</v>
      </c>
    </row>
    <row r="41" spans="7:7" s="10" customFormat="1" x14ac:dyDescent="0.3">
      <c r="G41" s="456" t="s">
        <v>2952</v>
      </c>
    </row>
    <row r="42" spans="7:7" s="10" customFormat="1" x14ac:dyDescent="0.3">
      <c r="G42" s="456" t="s">
        <v>2953</v>
      </c>
    </row>
    <row r="43" spans="7:7" s="10" customFormat="1" x14ac:dyDescent="0.3">
      <c r="G43" s="456" t="s">
        <v>2954</v>
      </c>
    </row>
    <row r="44" spans="7:7" s="10" customFormat="1" x14ac:dyDescent="0.3">
      <c r="G44" s="456" t="s">
        <v>2955</v>
      </c>
    </row>
    <row r="45" spans="7:7" s="10" customFormat="1" x14ac:dyDescent="0.3">
      <c r="G45" s="456" t="s">
        <v>2956</v>
      </c>
    </row>
    <row r="46" spans="7:7" s="10" customFormat="1" x14ac:dyDescent="0.3">
      <c r="G46" s="456" t="s">
        <v>2957</v>
      </c>
    </row>
    <row r="47" spans="7:7" s="10" customFormat="1" x14ac:dyDescent="0.3">
      <c r="G47" s="456" t="s">
        <v>2958</v>
      </c>
    </row>
    <row r="48" spans="7:7" s="10" customFormat="1" x14ac:dyDescent="0.3">
      <c r="G48" s="456" t="s">
        <v>2959</v>
      </c>
    </row>
    <row r="49" spans="7:7" s="10" customFormat="1" x14ac:dyDescent="0.3"/>
    <row r="50" spans="7:7" s="10" customFormat="1" x14ac:dyDescent="0.3">
      <c r="G50" s="455"/>
    </row>
    <row r="51" spans="7:7" s="10" customFormat="1" x14ac:dyDescent="0.3"/>
    <row r="52" spans="7:7" s="10" customFormat="1" x14ac:dyDescent="0.3">
      <c r="G52" s="455"/>
    </row>
    <row r="53" spans="7:7" s="10" customFormat="1" x14ac:dyDescent="0.3"/>
    <row r="54" spans="7:7" s="10" customFormat="1" x14ac:dyDescent="0.3">
      <c r="G54" s="455"/>
    </row>
    <row r="55" spans="7:7" s="10" customFormat="1" x14ac:dyDescent="0.3"/>
    <row r="56" spans="7:7" s="10" customFormat="1" x14ac:dyDescent="0.3">
      <c r="G56" s="455"/>
    </row>
    <row r="57" spans="7:7" s="10" customFormat="1" x14ac:dyDescent="0.3"/>
    <row r="58" spans="7:7" s="10" customFormat="1" x14ac:dyDescent="0.3">
      <c r="G58" s="455"/>
    </row>
    <row r="59" spans="7:7" s="10" customFormat="1" x14ac:dyDescent="0.3"/>
    <row r="60" spans="7:7" s="10" customFormat="1" x14ac:dyDescent="0.3">
      <c r="G60" s="455"/>
    </row>
    <row r="61" spans="7:7" s="10" customFormat="1" x14ac:dyDescent="0.3"/>
    <row r="62" spans="7:7" s="10" customFormat="1" x14ac:dyDescent="0.3">
      <c r="G62" s="455"/>
    </row>
    <row r="63" spans="7:7" s="10" customFormat="1" x14ac:dyDescent="0.3"/>
    <row r="64" spans="7:7" s="10" customFormat="1" x14ac:dyDescent="0.3">
      <c r="G64" s="455"/>
    </row>
    <row r="65" spans="7:7" s="10" customFormat="1" x14ac:dyDescent="0.3"/>
    <row r="66" spans="7:7" s="10" customFormat="1" x14ac:dyDescent="0.3">
      <c r="G66" s="455"/>
    </row>
    <row r="67" spans="7:7" s="10" customFormat="1" x14ac:dyDescent="0.3"/>
    <row r="68" spans="7:7" s="10" customFormat="1" x14ac:dyDescent="0.3">
      <c r="G68" s="455"/>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54" t="s">
        <v>3706</v>
      </c>
    </row>
    <row r="2" spans="1:1" x14ac:dyDescent="0.3">
      <c r="A2" s="255"/>
    </row>
    <row r="3" spans="1:1" x14ac:dyDescent="0.3">
      <c r="A3" s="255" t="s">
        <v>3707</v>
      </c>
    </row>
    <row r="4" spans="1:1" x14ac:dyDescent="0.3">
      <c r="A4" s="255"/>
    </row>
    <row r="5" spans="1:1" x14ac:dyDescent="0.3">
      <c r="A5" s="255" t="s">
        <v>3708</v>
      </c>
    </row>
    <row r="6" spans="1:1" x14ac:dyDescent="0.3">
      <c r="A6" s="255" t="s">
        <v>3709</v>
      </c>
    </row>
    <row r="7" spans="1:1" x14ac:dyDescent="0.3">
      <c r="A7" s="255" t="s">
        <v>3710</v>
      </c>
    </row>
    <row r="8" spans="1:1" x14ac:dyDescent="0.3">
      <c r="A8" s="255" t="s">
        <v>3711</v>
      </c>
    </row>
    <row r="9" spans="1:1" x14ac:dyDescent="0.3">
      <c r="A9" s="255" t="s">
        <v>3712</v>
      </c>
    </row>
    <row r="10" spans="1:1" x14ac:dyDescent="0.3">
      <c r="A10" s="255" t="s">
        <v>3713</v>
      </c>
    </row>
    <row r="11" spans="1:1" x14ac:dyDescent="0.3">
      <c r="A11" s="255"/>
    </row>
    <row r="12" spans="1:1" x14ac:dyDescent="0.3">
      <c r="A12" s="255" t="s">
        <v>3714</v>
      </c>
    </row>
    <row r="13" spans="1:1" x14ac:dyDescent="0.3">
      <c r="A13" s="255" t="s">
        <v>3715</v>
      </c>
    </row>
    <row r="14" spans="1:1" x14ac:dyDescent="0.3">
      <c r="A14" s="255"/>
    </row>
    <row r="15" spans="1:1" x14ac:dyDescent="0.3">
      <c r="A15" s="255" t="s">
        <v>3716</v>
      </c>
    </row>
    <row r="16" spans="1:1" x14ac:dyDescent="0.3">
      <c r="A16" s="255" t="s">
        <v>3717</v>
      </c>
    </row>
    <row r="17" spans="1:1" x14ac:dyDescent="0.3">
      <c r="A17" s="255" t="s">
        <v>3718</v>
      </c>
    </row>
    <row r="18" spans="1:1" x14ac:dyDescent="0.3">
      <c r="A18" s="255" t="s">
        <v>3719</v>
      </c>
    </row>
    <row r="19" spans="1:1" x14ac:dyDescent="0.3">
      <c r="A19" s="255" t="s">
        <v>3720</v>
      </c>
    </row>
    <row r="20" spans="1:1" x14ac:dyDescent="0.3">
      <c r="A20" s="255" t="s">
        <v>3721</v>
      </c>
    </row>
    <row r="21" spans="1:1" ht="15" thickBot="1" x14ac:dyDescent="0.35">
      <c r="A21" s="256" t="s">
        <v>3722</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33203125" customWidth="1"/>
    <col min="30" max="30" width="17.6640625" customWidth="1"/>
  </cols>
  <sheetData>
    <row r="1" spans="1:30" ht="72" x14ac:dyDescent="0.3">
      <c r="A1" s="316" t="s">
        <v>3574</v>
      </c>
      <c r="B1" s="317" t="s">
        <v>40</v>
      </c>
      <c r="C1" s="318" t="s">
        <v>3508</v>
      </c>
      <c r="D1" s="317" t="s">
        <v>2655</v>
      </c>
      <c r="E1" s="6" t="s">
        <v>41</v>
      </c>
      <c r="F1" s="6" t="s">
        <v>42</v>
      </c>
      <c r="G1" s="6" t="s">
        <v>2657</v>
      </c>
      <c r="H1" s="6" t="s">
        <v>3047</v>
      </c>
      <c r="I1" s="293" t="s">
        <v>3777</v>
      </c>
      <c r="J1" s="293" t="s">
        <v>2729</v>
      </c>
      <c r="K1" s="293" t="s">
        <v>4637</v>
      </c>
      <c r="L1" s="6" t="s">
        <v>2755</v>
      </c>
      <c r="M1" s="6" t="s">
        <v>2756</v>
      </c>
      <c r="N1" s="6" t="s">
        <v>16</v>
      </c>
      <c r="O1" s="6" t="s">
        <v>2890</v>
      </c>
      <c r="P1" s="6" t="s">
        <v>2899</v>
      </c>
      <c r="Q1" s="293" t="s">
        <v>2905</v>
      </c>
      <c r="R1" s="6" t="s">
        <v>2888</v>
      </c>
      <c r="S1" s="6" t="s">
        <v>3025</v>
      </c>
      <c r="T1" s="6" t="s">
        <v>3026</v>
      </c>
      <c r="U1" s="6" t="s">
        <v>3045</v>
      </c>
      <c r="V1" s="6" t="s">
        <v>3048</v>
      </c>
      <c r="W1" s="6" t="s">
        <v>3064</v>
      </c>
      <c r="X1" s="6" t="s">
        <v>3026</v>
      </c>
      <c r="Y1" s="319" t="s">
        <v>3070</v>
      </c>
      <c r="Z1" s="320" t="s">
        <v>3096</v>
      </c>
      <c r="AA1" s="319" t="s">
        <v>3560</v>
      </c>
      <c r="AB1" s="321" t="s">
        <v>3099</v>
      </c>
      <c r="AC1" s="11" t="s">
        <v>3677</v>
      </c>
      <c r="AD1" s="11" t="s">
        <v>3679</v>
      </c>
    </row>
    <row r="2" spans="1:30" x14ac:dyDescent="0.3">
      <c r="A2" s="322" t="s">
        <v>43</v>
      </c>
      <c r="B2" t="s">
        <v>2653</v>
      </c>
      <c r="C2" s="323" t="s">
        <v>3111</v>
      </c>
      <c r="D2" t="str">
        <f t="shared" ref="D2:D65" si="0">_xlfn.CONCAT("NACE ", A2)</f>
        <v>NACE All Economic Activities (NACE) / NA [member]</v>
      </c>
      <c r="E2" s="324" t="s">
        <v>44</v>
      </c>
      <c r="F2" t="s">
        <v>45</v>
      </c>
      <c r="G2" t="str">
        <f>RIGHT(F2,2)</f>
        <v>AD</v>
      </c>
      <c r="H2" t="s">
        <v>2656</v>
      </c>
      <c r="I2" t="s">
        <v>2728</v>
      </c>
      <c r="J2" t="s">
        <v>2730</v>
      </c>
      <c r="K2" t="s">
        <v>4638</v>
      </c>
      <c r="L2" t="s">
        <v>2751</v>
      </c>
      <c r="M2" t="s">
        <v>2757</v>
      </c>
      <c r="N2" t="s">
        <v>2877</v>
      </c>
      <c r="O2" t="s">
        <v>2891</v>
      </c>
      <c r="P2" t="s">
        <v>3552</v>
      </c>
      <c r="Q2" t="s">
        <v>2906</v>
      </c>
      <c r="R2" t="s">
        <v>2650</v>
      </c>
      <c r="S2">
        <v>2000</v>
      </c>
      <c r="T2">
        <v>1</v>
      </c>
      <c r="U2" t="s">
        <v>3575</v>
      </c>
      <c r="V2" t="s">
        <v>6468</v>
      </c>
      <c r="W2" s="325">
        <v>1</v>
      </c>
      <c r="X2" t="s">
        <v>3027</v>
      </c>
      <c r="Y2" t="s">
        <v>2757</v>
      </c>
      <c r="Z2" s="38" t="s">
        <v>2732</v>
      </c>
      <c r="AA2" t="s">
        <v>3778</v>
      </c>
      <c r="AB2" s="2" t="s">
        <v>3100</v>
      </c>
      <c r="AC2">
        <v>1</v>
      </c>
      <c r="AD2" t="s">
        <v>3680</v>
      </c>
    </row>
    <row r="3" spans="1:30" ht="28.8" x14ac:dyDescent="0.3">
      <c r="A3" s="324" t="s">
        <v>46</v>
      </c>
      <c r="B3" t="s">
        <v>47</v>
      </c>
      <c r="C3" s="326" t="s">
        <v>3112</v>
      </c>
      <c r="D3" s="324" t="str">
        <f t="shared" si="0"/>
        <v>NACE A - AGRICULTURE, FORESTRY AND FISHING</v>
      </c>
      <c r="E3" s="324" t="s">
        <v>48</v>
      </c>
      <c r="F3" t="s">
        <v>49</v>
      </c>
      <c r="G3" t="str">
        <f t="shared" ref="G3:G66" si="1">RIGHT(F3,2)</f>
        <v>AE</v>
      </c>
      <c r="H3" t="s">
        <v>6468</v>
      </c>
      <c r="I3" t="s">
        <v>2727</v>
      </c>
      <c r="J3" t="s">
        <v>2731</v>
      </c>
      <c r="K3" t="s">
        <v>4659</v>
      </c>
      <c r="L3" t="s">
        <v>2654</v>
      </c>
      <c r="M3" t="s">
        <v>2761</v>
      </c>
      <c r="N3" t="s">
        <v>2878</v>
      </c>
      <c r="O3" t="s">
        <v>2892</v>
      </c>
      <c r="P3" t="s">
        <v>3554</v>
      </c>
      <c r="Q3" t="s">
        <v>2907</v>
      </c>
      <c r="R3" t="s">
        <v>2651</v>
      </c>
      <c r="S3">
        <v>2001</v>
      </c>
      <c r="T3">
        <v>2</v>
      </c>
      <c r="U3" t="s">
        <v>3044</v>
      </c>
      <c r="V3" t="s">
        <v>6469</v>
      </c>
      <c r="W3" s="325">
        <v>2</v>
      </c>
      <c r="X3" t="s">
        <v>3028</v>
      </c>
      <c r="Y3" t="s">
        <v>2761</v>
      </c>
      <c r="Z3" t="s">
        <v>2764</v>
      </c>
      <c r="AA3" t="s">
        <v>3779</v>
      </c>
      <c r="AB3" s="2" t="s">
        <v>3101</v>
      </c>
      <c r="AC3">
        <v>2</v>
      </c>
      <c r="AD3" t="s">
        <v>3681</v>
      </c>
    </row>
    <row r="4" spans="1:30" x14ac:dyDescent="0.3">
      <c r="A4" s="323" t="s">
        <v>50</v>
      </c>
      <c r="B4" t="s">
        <v>51</v>
      </c>
      <c r="C4" s="326" t="s">
        <v>3113</v>
      </c>
      <c r="D4" s="323" t="str">
        <f t="shared" si="0"/>
        <v>NACE A - 01 Crop and animal production, hunting and related service activities</v>
      </c>
      <c r="E4" s="324" t="s">
        <v>52</v>
      </c>
      <c r="F4" t="s">
        <v>53</v>
      </c>
      <c r="G4" t="str">
        <f t="shared" si="1"/>
        <v>AF</v>
      </c>
      <c r="H4" t="s">
        <v>6469</v>
      </c>
      <c r="I4" t="s">
        <v>2726</v>
      </c>
      <c r="K4" t="s">
        <v>4660</v>
      </c>
      <c r="L4" t="s">
        <v>2752</v>
      </c>
      <c r="M4" t="s">
        <v>3553</v>
      </c>
      <c r="N4" t="s">
        <v>2879</v>
      </c>
      <c r="O4" t="s">
        <v>2893</v>
      </c>
      <c r="R4" t="s">
        <v>2908</v>
      </c>
      <c r="S4">
        <v>2002</v>
      </c>
      <c r="T4">
        <v>3</v>
      </c>
      <c r="V4" t="s">
        <v>6470</v>
      </c>
      <c r="W4" s="325">
        <v>3</v>
      </c>
      <c r="X4" t="s">
        <v>3029</v>
      </c>
      <c r="Z4" t="s">
        <v>2765</v>
      </c>
      <c r="AA4" t="s">
        <v>3780</v>
      </c>
      <c r="AC4">
        <v>3</v>
      </c>
      <c r="AD4" t="s">
        <v>3682</v>
      </c>
    </row>
    <row r="5" spans="1:30" x14ac:dyDescent="0.3">
      <c r="A5" s="326" t="s">
        <v>54</v>
      </c>
      <c r="B5" t="s">
        <v>55</v>
      </c>
      <c r="C5" s="326" t="s">
        <v>3114</v>
      </c>
      <c r="D5" s="326" t="str">
        <f t="shared" si="0"/>
        <v>NACE A - 01.1 Growing of non-perennial crops</v>
      </c>
      <c r="E5" s="324" t="s">
        <v>56</v>
      </c>
      <c r="F5" t="s">
        <v>57</v>
      </c>
      <c r="G5" t="str">
        <f t="shared" si="1"/>
        <v>AG</v>
      </c>
      <c r="H5" t="s">
        <v>6470</v>
      </c>
      <c r="I5" t="s">
        <v>2725</v>
      </c>
      <c r="K5" t="s">
        <v>4661</v>
      </c>
      <c r="L5" t="s">
        <v>2753</v>
      </c>
      <c r="O5" t="s">
        <v>2894</v>
      </c>
      <c r="S5">
        <v>2003</v>
      </c>
      <c r="T5">
        <v>4</v>
      </c>
      <c r="V5" t="s">
        <v>6471</v>
      </c>
      <c r="W5" s="325">
        <v>4</v>
      </c>
      <c r="X5" t="s">
        <v>3030</v>
      </c>
      <c r="Z5" t="s">
        <v>2766</v>
      </c>
      <c r="AA5" t="s">
        <v>3781</v>
      </c>
      <c r="AC5">
        <v>4</v>
      </c>
      <c r="AD5" t="s">
        <v>3683</v>
      </c>
    </row>
    <row r="6" spans="1:30" x14ac:dyDescent="0.3">
      <c r="A6" s="327" t="s">
        <v>58</v>
      </c>
      <c r="B6" t="s">
        <v>59</v>
      </c>
      <c r="C6" s="326" t="s">
        <v>3115</v>
      </c>
      <c r="D6" s="327" t="str">
        <f t="shared" si="0"/>
        <v>NACE A - 01.11 Growing of cereals, other than rice, leguminous crops and oil seeds</v>
      </c>
      <c r="E6" s="324" t="s">
        <v>60</v>
      </c>
      <c r="F6" t="s">
        <v>61</v>
      </c>
      <c r="G6" t="str">
        <f t="shared" si="1"/>
        <v>AI</v>
      </c>
      <c r="H6" t="s">
        <v>6471</v>
      </c>
      <c r="I6" t="s">
        <v>3509</v>
      </c>
      <c r="K6" t="s">
        <v>4662</v>
      </c>
      <c r="L6" t="s">
        <v>2754</v>
      </c>
      <c r="O6" t="s">
        <v>2895</v>
      </c>
      <c r="S6">
        <v>2004</v>
      </c>
      <c r="T6">
        <v>5</v>
      </c>
      <c r="V6" t="s">
        <v>6472</v>
      </c>
      <c r="W6" s="325">
        <v>5</v>
      </c>
      <c r="X6" t="s">
        <v>3031</v>
      </c>
      <c r="Z6" t="s">
        <v>2767</v>
      </c>
      <c r="AA6" t="s">
        <v>3782</v>
      </c>
      <c r="AC6">
        <v>5</v>
      </c>
    </row>
    <row r="7" spans="1:30" x14ac:dyDescent="0.3">
      <c r="A7" s="327" t="s">
        <v>62</v>
      </c>
      <c r="B7" t="s">
        <v>63</v>
      </c>
      <c r="C7" s="326" t="s">
        <v>3116</v>
      </c>
      <c r="D7" s="327" t="str">
        <f t="shared" si="0"/>
        <v>NACE A - 01.12 Growing of rice</v>
      </c>
      <c r="E7" s="324" t="s">
        <v>64</v>
      </c>
      <c r="F7" t="s">
        <v>65</v>
      </c>
      <c r="G7" t="str">
        <f t="shared" si="1"/>
        <v>AL</v>
      </c>
      <c r="H7" t="s">
        <v>6472</v>
      </c>
      <c r="I7" t="s">
        <v>2724</v>
      </c>
      <c r="K7" t="s">
        <v>4663</v>
      </c>
      <c r="O7" t="s">
        <v>2896</v>
      </c>
      <c r="S7">
        <v>2005</v>
      </c>
      <c r="T7">
        <v>6</v>
      </c>
      <c r="V7" t="s">
        <v>6473</v>
      </c>
      <c r="W7" s="325">
        <v>6</v>
      </c>
      <c r="X7" t="s">
        <v>3032</v>
      </c>
      <c r="Z7" t="s">
        <v>2768</v>
      </c>
      <c r="AA7" t="s">
        <v>3783</v>
      </c>
      <c r="AC7">
        <v>6</v>
      </c>
    </row>
    <row r="8" spans="1:30" x14ac:dyDescent="0.3">
      <c r="A8" s="327" t="s">
        <v>66</v>
      </c>
      <c r="B8" t="s">
        <v>67</v>
      </c>
      <c r="C8" s="326" t="s">
        <v>3117</v>
      </c>
      <c r="D8" s="327" t="str">
        <f t="shared" si="0"/>
        <v>NACE A - 01.13 Growing of vegetables and melons, roots and tubers</v>
      </c>
      <c r="E8" s="324" t="s">
        <v>68</v>
      </c>
      <c r="F8" t="s">
        <v>69</v>
      </c>
      <c r="G8" t="str">
        <f t="shared" si="1"/>
        <v>AM</v>
      </c>
      <c r="H8" t="s">
        <v>6473</v>
      </c>
      <c r="I8" t="s">
        <v>2723</v>
      </c>
      <c r="K8" t="s">
        <v>4664</v>
      </c>
      <c r="O8" t="s">
        <v>2652</v>
      </c>
      <c r="S8">
        <v>2006</v>
      </c>
      <c r="T8">
        <v>7</v>
      </c>
      <c r="V8" t="s">
        <v>6474</v>
      </c>
      <c r="W8" s="325">
        <v>7</v>
      </c>
      <c r="X8" t="s">
        <v>3033</v>
      </c>
      <c r="Z8" t="s">
        <v>2733</v>
      </c>
      <c r="AA8" t="s">
        <v>3784</v>
      </c>
      <c r="AC8">
        <v>7</v>
      </c>
    </row>
    <row r="9" spans="1:30" x14ac:dyDescent="0.3">
      <c r="A9" s="327" t="s">
        <v>70</v>
      </c>
      <c r="B9" t="s">
        <v>71</v>
      </c>
      <c r="C9" s="326" t="s">
        <v>3118</v>
      </c>
      <c r="D9" s="327" t="str">
        <f t="shared" si="0"/>
        <v>NACE A - 01.14 Growing of sugar cane</v>
      </c>
      <c r="E9" s="324" t="s">
        <v>72</v>
      </c>
      <c r="F9" t="s">
        <v>73</v>
      </c>
      <c r="G9" t="str">
        <f t="shared" si="1"/>
        <v>AN</v>
      </c>
      <c r="H9" t="s">
        <v>6474</v>
      </c>
      <c r="I9" t="s">
        <v>2722</v>
      </c>
      <c r="K9" t="s">
        <v>4665</v>
      </c>
      <c r="O9" t="s">
        <v>2897</v>
      </c>
      <c r="S9">
        <v>2007</v>
      </c>
      <c r="T9">
        <v>8</v>
      </c>
      <c r="V9" t="s">
        <v>6475</v>
      </c>
      <c r="W9" s="325">
        <v>8</v>
      </c>
      <c r="X9" t="s">
        <v>3034</v>
      </c>
      <c r="Z9" t="s">
        <v>2769</v>
      </c>
      <c r="AA9" t="s">
        <v>3785</v>
      </c>
      <c r="AC9">
        <v>8</v>
      </c>
    </row>
    <row r="10" spans="1:30" x14ac:dyDescent="0.3">
      <c r="A10" s="327" t="s">
        <v>74</v>
      </c>
      <c r="B10" t="s">
        <v>75</v>
      </c>
      <c r="C10" s="323" t="s">
        <v>3119</v>
      </c>
      <c r="D10" s="327" t="str">
        <f t="shared" si="0"/>
        <v>NACE A - 01.15 Growing of tobacco</v>
      </c>
      <c r="E10" s="324" t="s">
        <v>76</v>
      </c>
      <c r="F10" t="s">
        <v>77</v>
      </c>
      <c r="G10" t="str">
        <f t="shared" si="1"/>
        <v>AO</v>
      </c>
      <c r="H10" t="s">
        <v>6475</v>
      </c>
      <c r="I10" t="s">
        <v>2721</v>
      </c>
      <c r="K10" t="s">
        <v>4666</v>
      </c>
      <c r="O10" t="s">
        <v>2898</v>
      </c>
      <c r="S10">
        <v>2008</v>
      </c>
      <c r="T10">
        <v>9</v>
      </c>
      <c r="V10" t="s">
        <v>31</v>
      </c>
      <c r="W10" s="325">
        <v>9</v>
      </c>
      <c r="X10" t="s">
        <v>3035</v>
      </c>
      <c r="Z10" t="s">
        <v>2770</v>
      </c>
      <c r="AA10" t="s">
        <v>3786</v>
      </c>
      <c r="AC10">
        <v>9</v>
      </c>
    </row>
    <row r="11" spans="1:30" x14ac:dyDescent="0.3">
      <c r="A11" s="327" t="s">
        <v>78</v>
      </c>
      <c r="B11" t="s">
        <v>79</v>
      </c>
      <c r="C11" s="326" t="s">
        <v>3120</v>
      </c>
      <c r="D11" s="327" t="str">
        <f t="shared" si="0"/>
        <v>NACE A - 01.16 Growing of fibre crops</v>
      </c>
      <c r="E11" s="324" t="s">
        <v>80</v>
      </c>
      <c r="F11" t="s">
        <v>81</v>
      </c>
      <c r="G11" t="str">
        <f t="shared" si="1"/>
        <v>AQ</v>
      </c>
      <c r="H11" t="s">
        <v>31</v>
      </c>
      <c r="I11" t="s">
        <v>2720</v>
      </c>
      <c r="K11" t="s">
        <v>4667</v>
      </c>
      <c r="O11" t="s">
        <v>2889</v>
      </c>
      <c r="S11">
        <v>2009</v>
      </c>
      <c r="T11">
        <v>10</v>
      </c>
      <c r="V11" t="s">
        <v>6476</v>
      </c>
      <c r="W11" s="325">
        <v>10</v>
      </c>
      <c r="X11" t="s">
        <v>3036</v>
      </c>
      <c r="Z11" t="s">
        <v>2771</v>
      </c>
      <c r="AA11" t="s">
        <v>3787</v>
      </c>
      <c r="AC11">
        <v>10</v>
      </c>
    </row>
    <row r="12" spans="1:30" x14ac:dyDescent="0.3">
      <c r="A12" s="327" t="s">
        <v>82</v>
      </c>
      <c r="B12" t="s">
        <v>83</v>
      </c>
      <c r="C12" s="326" t="s">
        <v>3121</v>
      </c>
      <c r="D12" s="327" t="str">
        <f t="shared" si="0"/>
        <v>NACE A - 01.19 Growing of other non-perennial crops</v>
      </c>
      <c r="E12" s="324" t="s">
        <v>84</v>
      </c>
      <c r="F12" t="s">
        <v>85</v>
      </c>
      <c r="G12" t="str">
        <f t="shared" si="1"/>
        <v>AR</v>
      </c>
      <c r="H12" t="s">
        <v>6476</v>
      </c>
      <c r="I12" t="s">
        <v>3510</v>
      </c>
      <c r="K12" t="s">
        <v>4668</v>
      </c>
      <c r="O12" t="s">
        <v>28</v>
      </c>
      <c r="S12">
        <v>2010</v>
      </c>
      <c r="T12">
        <v>11</v>
      </c>
      <c r="V12" t="s">
        <v>38</v>
      </c>
      <c r="W12" s="325">
        <v>11</v>
      </c>
      <c r="X12" t="s">
        <v>3037</v>
      </c>
      <c r="Z12" t="s">
        <v>2772</v>
      </c>
      <c r="AA12" t="s">
        <v>3788</v>
      </c>
      <c r="AC12">
        <v>11</v>
      </c>
    </row>
    <row r="13" spans="1:30" x14ac:dyDescent="0.3">
      <c r="A13" s="326" t="s">
        <v>86</v>
      </c>
      <c r="B13" t="s">
        <v>87</v>
      </c>
      <c r="C13" s="326" t="s">
        <v>3122</v>
      </c>
      <c r="D13" s="326" t="str">
        <f t="shared" si="0"/>
        <v>NACE A - 01.2 Growing of perennial crops</v>
      </c>
      <c r="E13" s="324" t="s">
        <v>88</v>
      </c>
      <c r="F13" t="s">
        <v>89</v>
      </c>
      <c r="G13" t="str">
        <f t="shared" si="1"/>
        <v>AS</v>
      </c>
      <c r="H13" t="s">
        <v>38</v>
      </c>
      <c r="I13" t="s">
        <v>2719</v>
      </c>
      <c r="K13" t="s">
        <v>4669</v>
      </c>
      <c r="S13">
        <v>2011</v>
      </c>
      <c r="T13">
        <v>12</v>
      </c>
      <c r="V13" t="s">
        <v>12</v>
      </c>
      <c r="W13" s="325">
        <v>12</v>
      </c>
      <c r="X13" t="s">
        <v>3038</v>
      </c>
      <c r="Z13" t="s">
        <v>2773</v>
      </c>
      <c r="AA13" t="s">
        <v>3789</v>
      </c>
      <c r="AC13">
        <v>12</v>
      </c>
    </row>
    <row r="14" spans="1:30" x14ac:dyDescent="0.3">
      <c r="A14" s="327" t="s">
        <v>90</v>
      </c>
      <c r="B14" t="s">
        <v>91</v>
      </c>
      <c r="C14" s="326" t="s">
        <v>3123</v>
      </c>
      <c r="D14" s="327" t="str">
        <f t="shared" si="0"/>
        <v>NACE A - 01.21 Growing of grapes</v>
      </c>
      <c r="E14" s="324" t="s">
        <v>92</v>
      </c>
      <c r="F14" t="s">
        <v>93</v>
      </c>
      <c r="G14" t="str">
        <f t="shared" si="1"/>
        <v>AT</v>
      </c>
      <c r="H14" t="s">
        <v>12</v>
      </c>
      <c r="I14" t="s">
        <v>2718</v>
      </c>
      <c r="K14" t="s">
        <v>4670</v>
      </c>
      <c r="S14">
        <v>2012</v>
      </c>
      <c r="V14" t="s">
        <v>6477</v>
      </c>
      <c r="Z14" t="s">
        <v>2774</v>
      </c>
      <c r="AA14" t="s">
        <v>3790</v>
      </c>
      <c r="AC14">
        <v>13</v>
      </c>
    </row>
    <row r="15" spans="1:30" x14ac:dyDescent="0.3">
      <c r="A15" s="327" t="s">
        <v>94</v>
      </c>
      <c r="B15" t="s">
        <v>95</v>
      </c>
      <c r="C15" s="323" t="s">
        <v>3124</v>
      </c>
      <c r="D15" s="327" t="str">
        <f t="shared" si="0"/>
        <v>NACE A - 01.22 Growing of tropical and subtropical fruits</v>
      </c>
      <c r="E15" s="324" t="s">
        <v>96</v>
      </c>
      <c r="F15" t="s">
        <v>97</v>
      </c>
      <c r="G15" t="str">
        <f t="shared" si="1"/>
        <v>AU</v>
      </c>
      <c r="H15" t="s">
        <v>6477</v>
      </c>
      <c r="I15" t="s">
        <v>2717</v>
      </c>
      <c r="K15" t="s">
        <v>4671</v>
      </c>
      <c r="S15">
        <v>2013</v>
      </c>
      <c r="V15" t="s">
        <v>6478</v>
      </c>
      <c r="Z15" t="s">
        <v>2775</v>
      </c>
      <c r="AA15" t="s">
        <v>3791</v>
      </c>
      <c r="AC15">
        <v>14</v>
      </c>
    </row>
    <row r="16" spans="1:30" x14ac:dyDescent="0.3">
      <c r="A16" s="327" t="s">
        <v>98</v>
      </c>
      <c r="B16" t="s">
        <v>99</v>
      </c>
      <c r="C16" s="326" t="s">
        <v>3125</v>
      </c>
      <c r="D16" s="327" t="str">
        <f t="shared" si="0"/>
        <v>NACE A - 01.23 Growing of citrus fruits</v>
      </c>
      <c r="E16" s="324" t="s">
        <v>100</v>
      </c>
      <c r="F16" t="s">
        <v>101</v>
      </c>
      <c r="G16" t="str">
        <f t="shared" si="1"/>
        <v>AW</v>
      </c>
      <c r="H16" t="s">
        <v>6478</v>
      </c>
      <c r="I16" t="s">
        <v>2716</v>
      </c>
      <c r="K16" t="s">
        <v>4672</v>
      </c>
      <c r="S16">
        <v>2014</v>
      </c>
      <c r="V16" t="s">
        <v>20</v>
      </c>
      <c r="Z16" t="s">
        <v>2734</v>
      </c>
      <c r="AA16" t="s">
        <v>3792</v>
      </c>
      <c r="AC16">
        <v>15</v>
      </c>
    </row>
    <row r="17" spans="1:29" x14ac:dyDescent="0.3">
      <c r="A17" s="327" t="s">
        <v>102</v>
      </c>
      <c r="B17" t="s">
        <v>103</v>
      </c>
      <c r="C17" s="326" t="s">
        <v>3126</v>
      </c>
      <c r="D17" s="327" t="str">
        <f t="shared" si="0"/>
        <v>NACE A - 01.24 Growing of pome fruits and stone fruits</v>
      </c>
      <c r="E17" s="324" t="s">
        <v>104</v>
      </c>
      <c r="F17" t="s">
        <v>105</v>
      </c>
      <c r="G17" t="str">
        <f t="shared" si="1"/>
        <v>AX</v>
      </c>
      <c r="H17" t="s">
        <v>20</v>
      </c>
      <c r="I17" t="s">
        <v>2715</v>
      </c>
      <c r="K17" t="s">
        <v>4673</v>
      </c>
      <c r="S17">
        <v>2015</v>
      </c>
      <c r="V17" t="s">
        <v>33</v>
      </c>
      <c r="Z17" t="s">
        <v>2776</v>
      </c>
      <c r="AA17" t="s">
        <v>3793</v>
      </c>
      <c r="AC17">
        <v>16</v>
      </c>
    </row>
    <row r="18" spans="1:29" x14ac:dyDescent="0.3">
      <c r="A18" s="327" t="s">
        <v>106</v>
      </c>
      <c r="B18" t="s">
        <v>107</v>
      </c>
      <c r="C18" s="326" t="s">
        <v>3127</v>
      </c>
      <c r="D18" s="327" t="str">
        <f t="shared" si="0"/>
        <v>NACE A - 01.25 Growing of other tree and bush fruits and nuts</v>
      </c>
      <c r="E18" s="324" t="s">
        <v>108</v>
      </c>
      <c r="F18" t="s">
        <v>109</v>
      </c>
      <c r="G18" t="str">
        <f t="shared" si="1"/>
        <v>AZ</v>
      </c>
      <c r="H18" t="s">
        <v>33</v>
      </c>
      <c r="I18" t="s">
        <v>3524</v>
      </c>
      <c r="K18" t="s">
        <v>4674</v>
      </c>
      <c r="S18">
        <v>2016</v>
      </c>
      <c r="V18" t="s">
        <v>35</v>
      </c>
      <c r="Z18" t="s">
        <v>2777</v>
      </c>
      <c r="AA18" t="s">
        <v>3794</v>
      </c>
      <c r="AC18">
        <v>17</v>
      </c>
    </row>
    <row r="19" spans="1:29" x14ac:dyDescent="0.3">
      <c r="A19" s="327" t="s">
        <v>110</v>
      </c>
      <c r="B19" t="s">
        <v>111</v>
      </c>
      <c r="C19" s="324" t="s">
        <v>3110</v>
      </c>
      <c r="D19" s="327" t="str">
        <f t="shared" si="0"/>
        <v>NACE A - 01.26 Growing of oleaginous fruits</v>
      </c>
      <c r="E19" s="324" t="s">
        <v>112</v>
      </c>
      <c r="F19" t="s">
        <v>113</v>
      </c>
      <c r="G19" t="str">
        <f t="shared" si="1"/>
        <v>BA</v>
      </c>
      <c r="H19" t="s">
        <v>35</v>
      </c>
      <c r="I19" t="s">
        <v>3511</v>
      </c>
      <c r="K19" t="s">
        <v>4675</v>
      </c>
      <c r="S19">
        <v>2017</v>
      </c>
      <c r="V19" t="s">
        <v>37</v>
      </c>
      <c r="Z19" t="s">
        <v>2778</v>
      </c>
      <c r="AA19" t="s">
        <v>3795</v>
      </c>
      <c r="AC19">
        <v>18</v>
      </c>
    </row>
    <row r="20" spans="1:29" x14ac:dyDescent="0.3">
      <c r="A20" s="327" t="s">
        <v>114</v>
      </c>
      <c r="B20" t="s">
        <v>115</v>
      </c>
      <c r="C20" s="323" t="s">
        <v>3129</v>
      </c>
      <c r="D20" s="327" t="str">
        <f t="shared" si="0"/>
        <v>NACE A - 01.27 Growing of beverage crops</v>
      </c>
      <c r="E20" s="324" t="s">
        <v>116</v>
      </c>
      <c r="F20" t="s">
        <v>117</v>
      </c>
      <c r="G20" t="str">
        <f t="shared" si="1"/>
        <v>BB</v>
      </c>
      <c r="H20" t="s">
        <v>37</v>
      </c>
      <c r="I20" t="s">
        <v>2714</v>
      </c>
      <c r="K20" t="s">
        <v>4676</v>
      </c>
      <c r="S20">
        <v>2018</v>
      </c>
      <c r="V20" t="s">
        <v>6479</v>
      </c>
      <c r="Z20" t="s">
        <v>2735</v>
      </c>
      <c r="AA20" t="s">
        <v>3796</v>
      </c>
      <c r="AC20">
        <v>19</v>
      </c>
    </row>
    <row r="21" spans="1:29" x14ac:dyDescent="0.3">
      <c r="A21" s="327" t="s">
        <v>118</v>
      </c>
      <c r="B21" t="s">
        <v>119</v>
      </c>
      <c r="C21" s="323" t="s">
        <v>3132</v>
      </c>
      <c r="D21" s="327" t="str">
        <f t="shared" si="0"/>
        <v>NACE A - 01.28 Growing of spices, aromatic, drug and pharmaceutical crops</v>
      </c>
      <c r="E21" s="324" t="s">
        <v>120</v>
      </c>
      <c r="F21" t="s">
        <v>121</v>
      </c>
      <c r="G21" t="str">
        <f t="shared" si="1"/>
        <v>BD</v>
      </c>
      <c r="H21" t="s">
        <v>6479</v>
      </c>
      <c r="I21" t="s">
        <v>2713</v>
      </c>
      <c r="K21" t="s">
        <v>4677</v>
      </c>
      <c r="S21">
        <v>2019</v>
      </c>
      <c r="V21" t="s">
        <v>39</v>
      </c>
      <c r="Z21" t="s">
        <v>2779</v>
      </c>
      <c r="AA21" t="s">
        <v>3797</v>
      </c>
      <c r="AC21">
        <v>20</v>
      </c>
    </row>
    <row r="22" spans="1:29" x14ac:dyDescent="0.3">
      <c r="A22" s="327" t="s">
        <v>122</v>
      </c>
      <c r="B22" t="s">
        <v>123</v>
      </c>
      <c r="C22" s="326" t="s">
        <v>3130</v>
      </c>
      <c r="D22" s="327" t="str">
        <f t="shared" si="0"/>
        <v>NACE A - 01.29 Growing of other perennial crops</v>
      </c>
      <c r="E22" s="324" t="s">
        <v>124</v>
      </c>
      <c r="F22" t="s">
        <v>125</v>
      </c>
      <c r="G22" t="str">
        <f t="shared" si="1"/>
        <v>BE</v>
      </c>
      <c r="H22" t="s">
        <v>39</v>
      </c>
      <c r="I22" t="s">
        <v>2712</v>
      </c>
      <c r="K22" t="s">
        <v>4678</v>
      </c>
      <c r="S22">
        <v>2020</v>
      </c>
      <c r="V22" s="89"/>
      <c r="Z22" t="s">
        <v>2780</v>
      </c>
      <c r="AA22" t="s">
        <v>3798</v>
      </c>
      <c r="AC22">
        <v>21</v>
      </c>
    </row>
    <row r="23" spans="1:29" x14ac:dyDescent="0.3">
      <c r="A23" s="326" t="s">
        <v>126</v>
      </c>
      <c r="B23" t="s">
        <v>127</v>
      </c>
      <c r="C23" s="326" t="s">
        <v>3131</v>
      </c>
      <c r="D23" s="326" t="str">
        <f t="shared" si="0"/>
        <v>NACE A - 01.3 Plant propagation</v>
      </c>
      <c r="E23" s="324" t="s">
        <v>128</v>
      </c>
      <c r="F23" t="s">
        <v>129</v>
      </c>
      <c r="G23" t="str">
        <f t="shared" si="1"/>
        <v>BF</v>
      </c>
      <c r="H23" s="89"/>
      <c r="I23" t="s">
        <v>3512</v>
      </c>
      <c r="K23" t="s">
        <v>4679</v>
      </c>
      <c r="S23">
        <v>2021</v>
      </c>
      <c r="V23" s="481"/>
      <c r="Z23" t="s">
        <v>2736</v>
      </c>
      <c r="AA23" t="s">
        <v>3799</v>
      </c>
      <c r="AC23">
        <v>22</v>
      </c>
    </row>
    <row r="24" spans="1:29" x14ac:dyDescent="0.3">
      <c r="A24" s="327" t="s">
        <v>130</v>
      </c>
      <c r="B24" t="s">
        <v>131</v>
      </c>
      <c r="C24" s="323" t="s">
        <v>3135</v>
      </c>
      <c r="D24" s="327" t="str">
        <f t="shared" si="0"/>
        <v>NACE A - 01.30 Plant propagation</v>
      </c>
      <c r="E24" s="324" t="s">
        <v>132</v>
      </c>
      <c r="F24" t="s">
        <v>133</v>
      </c>
      <c r="G24" t="str">
        <f t="shared" si="1"/>
        <v>BG</v>
      </c>
      <c r="H24" s="481"/>
      <c r="I24" t="s">
        <v>3513</v>
      </c>
      <c r="K24" t="s">
        <v>4680</v>
      </c>
      <c r="S24">
        <v>2022</v>
      </c>
      <c r="V24" s="481"/>
      <c r="Z24" t="s">
        <v>2781</v>
      </c>
      <c r="AA24" t="s">
        <v>3800</v>
      </c>
      <c r="AC24">
        <v>23</v>
      </c>
    </row>
    <row r="25" spans="1:29" x14ac:dyDescent="0.3">
      <c r="A25" s="326" t="s">
        <v>134</v>
      </c>
      <c r="B25" t="s">
        <v>135</v>
      </c>
      <c r="C25" s="326" t="s">
        <v>3133</v>
      </c>
      <c r="D25" s="326" t="str">
        <f t="shared" si="0"/>
        <v>NACE A - 01.4 Animal production</v>
      </c>
      <c r="E25" s="324" t="s">
        <v>136</v>
      </c>
      <c r="F25" t="s">
        <v>137</v>
      </c>
      <c r="G25" t="str">
        <f t="shared" si="1"/>
        <v>BH</v>
      </c>
      <c r="H25" s="481"/>
      <c r="I25" t="s">
        <v>3525</v>
      </c>
      <c r="K25" t="s">
        <v>4681</v>
      </c>
      <c r="S25">
        <v>2023</v>
      </c>
      <c r="V25" s="481"/>
      <c r="Z25" t="s">
        <v>2782</v>
      </c>
      <c r="AA25" t="s">
        <v>3801</v>
      </c>
      <c r="AC25">
        <v>24</v>
      </c>
    </row>
    <row r="26" spans="1:29" x14ac:dyDescent="0.3">
      <c r="A26" s="327" t="s">
        <v>138</v>
      </c>
      <c r="B26" t="s">
        <v>139</v>
      </c>
      <c r="C26" s="326" t="s">
        <v>3134</v>
      </c>
      <c r="D26" s="327" t="str">
        <f t="shared" si="0"/>
        <v>NACE A - 01.41 Raising of dairy cattle</v>
      </c>
      <c r="E26" s="324" t="s">
        <v>140</v>
      </c>
      <c r="F26" t="s">
        <v>141</v>
      </c>
      <c r="G26" t="str">
        <f t="shared" si="1"/>
        <v>BI</v>
      </c>
      <c r="H26" s="481"/>
      <c r="I26" t="s">
        <v>2711</v>
      </c>
      <c r="K26" t="s">
        <v>4682</v>
      </c>
      <c r="S26">
        <v>2024</v>
      </c>
      <c r="V26" s="481"/>
      <c r="Z26" t="s">
        <v>2783</v>
      </c>
      <c r="AA26" t="s">
        <v>3802</v>
      </c>
      <c r="AC26">
        <v>25</v>
      </c>
    </row>
    <row r="27" spans="1:29" x14ac:dyDescent="0.3">
      <c r="A27" s="327" t="s">
        <v>142</v>
      </c>
      <c r="B27" t="s">
        <v>143</v>
      </c>
      <c r="C27" s="323" t="s">
        <v>3138</v>
      </c>
      <c r="D27" s="327" t="str">
        <f t="shared" si="0"/>
        <v>NACE A - 01.42 Raising of other cattle and buffaloes</v>
      </c>
      <c r="E27" s="324" t="s">
        <v>144</v>
      </c>
      <c r="F27" t="s">
        <v>145</v>
      </c>
      <c r="G27" t="str">
        <f t="shared" si="1"/>
        <v>BJ</v>
      </c>
      <c r="H27" s="481"/>
      <c r="I27" t="s">
        <v>2710</v>
      </c>
      <c r="K27" t="s">
        <v>4683</v>
      </c>
      <c r="S27">
        <v>2025</v>
      </c>
      <c r="V27" s="481"/>
      <c r="Z27" t="s">
        <v>2784</v>
      </c>
      <c r="AA27" t="s">
        <v>3803</v>
      </c>
      <c r="AC27">
        <v>26</v>
      </c>
    </row>
    <row r="28" spans="1:29" x14ac:dyDescent="0.3">
      <c r="A28" s="327" t="s">
        <v>146</v>
      </c>
      <c r="B28" t="s">
        <v>147</v>
      </c>
      <c r="C28" s="326" t="s">
        <v>3136</v>
      </c>
      <c r="D28" s="327" t="str">
        <f t="shared" si="0"/>
        <v>NACE A - 01.43 Raising of horses and other equines</v>
      </c>
      <c r="E28" s="324" t="s">
        <v>148</v>
      </c>
      <c r="F28" t="s">
        <v>149</v>
      </c>
      <c r="G28" t="str">
        <f t="shared" si="1"/>
        <v>BL</v>
      </c>
      <c r="H28" s="481"/>
      <c r="I28" t="s">
        <v>3527</v>
      </c>
      <c r="K28" t="s">
        <v>4684</v>
      </c>
      <c r="S28">
        <v>2026</v>
      </c>
      <c r="V28" s="481"/>
      <c r="Z28" t="s">
        <v>2785</v>
      </c>
      <c r="AA28" t="s">
        <v>3804</v>
      </c>
      <c r="AC28">
        <v>27</v>
      </c>
    </row>
    <row r="29" spans="1:29" x14ac:dyDescent="0.3">
      <c r="A29" s="327" t="s">
        <v>150</v>
      </c>
      <c r="B29" t="s">
        <v>151</v>
      </c>
      <c r="C29" s="326" t="s">
        <v>3137</v>
      </c>
      <c r="D29" s="327" t="str">
        <f t="shared" si="0"/>
        <v>NACE A - 01.44 Raising of camels and camelids</v>
      </c>
      <c r="E29" s="324" t="s">
        <v>152</v>
      </c>
      <c r="F29" t="s">
        <v>153</v>
      </c>
      <c r="G29" t="str">
        <f t="shared" si="1"/>
        <v>BM</v>
      </c>
      <c r="H29" s="481"/>
      <c r="I29" t="s">
        <v>2709</v>
      </c>
      <c r="K29" t="s">
        <v>4685</v>
      </c>
      <c r="S29">
        <v>2027</v>
      </c>
      <c r="V29" s="89"/>
      <c r="Z29" t="s">
        <v>2786</v>
      </c>
      <c r="AA29" t="s">
        <v>3805</v>
      </c>
      <c r="AC29">
        <v>28</v>
      </c>
    </row>
    <row r="30" spans="1:29" x14ac:dyDescent="0.3">
      <c r="A30" s="327" t="s">
        <v>154</v>
      </c>
      <c r="B30" t="s">
        <v>155</v>
      </c>
      <c r="C30" s="323" t="s">
        <v>3141</v>
      </c>
      <c r="D30" s="327" t="str">
        <f t="shared" si="0"/>
        <v>NACE A - 01.45 Raising of sheep and goats</v>
      </c>
      <c r="E30" s="324" t="s">
        <v>156</v>
      </c>
      <c r="F30" t="s">
        <v>157</v>
      </c>
      <c r="G30" t="str">
        <f t="shared" si="1"/>
        <v>BN</v>
      </c>
      <c r="H30" s="89"/>
      <c r="I30" t="s">
        <v>2708</v>
      </c>
      <c r="K30" t="s">
        <v>4686</v>
      </c>
      <c r="S30">
        <v>2028</v>
      </c>
      <c r="V30" s="481"/>
      <c r="Z30" t="s">
        <v>2787</v>
      </c>
      <c r="AA30" t="s">
        <v>3806</v>
      </c>
      <c r="AC30">
        <v>29</v>
      </c>
    </row>
    <row r="31" spans="1:29" x14ac:dyDescent="0.3">
      <c r="A31" s="327" t="s">
        <v>158</v>
      </c>
      <c r="B31" t="s">
        <v>159</v>
      </c>
      <c r="C31" s="326" t="s">
        <v>3139</v>
      </c>
      <c r="D31" s="327" t="str">
        <f t="shared" si="0"/>
        <v>NACE A - 01.46 Raising of swine and pigs</v>
      </c>
      <c r="E31" s="324" t="s">
        <v>160</v>
      </c>
      <c r="F31" t="s">
        <v>161</v>
      </c>
      <c r="G31" t="str">
        <f t="shared" si="1"/>
        <v>BO</v>
      </c>
      <c r="H31" s="481"/>
      <c r="I31" t="s">
        <v>2707</v>
      </c>
      <c r="K31" t="s">
        <v>4639</v>
      </c>
      <c r="S31">
        <v>2029</v>
      </c>
      <c r="V31" s="480"/>
      <c r="Z31" t="s">
        <v>2737</v>
      </c>
      <c r="AA31" t="s">
        <v>3807</v>
      </c>
      <c r="AC31">
        <v>30</v>
      </c>
    </row>
    <row r="32" spans="1:29" x14ac:dyDescent="0.3">
      <c r="A32" s="327" t="s">
        <v>162</v>
      </c>
      <c r="B32" t="s">
        <v>163</v>
      </c>
      <c r="C32" s="326" t="s">
        <v>3140</v>
      </c>
      <c r="D32" s="327" t="str">
        <f t="shared" si="0"/>
        <v>NACE A - 01.47 Raising of poultry</v>
      </c>
      <c r="E32" s="324" t="s">
        <v>164</v>
      </c>
      <c r="F32" t="s">
        <v>165</v>
      </c>
      <c r="G32" t="str">
        <f t="shared" si="1"/>
        <v>BQ</v>
      </c>
      <c r="H32" s="480"/>
      <c r="I32" t="s">
        <v>2706</v>
      </c>
      <c r="K32" t="s">
        <v>4687</v>
      </c>
      <c r="S32">
        <v>2030</v>
      </c>
      <c r="V32" s="480"/>
      <c r="Z32" t="s">
        <v>2788</v>
      </c>
      <c r="AA32" t="s">
        <v>3808</v>
      </c>
      <c r="AC32">
        <v>31</v>
      </c>
    </row>
    <row r="33" spans="1:27" x14ac:dyDescent="0.3">
      <c r="A33" s="327" t="s">
        <v>166</v>
      </c>
      <c r="B33" t="s">
        <v>167</v>
      </c>
      <c r="C33" s="326" t="s">
        <v>3142</v>
      </c>
      <c r="D33" s="327" t="str">
        <f t="shared" si="0"/>
        <v>NACE A - 01.48 Raising of other animals</v>
      </c>
      <c r="E33" s="324" t="s">
        <v>168</v>
      </c>
      <c r="F33" t="s">
        <v>169</v>
      </c>
      <c r="G33" t="str">
        <f t="shared" si="1"/>
        <v>BR</v>
      </c>
      <c r="H33" s="480"/>
      <c r="I33" t="s">
        <v>2705</v>
      </c>
      <c r="K33" t="s">
        <v>4688</v>
      </c>
      <c r="S33">
        <v>2031</v>
      </c>
      <c r="V33" s="480"/>
      <c r="Z33" t="s">
        <v>2789</v>
      </c>
      <c r="AA33" t="s">
        <v>3809</v>
      </c>
    </row>
    <row r="34" spans="1:27" x14ac:dyDescent="0.3">
      <c r="A34" s="326" t="s">
        <v>170</v>
      </c>
      <c r="B34" t="s">
        <v>171</v>
      </c>
      <c r="C34" s="326" t="s">
        <v>3143</v>
      </c>
      <c r="D34" s="326" t="str">
        <f t="shared" si="0"/>
        <v>NACE A - 01.5 Mixed farming</v>
      </c>
      <c r="E34" s="324" t="s">
        <v>172</v>
      </c>
      <c r="F34" t="s">
        <v>173</v>
      </c>
      <c r="G34" t="str">
        <f t="shared" si="1"/>
        <v>BS</v>
      </c>
      <c r="H34" s="480"/>
      <c r="I34" t="s">
        <v>2704</v>
      </c>
      <c r="K34" t="s">
        <v>4689</v>
      </c>
      <c r="S34">
        <v>2032</v>
      </c>
      <c r="V34" s="481"/>
      <c r="Z34" t="s">
        <v>2790</v>
      </c>
      <c r="AA34" t="s">
        <v>3810</v>
      </c>
    </row>
    <row r="35" spans="1:27" x14ac:dyDescent="0.3">
      <c r="A35" s="327" t="s">
        <v>174</v>
      </c>
      <c r="B35" t="s">
        <v>175</v>
      </c>
      <c r="C35" s="324" t="s">
        <v>3128</v>
      </c>
      <c r="D35" s="327" t="str">
        <f t="shared" si="0"/>
        <v>NACE A - 01.50 Mixed farming</v>
      </c>
      <c r="E35" s="324" t="s">
        <v>176</v>
      </c>
      <c r="F35" t="s">
        <v>177</v>
      </c>
      <c r="G35" t="str">
        <f t="shared" si="1"/>
        <v>BT</v>
      </c>
      <c r="H35" s="481"/>
      <c r="I35" t="s">
        <v>2703</v>
      </c>
      <c r="K35" t="s">
        <v>4690</v>
      </c>
      <c r="S35">
        <v>2033</v>
      </c>
      <c r="V35" s="481"/>
      <c r="Z35" t="s">
        <v>2791</v>
      </c>
      <c r="AA35" t="s">
        <v>3811</v>
      </c>
    </row>
    <row r="36" spans="1:27" x14ac:dyDescent="0.3">
      <c r="A36" s="326" t="s">
        <v>178</v>
      </c>
      <c r="B36" t="s">
        <v>179</v>
      </c>
      <c r="C36" s="323" t="s">
        <v>3145</v>
      </c>
      <c r="D36" s="326" t="str">
        <f t="shared" si="0"/>
        <v>NACE A - 01.6 Support activities to agriculture and post-harvest crop activities</v>
      </c>
      <c r="E36" s="324" t="s">
        <v>180</v>
      </c>
      <c r="F36" t="s">
        <v>181</v>
      </c>
      <c r="G36" t="str">
        <f t="shared" si="1"/>
        <v>BU</v>
      </c>
      <c r="H36" s="481"/>
      <c r="I36" t="s">
        <v>2702</v>
      </c>
      <c r="K36" t="s">
        <v>4691</v>
      </c>
      <c r="S36">
        <v>2034</v>
      </c>
      <c r="V36" s="481"/>
      <c r="Z36" t="s">
        <v>2792</v>
      </c>
      <c r="AA36" t="s">
        <v>3812</v>
      </c>
    </row>
    <row r="37" spans="1:27" x14ac:dyDescent="0.3">
      <c r="A37" s="327" t="s">
        <v>182</v>
      </c>
      <c r="B37" t="s">
        <v>183</v>
      </c>
      <c r="C37" s="326" t="s">
        <v>3146</v>
      </c>
      <c r="D37" s="327" t="str">
        <f t="shared" si="0"/>
        <v>NACE A - 01.61 Support activities for crop production</v>
      </c>
      <c r="E37" s="324" t="s">
        <v>184</v>
      </c>
      <c r="F37" t="s">
        <v>185</v>
      </c>
      <c r="G37" t="str">
        <f t="shared" si="1"/>
        <v>BV</v>
      </c>
      <c r="H37" s="481"/>
      <c r="I37" t="s">
        <v>2701</v>
      </c>
      <c r="K37" t="s">
        <v>4692</v>
      </c>
      <c r="S37">
        <v>2035</v>
      </c>
      <c r="V37" s="481"/>
      <c r="Z37" t="s">
        <v>2793</v>
      </c>
      <c r="AA37" t="s">
        <v>3813</v>
      </c>
    </row>
    <row r="38" spans="1:27" x14ac:dyDescent="0.3">
      <c r="A38" s="327" t="s">
        <v>186</v>
      </c>
      <c r="B38" t="s">
        <v>187</v>
      </c>
      <c r="C38" s="326" t="s">
        <v>3147</v>
      </c>
      <c r="D38" s="327" t="str">
        <f t="shared" si="0"/>
        <v>NACE A - 01.62 Support activities for animal production</v>
      </c>
      <c r="E38" s="324" t="s">
        <v>188</v>
      </c>
      <c r="F38" t="s">
        <v>189</v>
      </c>
      <c r="G38" t="str">
        <f t="shared" si="1"/>
        <v>BW</v>
      </c>
      <c r="H38" s="481"/>
      <c r="I38" t="s">
        <v>3526</v>
      </c>
      <c r="K38" t="s">
        <v>4693</v>
      </c>
      <c r="S38">
        <v>2036</v>
      </c>
      <c r="V38" s="481"/>
      <c r="Z38" t="s">
        <v>2794</v>
      </c>
      <c r="AA38" t="s">
        <v>3814</v>
      </c>
    </row>
    <row r="39" spans="1:27" x14ac:dyDescent="0.3">
      <c r="A39" s="327" t="s">
        <v>190</v>
      </c>
      <c r="B39" t="s">
        <v>191</v>
      </c>
      <c r="C39" s="326" t="s">
        <v>3148</v>
      </c>
      <c r="D39" s="327" t="str">
        <f t="shared" si="0"/>
        <v>NACE A - 01.63 Post-harvest crop activities and seed processing for propagation</v>
      </c>
      <c r="E39" s="324" t="s">
        <v>192</v>
      </c>
      <c r="F39" t="s">
        <v>193</v>
      </c>
      <c r="G39" t="str">
        <f t="shared" si="1"/>
        <v>BY</v>
      </c>
      <c r="H39" s="481"/>
      <c r="I39" t="s">
        <v>3514</v>
      </c>
      <c r="K39" t="s">
        <v>4694</v>
      </c>
      <c r="S39">
        <v>2037</v>
      </c>
      <c r="V39" s="481"/>
      <c r="Z39" t="s">
        <v>2795</v>
      </c>
      <c r="AA39" t="s">
        <v>3815</v>
      </c>
    </row>
    <row r="40" spans="1:27" x14ac:dyDescent="0.3">
      <c r="A40" s="326" t="s">
        <v>194</v>
      </c>
      <c r="B40" t="s">
        <v>195</v>
      </c>
      <c r="C40" s="326" t="s">
        <v>3149</v>
      </c>
      <c r="D40" s="326" t="str">
        <f t="shared" si="0"/>
        <v>NACE A - 01.7 Hunting, trapping and related service activities</v>
      </c>
      <c r="E40" s="324" t="s">
        <v>196</v>
      </c>
      <c r="F40" t="s">
        <v>197</v>
      </c>
      <c r="G40" t="str">
        <f t="shared" si="1"/>
        <v>BZ</v>
      </c>
      <c r="H40" s="481"/>
      <c r="I40" t="s">
        <v>3515</v>
      </c>
      <c r="K40" t="s">
        <v>4695</v>
      </c>
      <c r="S40">
        <v>2038</v>
      </c>
      <c r="V40" s="481"/>
      <c r="Z40" t="s">
        <v>2796</v>
      </c>
      <c r="AA40" t="s">
        <v>3816</v>
      </c>
    </row>
    <row r="41" spans="1:27" x14ac:dyDescent="0.3">
      <c r="A41" s="327" t="s">
        <v>198</v>
      </c>
      <c r="B41" t="s">
        <v>199</v>
      </c>
      <c r="C41" s="326" t="s">
        <v>3150</v>
      </c>
      <c r="D41" s="327" t="str">
        <f t="shared" si="0"/>
        <v>NACE A - 01.70 Hunting, trapping and related service activities</v>
      </c>
      <c r="E41" s="324" t="s">
        <v>200</v>
      </c>
      <c r="F41" t="s">
        <v>201</v>
      </c>
      <c r="G41" t="str">
        <f t="shared" si="1"/>
        <v>CA</v>
      </c>
      <c r="H41" s="481"/>
      <c r="I41" t="s">
        <v>2700</v>
      </c>
      <c r="K41" t="s">
        <v>4696</v>
      </c>
      <c r="S41">
        <v>2039</v>
      </c>
      <c r="V41" s="481"/>
      <c r="Z41" t="s">
        <v>2797</v>
      </c>
      <c r="AA41" t="s">
        <v>3817</v>
      </c>
    </row>
    <row r="42" spans="1:27" x14ac:dyDescent="0.3">
      <c r="A42" s="323" t="s">
        <v>202</v>
      </c>
      <c r="B42" t="s">
        <v>203</v>
      </c>
      <c r="C42" s="326" t="s">
        <v>3151</v>
      </c>
      <c r="D42" s="323" t="str">
        <f t="shared" si="0"/>
        <v>NACE A - 02 Forestry and logging</v>
      </c>
      <c r="E42" s="324" t="s">
        <v>204</v>
      </c>
      <c r="F42" t="s">
        <v>205</v>
      </c>
      <c r="G42" t="str">
        <f t="shared" si="1"/>
        <v>CC</v>
      </c>
      <c r="H42" s="481"/>
      <c r="I42" t="s">
        <v>2699</v>
      </c>
      <c r="K42" t="s">
        <v>4697</v>
      </c>
      <c r="S42">
        <v>2040</v>
      </c>
      <c r="V42" s="481"/>
      <c r="Z42" t="s">
        <v>2798</v>
      </c>
      <c r="AA42" t="s">
        <v>3818</v>
      </c>
    </row>
    <row r="43" spans="1:27" x14ac:dyDescent="0.3">
      <c r="A43" s="326" t="s">
        <v>206</v>
      </c>
      <c r="B43" t="s">
        <v>207</v>
      </c>
      <c r="C43" s="326" t="s">
        <v>3152</v>
      </c>
      <c r="D43" s="326" t="str">
        <f t="shared" si="0"/>
        <v>NACE A - 02.1 Silviculture and other forestry activities</v>
      </c>
      <c r="E43" s="324" t="s">
        <v>208</v>
      </c>
      <c r="F43" t="s">
        <v>209</v>
      </c>
      <c r="G43" t="str">
        <f t="shared" si="1"/>
        <v>CD</v>
      </c>
      <c r="H43" s="481"/>
      <c r="I43" t="s">
        <v>2698</v>
      </c>
      <c r="K43" t="s">
        <v>4698</v>
      </c>
      <c r="S43">
        <v>2041</v>
      </c>
      <c r="V43" s="481"/>
      <c r="Z43" t="s">
        <v>2799</v>
      </c>
      <c r="AA43" t="s">
        <v>3819</v>
      </c>
    </row>
    <row r="44" spans="1:27" x14ac:dyDescent="0.3">
      <c r="A44" s="327" t="s">
        <v>210</v>
      </c>
      <c r="B44" t="s">
        <v>211</v>
      </c>
      <c r="C44" s="326" t="s">
        <v>3153</v>
      </c>
      <c r="D44" s="327" t="str">
        <f t="shared" si="0"/>
        <v>NACE A - 02.10 Silviculture and other forestry activities</v>
      </c>
      <c r="E44" s="324" t="s">
        <v>212</v>
      </c>
      <c r="F44" t="s">
        <v>213</v>
      </c>
      <c r="G44" t="str">
        <f t="shared" si="1"/>
        <v>CF</v>
      </c>
      <c r="H44" s="481"/>
      <c r="I44" t="s">
        <v>2697</v>
      </c>
      <c r="K44" t="s">
        <v>4699</v>
      </c>
      <c r="S44">
        <v>2042</v>
      </c>
      <c r="V44" s="481"/>
      <c r="Z44" t="s">
        <v>2738</v>
      </c>
      <c r="AA44" t="s">
        <v>3820</v>
      </c>
    </row>
    <row r="45" spans="1:27" x14ac:dyDescent="0.3">
      <c r="A45" s="326" t="s">
        <v>214</v>
      </c>
      <c r="B45" t="s">
        <v>215</v>
      </c>
      <c r="C45" s="326" t="s">
        <v>3154</v>
      </c>
      <c r="D45" s="326" t="str">
        <f t="shared" si="0"/>
        <v>NACE A - 02.2 Logging</v>
      </c>
      <c r="E45" s="324" t="s">
        <v>216</v>
      </c>
      <c r="F45" t="s">
        <v>217</v>
      </c>
      <c r="G45" t="str">
        <f t="shared" si="1"/>
        <v>CG</v>
      </c>
      <c r="H45" s="481"/>
      <c r="I45" t="s">
        <v>2696</v>
      </c>
      <c r="K45" t="s">
        <v>4700</v>
      </c>
      <c r="S45">
        <v>2043</v>
      </c>
      <c r="V45" s="481"/>
      <c r="Z45" t="s">
        <v>2800</v>
      </c>
      <c r="AA45" t="s">
        <v>3821</v>
      </c>
    </row>
    <row r="46" spans="1:27" x14ac:dyDescent="0.3">
      <c r="A46" s="327" t="s">
        <v>218</v>
      </c>
      <c r="B46" t="s">
        <v>219</v>
      </c>
      <c r="C46" s="323" t="s">
        <v>3155</v>
      </c>
      <c r="D46" s="327" t="str">
        <f t="shared" si="0"/>
        <v>NACE A - 02.20 Logging</v>
      </c>
      <c r="E46" s="324" t="s">
        <v>220</v>
      </c>
      <c r="F46" t="s">
        <v>221</v>
      </c>
      <c r="G46" t="str">
        <f t="shared" si="1"/>
        <v>CH</v>
      </c>
      <c r="H46" s="481"/>
      <c r="I46" t="s">
        <v>3528</v>
      </c>
      <c r="K46" t="s">
        <v>4701</v>
      </c>
      <c r="S46">
        <v>2044</v>
      </c>
      <c r="V46" s="89"/>
      <c r="Z46" t="s">
        <v>2801</v>
      </c>
      <c r="AA46" t="s">
        <v>3822</v>
      </c>
    </row>
    <row r="47" spans="1:27" x14ac:dyDescent="0.3">
      <c r="A47" s="326" t="s">
        <v>222</v>
      </c>
      <c r="B47" t="s">
        <v>223</v>
      </c>
      <c r="C47" s="326" t="s">
        <v>3156</v>
      </c>
      <c r="D47" s="326" t="str">
        <f t="shared" si="0"/>
        <v>NACE A - 02.3 Gathering of wild growing non-wood products</v>
      </c>
      <c r="E47" s="324" t="s">
        <v>224</v>
      </c>
      <c r="F47" t="s">
        <v>225</v>
      </c>
      <c r="G47" t="str">
        <f t="shared" si="1"/>
        <v>CI</v>
      </c>
      <c r="H47" s="89"/>
      <c r="I47" t="s">
        <v>2695</v>
      </c>
      <c r="K47" t="s">
        <v>4702</v>
      </c>
      <c r="S47">
        <v>2045</v>
      </c>
      <c r="V47" s="481"/>
      <c r="Z47" t="s">
        <v>2802</v>
      </c>
      <c r="AA47" t="s">
        <v>3823</v>
      </c>
    </row>
    <row r="48" spans="1:27" x14ac:dyDescent="0.3">
      <c r="A48" s="327" t="s">
        <v>226</v>
      </c>
      <c r="B48" t="s">
        <v>227</v>
      </c>
      <c r="C48" s="323" t="s">
        <v>3157</v>
      </c>
      <c r="D48" s="327" t="str">
        <f t="shared" si="0"/>
        <v>NACE A - 02.30 Gathering of wild growing non-wood products</v>
      </c>
      <c r="E48" s="324" t="s">
        <v>228</v>
      </c>
      <c r="F48" t="s">
        <v>229</v>
      </c>
      <c r="G48" t="str">
        <f t="shared" si="1"/>
        <v>CK</v>
      </c>
      <c r="H48" s="481"/>
      <c r="I48" t="s">
        <v>2694</v>
      </c>
      <c r="K48" t="s">
        <v>4703</v>
      </c>
      <c r="S48">
        <v>2046</v>
      </c>
      <c r="V48" s="480"/>
      <c r="Z48" t="s">
        <v>2803</v>
      </c>
      <c r="AA48" t="s">
        <v>3824</v>
      </c>
    </row>
    <row r="49" spans="1:27" x14ac:dyDescent="0.3">
      <c r="A49" s="326" t="s">
        <v>230</v>
      </c>
      <c r="B49" t="s">
        <v>231</v>
      </c>
      <c r="C49" s="326" t="s">
        <v>3158</v>
      </c>
      <c r="D49" s="326" t="str">
        <f t="shared" si="0"/>
        <v>NACE A - 02.4 Support services to forestry</v>
      </c>
      <c r="E49" s="324" t="s">
        <v>232</v>
      </c>
      <c r="F49" t="s">
        <v>233</v>
      </c>
      <c r="G49" t="str">
        <f t="shared" si="1"/>
        <v>CL</v>
      </c>
      <c r="H49" s="480"/>
      <c r="I49" t="s">
        <v>2693</v>
      </c>
      <c r="K49" t="s">
        <v>4704</v>
      </c>
      <c r="S49">
        <v>2047</v>
      </c>
      <c r="V49" s="481"/>
      <c r="Z49" t="s">
        <v>2804</v>
      </c>
      <c r="AA49" t="s">
        <v>3825</v>
      </c>
    </row>
    <row r="50" spans="1:27" x14ac:dyDescent="0.3">
      <c r="A50" s="327" t="s">
        <v>234</v>
      </c>
      <c r="B50" t="s">
        <v>235</v>
      </c>
      <c r="C50" s="323" t="s">
        <v>3159</v>
      </c>
      <c r="D50" s="327" t="str">
        <f t="shared" si="0"/>
        <v>NACE A - 02.40 Support services to forestry</v>
      </c>
      <c r="E50" s="324" t="s">
        <v>236</v>
      </c>
      <c r="F50" t="s">
        <v>237</v>
      </c>
      <c r="G50" t="str">
        <f t="shared" si="1"/>
        <v>CM</v>
      </c>
      <c r="H50" s="481"/>
      <c r="I50" t="s">
        <v>2692</v>
      </c>
      <c r="K50" t="s">
        <v>4705</v>
      </c>
      <c r="S50">
        <v>2048</v>
      </c>
      <c r="V50" s="481"/>
      <c r="Z50" t="s">
        <v>2805</v>
      </c>
      <c r="AA50" t="s">
        <v>3826</v>
      </c>
    </row>
    <row r="51" spans="1:27" x14ac:dyDescent="0.3">
      <c r="A51" s="323" t="s">
        <v>238</v>
      </c>
      <c r="B51" t="s">
        <v>239</v>
      </c>
      <c r="C51" s="326" t="s">
        <v>3160</v>
      </c>
      <c r="D51" s="323" t="str">
        <f t="shared" si="0"/>
        <v>NACE A - 03 Fishing and aquaculture</v>
      </c>
      <c r="E51" s="324" t="s">
        <v>240</v>
      </c>
      <c r="F51" t="s">
        <v>241</v>
      </c>
      <c r="G51" t="str">
        <f t="shared" si="1"/>
        <v>CN</v>
      </c>
      <c r="H51" s="481"/>
      <c r="I51" t="s">
        <v>2691</v>
      </c>
      <c r="K51" t="s">
        <v>4706</v>
      </c>
      <c r="S51">
        <v>2049</v>
      </c>
      <c r="V51" s="481"/>
      <c r="Z51" t="s">
        <v>2806</v>
      </c>
      <c r="AA51" t="s">
        <v>3827</v>
      </c>
    </row>
    <row r="52" spans="1:27" x14ac:dyDescent="0.3">
      <c r="A52" s="326" t="s">
        <v>242</v>
      </c>
      <c r="B52" t="s">
        <v>243</v>
      </c>
      <c r="C52" s="326" t="s">
        <v>3161</v>
      </c>
      <c r="D52" s="326" t="str">
        <f t="shared" si="0"/>
        <v>NACE A - 03.1 Fishing</v>
      </c>
      <c r="E52" s="324" t="s">
        <v>244</v>
      </c>
      <c r="F52" t="s">
        <v>245</v>
      </c>
      <c r="G52" t="str">
        <f t="shared" si="1"/>
        <v>CO</v>
      </c>
      <c r="H52" s="481"/>
      <c r="I52" t="s">
        <v>3516</v>
      </c>
      <c r="K52" t="s">
        <v>4707</v>
      </c>
      <c r="S52">
        <v>2050</v>
      </c>
      <c r="V52" s="89"/>
      <c r="Z52" t="s">
        <v>2739</v>
      </c>
      <c r="AA52" t="s">
        <v>3828</v>
      </c>
    </row>
    <row r="53" spans="1:27" x14ac:dyDescent="0.3">
      <c r="A53" s="327" t="s">
        <v>246</v>
      </c>
      <c r="B53" t="s">
        <v>247</v>
      </c>
      <c r="C53" s="326" t="s">
        <v>3162</v>
      </c>
      <c r="D53" s="327" t="str">
        <f t="shared" si="0"/>
        <v>NACE A - 03.11 Marine fishing</v>
      </c>
      <c r="E53" s="324" t="s">
        <v>248</v>
      </c>
      <c r="F53" t="s">
        <v>249</v>
      </c>
      <c r="G53" t="str">
        <f t="shared" si="1"/>
        <v>CR</v>
      </c>
      <c r="H53" s="89"/>
      <c r="I53" t="s">
        <v>2690</v>
      </c>
      <c r="K53" t="s">
        <v>4708</v>
      </c>
      <c r="S53">
        <v>2051</v>
      </c>
      <c r="V53" s="481"/>
      <c r="Z53" t="s">
        <v>2807</v>
      </c>
      <c r="AA53" t="s">
        <v>3829</v>
      </c>
    </row>
    <row r="54" spans="1:27" x14ac:dyDescent="0.3">
      <c r="A54" s="327" t="s">
        <v>250</v>
      </c>
      <c r="B54" t="s">
        <v>251</v>
      </c>
      <c r="C54" s="326" t="s">
        <v>3163</v>
      </c>
      <c r="D54" s="327" t="str">
        <f t="shared" si="0"/>
        <v>NACE A - 03.12 Freshwater fishing</v>
      </c>
      <c r="E54" s="324" t="s">
        <v>252</v>
      </c>
      <c r="F54" t="s">
        <v>253</v>
      </c>
      <c r="G54" t="str">
        <f t="shared" si="1"/>
        <v>CS</v>
      </c>
      <c r="H54" s="481"/>
      <c r="I54" t="s">
        <v>3517</v>
      </c>
      <c r="K54" t="s">
        <v>4709</v>
      </c>
      <c r="S54">
        <v>2052</v>
      </c>
      <c r="V54" s="481"/>
      <c r="Z54" t="s">
        <v>2808</v>
      </c>
      <c r="AA54" t="s">
        <v>3830</v>
      </c>
    </row>
    <row r="55" spans="1:27" x14ac:dyDescent="0.3">
      <c r="A55" s="326" t="s">
        <v>254</v>
      </c>
      <c r="B55" t="s">
        <v>255</v>
      </c>
      <c r="C55" s="323" t="s">
        <v>3164</v>
      </c>
      <c r="D55" s="326" t="str">
        <f t="shared" si="0"/>
        <v>NACE A - 03.2 Aquaculture</v>
      </c>
      <c r="E55" s="324" t="s">
        <v>256</v>
      </c>
      <c r="F55" t="s">
        <v>257</v>
      </c>
      <c r="G55" t="str">
        <f t="shared" si="1"/>
        <v>CU</v>
      </c>
      <c r="H55" s="481"/>
      <c r="I55" t="s">
        <v>2689</v>
      </c>
      <c r="K55" t="s">
        <v>4710</v>
      </c>
      <c r="S55">
        <v>2053</v>
      </c>
      <c r="V55" s="481"/>
      <c r="Z55" t="s">
        <v>2809</v>
      </c>
      <c r="AA55" t="s">
        <v>3831</v>
      </c>
    </row>
    <row r="56" spans="1:27" x14ac:dyDescent="0.3">
      <c r="A56" s="327" t="s">
        <v>258</v>
      </c>
      <c r="B56" t="s">
        <v>259</v>
      </c>
      <c r="C56" s="326" t="s">
        <v>3165</v>
      </c>
      <c r="D56" s="327" t="str">
        <f t="shared" si="0"/>
        <v>NACE A - 03.21 Marine aquaculture</v>
      </c>
      <c r="E56" s="324" t="s">
        <v>260</v>
      </c>
      <c r="F56" t="s">
        <v>261</v>
      </c>
      <c r="G56" t="str">
        <f t="shared" si="1"/>
        <v>CV</v>
      </c>
      <c r="H56" s="481"/>
      <c r="I56" t="s">
        <v>2688</v>
      </c>
      <c r="K56" t="s">
        <v>4711</v>
      </c>
      <c r="S56">
        <v>2054</v>
      </c>
      <c r="V56" s="481"/>
      <c r="Z56" t="s">
        <v>2810</v>
      </c>
      <c r="AA56" t="s">
        <v>3832</v>
      </c>
    </row>
    <row r="57" spans="1:27" x14ac:dyDescent="0.3">
      <c r="A57" s="327" t="s">
        <v>262</v>
      </c>
      <c r="B57" t="s">
        <v>263</v>
      </c>
      <c r="C57" s="326" t="s">
        <v>3166</v>
      </c>
      <c r="D57" s="327" t="str">
        <f t="shared" si="0"/>
        <v>NACE A - 03.22 Freshwater aquaculture</v>
      </c>
      <c r="E57" s="324" t="s">
        <v>264</v>
      </c>
      <c r="F57" t="s">
        <v>265</v>
      </c>
      <c r="G57" t="str">
        <f t="shared" si="1"/>
        <v>CW</v>
      </c>
      <c r="H57" s="481"/>
      <c r="I57" t="s">
        <v>2687</v>
      </c>
      <c r="K57" t="s">
        <v>4712</v>
      </c>
      <c r="S57">
        <v>2055</v>
      </c>
      <c r="V57" s="481"/>
      <c r="Z57" t="s">
        <v>2811</v>
      </c>
      <c r="AA57" t="s">
        <v>3833</v>
      </c>
    </row>
    <row r="58" spans="1:27" x14ac:dyDescent="0.3">
      <c r="A58" s="326" t="s">
        <v>266</v>
      </c>
      <c r="B58" t="s">
        <v>267</v>
      </c>
      <c r="C58" s="323" t="s">
        <v>3167</v>
      </c>
      <c r="D58" s="326" t="str">
        <f t="shared" si="0"/>
        <v>NACE A - 03.3 Support activities for fishing and aquaculture</v>
      </c>
      <c r="E58" s="324" t="s">
        <v>268</v>
      </c>
      <c r="F58" t="s">
        <v>269</v>
      </c>
      <c r="G58" t="str">
        <f t="shared" si="1"/>
        <v>CX</v>
      </c>
      <c r="H58" s="481"/>
      <c r="I58" t="s">
        <v>3518</v>
      </c>
      <c r="K58" t="s">
        <v>4713</v>
      </c>
      <c r="S58">
        <v>2056</v>
      </c>
      <c r="V58" s="481"/>
      <c r="Z58" t="s">
        <v>2740</v>
      </c>
      <c r="AA58" t="s">
        <v>3834</v>
      </c>
    </row>
    <row r="59" spans="1:27" x14ac:dyDescent="0.3">
      <c r="A59" s="327" t="s">
        <v>270</v>
      </c>
      <c r="B59" t="s">
        <v>271</v>
      </c>
      <c r="C59" s="326" t="s">
        <v>3168</v>
      </c>
      <c r="D59" s="327" t="str">
        <f t="shared" si="0"/>
        <v>NACE A - 03.30 Support activities for fishing and aquaculture</v>
      </c>
      <c r="E59" s="324" t="s">
        <v>272</v>
      </c>
      <c r="F59" t="s">
        <v>273</v>
      </c>
      <c r="G59" t="str">
        <f t="shared" si="1"/>
        <v>CY</v>
      </c>
      <c r="H59" s="481"/>
      <c r="I59" t="s">
        <v>2686</v>
      </c>
      <c r="K59" t="s">
        <v>4714</v>
      </c>
      <c r="S59">
        <v>2057</v>
      </c>
      <c r="V59" s="481"/>
      <c r="Z59" t="s">
        <v>2812</v>
      </c>
      <c r="AA59" t="s">
        <v>3835</v>
      </c>
    </row>
    <row r="60" spans="1:27" x14ac:dyDescent="0.3">
      <c r="A60" s="324" t="s">
        <v>274</v>
      </c>
      <c r="B60" t="s">
        <v>275</v>
      </c>
      <c r="C60" s="326" t="s">
        <v>3169</v>
      </c>
      <c r="D60" s="324" t="str">
        <f t="shared" si="0"/>
        <v>NACE B - MINING AND QUARRYING</v>
      </c>
      <c r="E60" s="324" t="s">
        <v>276</v>
      </c>
      <c r="F60" t="s">
        <v>277</v>
      </c>
      <c r="G60" t="str">
        <f t="shared" si="1"/>
        <v>CZ</v>
      </c>
      <c r="H60" s="481"/>
      <c r="I60" t="s">
        <v>2685</v>
      </c>
      <c r="K60" t="s">
        <v>4715</v>
      </c>
      <c r="S60">
        <v>2058</v>
      </c>
      <c r="V60" s="89"/>
      <c r="Z60" t="s">
        <v>2741</v>
      </c>
      <c r="AA60" t="s">
        <v>3836</v>
      </c>
    </row>
    <row r="61" spans="1:27" x14ac:dyDescent="0.3">
      <c r="A61" s="323" t="s">
        <v>278</v>
      </c>
      <c r="B61" t="s">
        <v>279</v>
      </c>
      <c r="C61" s="327" t="s">
        <v>3170</v>
      </c>
      <c r="D61" s="323" t="str">
        <f t="shared" si="0"/>
        <v>NACE B - 04 Mining of coal and lignite</v>
      </c>
      <c r="E61" s="324" t="s">
        <v>280</v>
      </c>
      <c r="F61" t="s">
        <v>281</v>
      </c>
      <c r="G61" t="str">
        <f t="shared" si="1"/>
        <v>DE</v>
      </c>
      <c r="H61" s="89"/>
      <c r="I61" t="s">
        <v>2684</v>
      </c>
      <c r="K61" t="s">
        <v>4716</v>
      </c>
      <c r="S61">
        <v>2059</v>
      </c>
      <c r="V61" s="481"/>
      <c r="Z61" t="s">
        <v>2813</v>
      </c>
      <c r="AA61" t="s">
        <v>3837</v>
      </c>
    </row>
    <row r="62" spans="1:27" x14ac:dyDescent="0.3">
      <c r="A62" s="326" t="s">
        <v>282</v>
      </c>
      <c r="B62" t="s">
        <v>283</v>
      </c>
      <c r="C62" s="323" t="s">
        <v>3171</v>
      </c>
      <c r="D62" s="326" t="str">
        <f t="shared" si="0"/>
        <v>NACE B - 05.1 Mining of hard coal</v>
      </c>
      <c r="E62" s="324" t="s">
        <v>284</v>
      </c>
      <c r="F62" t="s">
        <v>285</v>
      </c>
      <c r="G62" t="str">
        <f t="shared" si="1"/>
        <v>DJ</v>
      </c>
      <c r="H62" s="481"/>
      <c r="I62" t="s">
        <v>2683</v>
      </c>
      <c r="K62" t="s">
        <v>4717</v>
      </c>
      <c r="S62">
        <v>2060</v>
      </c>
      <c r="V62" s="481"/>
      <c r="Z62" t="s">
        <v>2814</v>
      </c>
      <c r="AA62" t="s">
        <v>3838</v>
      </c>
    </row>
    <row r="63" spans="1:27" x14ac:dyDescent="0.3">
      <c r="A63" s="327" t="s">
        <v>286</v>
      </c>
      <c r="B63" t="s">
        <v>287</v>
      </c>
      <c r="C63" s="326" t="s">
        <v>3172</v>
      </c>
      <c r="D63" s="327" t="str">
        <f t="shared" si="0"/>
        <v>NACE B - 05.10 Mining of hard coal</v>
      </c>
      <c r="E63" s="324" t="s">
        <v>288</v>
      </c>
      <c r="F63" t="s">
        <v>289</v>
      </c>
      <c r="G63" t="str">
        <f t="shared" si="1"/>
        <v>DK</v>
      </c>
      <c r="H63" s="481"/>
      <c r="I63" t="s">
        <v>2682</v>
      </c>
      <c r="K63" t="s">
        <v>4718</v>
      </c>
      <c r="S63">
        <v>2061</v>
      </c>
      <c r="V63" s="481"/>
      <c r="Z63" t="s">
        <v>2815</v>
      </c>
      <c r="AA63" t="s">
        <v>3839</v>
      </c>
    </row>
    <row r="64" spans="1:27" x14ac:dyDescent="0.3">
      <c r="A64" s="326" t="s">
        <v>290</v>
      </c>
      <c r="B64" t="s">
        <v>291</v>
      </c>
      <c r="C64" s="326" t="s">
        <v>3173</v>
      </c>
      <c r="D64" s="326" t="str">
        <f t="shared" si="0"/>
        <v>NACE B - 05.2 Mining of lignite</v>
      </c>
      <c r="E64" s="324" t="s">
        <v>292</v>
      </c>
      <c r="F64" t="s">
        <v>293</v>
      </c>
      <c r="G64" t="str">
        <f t="shared" si="1"/>
        <v>DM</v>
      </c>
      <c r="H64" s="481"/>
      <c r="I64" t="s">
        <v>3519</v>
      </c>
      <c r="K64" t="s">
        <v>4719</v>
      </c>
      <c r="S64">
        <v>2062</v>
      </c>
      <c r="V64" s="481"/>
      <c r="Z64" t="s">
        <v>2816</v>
      </c>
      <c r="AA64" t="s">
        <v>3840</v>
      </c>
    </row>
    <row r="65" spans="1:27" x14ac:dyDescent="0.3">
      <c r="A65" s="327" t="s">
        <v>294</v>
      </c>
      <c r="B65" t="s">
        <v>295</v>
      </c>
      <c r="C65" s="323" t="s">
        <v>3174</v>
      </c>
      <c r="D65" s="327" t="str">
        <f t="shared" si="0"/>
        <v>NACE B - 05.20 Mining of lignite</v>
      </c>
      <c r="E65" s="324" t="s">
        <v>296</v>
      </c>
      <c r="F65" t="s">
        <v>297</v>
      </c>
      <c r="G65" t="str">
        <f t="shared" si="1"/>
        <v>DO</v>
      </c>
      <c r="H65" s="481"/>
      <c r="I65" t="s">
        <v>3068</v>
      </c>
      <c r="K65" t="s">
        <v>4720</v>
      </c>
      <c r="S65">
        <v>2063</v>
      </c>
      <c r="V65" s="89"/>
      <c r="Z65" t="s">
        <v>2817</v>
      </c>
      <c r="AA65" t="s">
        <v>3841</v>
      </c>
    </row>
    <row r="66" spans="1:27" x14ac:dyDescent="0.3">
      <c r="A66" s="323" t="s">
        <v>298</v>
      </c>
      <c r="B66" t="s">
        <v>299</v>
      </c>
      <c r="C66" s="326" t="s">
        <v>3175</v>
      </c>
      <c r="D66" s="323" t="str">
        <f t="shared" ref="D66:D129" si="2">_xlfn.CONCAT("NACE ", A66)</f>
        <v>NACE B - 05 Extraction of crude petroleum and natural gas</v>
      </c>
      <c r="E66" s="324" t="s">
        <v>300</v>
      </c>
      <c r="F66" t="s">
        <v>301</v>
      </c>
      <c r="G66" t="str">
        <f t="shared" si="1"/>
        <v>DZ</v>
      </c>
      <c r="H66" s="89"/>
      <c r="I66" t="s">
        <v>3520</v>
      </c>
      <c r="K66" t="s">
        <v>4721</v>
      </c>
      <c r="S66">
        <v>2064</v>
      </c>
      <c r="V66" s="481"/>
      <c r="Z66" t="s">
        <v>2818</v>
      </c>
      <c r="AA66" t="s">
        <v>3842</v>
      </c>
    </row>
    <row r="67" spans="1:27" x14ac:dyDescent="0.3">
      <c r="A67" s="326" t="s">
        <v>302</v>
      </c>
      <c r="B67" t="s">
        <v>303</v>
      </c>
      <c r="C67" s="326" t="s">
        <v>3176</v>
      </c>
      <c r="D67" s="326" t="str">
        <f t="shared" si="2"/>
        <v>NACE B - 06.1 Extraction of crude petroleum</v>
      </c>
      <c r="E67" s="324" t="s">
        <v>304</v>
      </c>
      <c r="F67" t="s">
        <v>305</v>
      </c>
      <c r="G67" t="str">
        <f t="shared" ref="G67:G130" si="3">RIGHT(F67,2)</f>
        <v>EC</v>
      </c>
      <c r="H67" s="481"/>
      <c r="I67" t="s">
        <v>2681</v>
      </c>
      <c r="K67" t="s">
        <v>4722</v>
      </c>
      <c r="S67">
        <v>2065</v>
      </c>
      <c r="V67" s="481"/>
      <c r="Z67" t="s">
        <v>2819</v>
      </c>
      <c r="AA67" t="s">
        <v>3843</v>
      </c>
    </row>
    <row r="68" spans="1:27" x14ac:dyDescent="0.3">
      <c r="A68" s="327" t="s">
        <v>306</v>
      </c>
      <c r="B68" t="s">
        <v>307</v>
      </c>
      <c r="C68" s="323" t="s">
        <v>3177</v>
      </c>
      <c r="D68" s="327" t="str">
        <f t="shared" si="2"/>
        <v>NACE B - 06.10 Extraction of crude petroleum</v>
      </c>
      <c r="E68" s="324" t="s">
        <v>308</v>
      </c>
      <c r="F68" t="s">
        <v>309</v>
      </c>
      <c r="G68" t="str">
        <f t="shared" si="3"/>
        <v>EE</v>
      </c>
      <c r="H68" s="481"/>
      <c r="I68" t="s">
        <v>2680</v>
      </c>
      <c r="K68" t="s">
        <v>4723</v>
      </c>
      <c r="S68">
        <v>2066</v>
      </c>
      <c r="V68" s="480"/>
      <c r="Z68" t="s">
        <v>2820</v>
      </c>
      <c r="AA68" t="s">
        <v>3844</v>
      </c>
    </row>
    <row r="69" spans="1:27" x14ac:dyDescent="0.3">
      <c r="A69" s="326" t="s">
        <v>310</v>
      </c>
      <c r="B69" t="s">
        <v>311</v>
      </c>
      <c r="C69" s="326" t="s">
        <v>3178</v>
      </c>
      <c r="D69" s="326" t="str">
        <f t="shared" si="2"/>
        <v>NACE B - 06.2 Extraction of natural gas</v>
      </c>
      <c r="E69" s="324" t="s">
        <v>312</v>
      </c>
      <c r="F69" t="s">
        <v>313</v>
      </c>
      <c r="G69" t="str">
        <f t="shared" si="3"/>
        <v>EG</v>
      </c>
      <c r="H69" s="480"/>
      <c r="I69" t="s">
        <v>2679</v>
      </c>
      <c r="K69" t="s">
        <v>4724</v>
      </c>
      <c r="S69">
        <v>2067</v>
      </c>
      <c r="V69" s="480"/>
      <c r="Z69" t="s">
        <v>2821</v>
      </c>
      <c r="AA69" t="s">
        <v>3845</v>
      </c>
    </row>
    <row r="70" spans="1:27" x14ac:dyDescent="0.3">
      <c r="A70" s="327" t="s">
        <v>314</v>
      </c>
      <c r="B70" t="s">
        <v>315</v>
      </c>
      <c r="C70" s="326" t="s">
        <v>3179</v>
      </c>
      <c r="D70" s="327" t="str">
        <f t="shared" si="2"/>
        <v>NACE B - 06.20 Extraction of natural gas</v>
      </c>
      <c r="E70" s="324" t="s">
        <v>316</v>
      </c>
      <c r="F70" t="s">
        <v>317</v>
      </c>
      <c r="G70" t="str">
        <f t="shared" si="3"/>
        <v>EH</v>
      </c>
      <c r="H70" s="480"/>
      <c r="I70" t="s">
        <v>2678</v>
      </c>
      <c r="K70" t="s">
        <v>4725</v>
      </c>
      <c r="S70">
        <v>2068</v>
      </c>
      <c r="V70" s="480"/>
      <c r="Z70" t="s">
        <v>2822</v>
      </c>
      <c r="AA70" t="s">
        <v>3846</v>
      </c>
    </row>
    <row r="71" spans="1:27" x14ac:dyDescent="0.3">
      <c r="A71" s="323" t="s">
        <v>318</v>
      </c>
      <c r="B71" t="s">
        <v>319</v>
      </c>
      <c r="C71" s="323" t="s">
        <v>3180</v>
      </c>
      <c r="D71" s="323" t="str">
        <f t="shared" si="2"/>
        <v>NACE B - 06 Mining of metal ores</v>
      </c>
      <c r="E71" s="324" t="s">
        <v>320</v>
      </c>
      <c r="F71" t="s">
        <v>321</v>
      </c>
      <c r="G71" t="str">
        <f t="shared" si="3"/>
        <v>ER</v>
      </c>
      <c r="H71" s="480"/>
      <c r="I71" t="s">
        <v>2677</v>
      </c>
      <c r="K71" t="s">
        <v>4726</v>
      </c>
      <c r="S71">
        <v>2069</v>
      </c>
      <c r="V71" s="480"/>
      <c r="Z71" t="s">
        <v>2823</v>
      </c>
      <c r="AA71" t="s">
        <v>3847</v>
      </c>
    </row>
    <row r="72" spans="1:27" x14ac:dyDescent="0.3">
      <c r="A72" s="326" t="s">
        <v>322</v>
      </c>
      <c r="B72" t="s">
        <v>323</v>
      </c>
      <c r="C72" s="326" t="s">
        <v>3181</v>
      </c>
      <c r="D72" s="326" t="str">
        <f t="shared" si="2"/>
        <v>NACE B - 07.1 Mining of iron ores</v>
      </c>
      <c r="E72" s="324" t="s">
        <v>324</v>
      </c>
      <c r="F72" t="s">
        <v>325</v>
      </c>
      <c r="G72" t="str">
        <f t="shared" si="3"/>
        <v>ES</v>
      </c>
      <c r="H72" s="480"/>
      <c r="I72" t="s">
        <v>3521</v>
      </c>
      <c r="K72" t="s">
        <v>4727</v>
      </c>
      <c r="S72">
        <v>2070</v>
      </c>
      <c r="V72" s="480"/>
      <c r="Z72" t="s">
        <v>2824</v>
      </c>
      <c r="AA72" t="s">
        <v>3848</v>
      </c>
    </row>
    <row r="73" spans="1:27" x14ac:dyDescent="0.3">
      <c r="A73" s="327" t="s">
        <v>326</v>
      </c>
      <c r="B73" t="s">
        <v>327</v>
      </c>
      <c r="C73" s="326" t="s">
        <v>3182</v>
      </c>
      <c r="D73" s="327" t="str">
        <f t="shared" si="2"/>
        <v>NACE B - 07.10 Mining of iron ores</v>
      </c>
      <c r="E73" s="324" t="s">
        <v>328</v>
      </c>
      <c r="F73" t="s">
        <v>329</v>
      </c>
      <c r="G73" t="str">
        <f t="shared" si="3"/>
        <v>ET</v>
      </c>
      <c r="H73" s="480"/>
      <c r="I73" t="s">
        <v>2676</v>
      </c>
      <c r="K73" t="s">
        <v>4728</v>
      </c>
      <c r="S73">
        <v>2071</v>
      </c>
      <c r="V73" s="480"/>
      <c r="Z73" t="s">
        <v>2825</v>
      </c>
      <c r="AA73" t="s">
        <v>3849</v>
      </c>
    </row>
    <row r="74" spans="1:27" x14ac:dyDescent="0.3">
      <c r="A74" s="326" t="s">
        <v>330</v>
      </c>
      <c r="B74" t="s">
        <v>331</v>
      </c>
      <c r="C74" s="323" t="s">
        <v>3183</v>
      </c>
      <c r="D74" s="326" t="str">
        <f t="shared" si="2"/>
        <v>NACE B - 07.2 Mining of non-ferrous metal ores</v>
      </c>
      <c r="E74" s="324" t="s">
        <v>332</v>
      </c>
      <c r="F74" t="s">
        <v>333</v>
      </c>
      <c r="G74" t="str">
        <f t="shared" si="3"/>
        <v>FI</v>
      </c>
      <c r="H74" s="480"/>
      <c r="I74" t="s">
        <v>2675</v>
      </c>
      <c r="K74" t="s">
        <v>4729</v>
      </c>
      <c r="S74">
        <v>2072</v>
      </c>
      <c r="V74" s="481"/>
      <c r="Z74" t="s">
        <v>2742</v>
      </c>
      <c r="AA74" t="s">
        <v>3850</v>
      </c>
    </row>
    <row r="75" spans="1:27" x14ac:dyDescent="0.3">
      <c r="A75" s="327" t="s">
        <v>334</v>
      </c>
      <c r="B75" t="s">
        <v>335</v>
      </c>
      <c r="C75" s="326" t="s">
        <v>3184</v>
      </c>
      <c r="D75" s="327" t="str">
        <f t="shared" si="2"/>
        <v>NACE B - 07.21 Mining of uranium and thorium ores</v>
      </c>
      <c r="E75" s="324" t="s">
        <v>336</v>
      </c>
      <c r="F75" t="s">
        <v>337</v>
      </c>
      <c r="G75" t="str">
        <f t="shared" si="3"/>
        <v>FJ</v>
      </c>
      <c r="H75" s="481"/>
      <c r="I75" t="s">
        <v>2674</v>
      </c>
      <c r="K75" t="s">
        <v>4730</v>
      </c>
      <c r="S75">
        <v>2073</v>
      </c>
      <c r="V75" s="481"/>
      <c r="Z75" t="s">
        <v>2826</v>
      </c>
      <c r="AA75" t="s">
        <v>3851</v>
      </c>
    </row>
    <row r="76" spans="1:27" x14ac:dyDescent="0.3">
      <c r="A76" s="327" t="s">
        <v>338</v>
      </c>
      <c r="B76" t="s">
        <v>339</v>
      </c>
      <c r="C76" s="326" t="s">
        <v>3185</v>
      </c>
      <c r="D76" s="327" t="str">
        <f t="shared" si="2"/>
        <v>NACE B - 07.29 Mining of other non-ferrous metal ores</v>
      </c>
      <c r="E76" s="324" t="s">
        <v>340</v>
      </c>
      <c r="F76" t="s">
        <v>341</v>
      </c>
      <c r="G76" t="str">
        <f t="shared" si="3"/>
        <v>FK</v>
      </c>
      <c r="H76" s="481"/>
      <c r="I76" t="s">
        <v>2673</v>
      </c>
      <c r="K76" t="s">
        <v>4731</v>
      </c>
      <c r="S76">
        <v>2074</v>
      </c>
      <c r="V76" s="481"/>
      <c r="Z76" t="s">
        <v>2827</v>
      </c>
      <c r="AA76" t="s">
        <v>3852</v>
      </c>
    </row>
    <row r="77" spans="1:27" x14ac:dyDescent="0.3">
      <c r="A77" s="323" t="s">
        <v>342</v>
      </c>
      <c r="B77" t="s">
        <v>343</v>
      </c>
      <c r="C77" s="326" t="s">
        <v>3186</v>
      </c>
      <c r="D77" s="323" t="str">
        <f t="shared" si="2"/>
        <v>NACE B - 07 Other mining and quarrying</v>
      </c>
      <c r="E77" s="324" t="s">
        <v>344</v>
      </c>
      <c r="F77" t="s">
        <v>345</v>
      </c>
      <c r="G77" t="str">
        <f t="shared" si="3"/>
        <v>FM</v>
      </c>
      <c r="H77" s="481"/>
      <c r="I77" t="s">
        <v>2672</v>
      </c>
      <c r="K77" t="s">
        <v>4640</v>
      </c>
      <c r="S77">
        <v>2075</v>
      </c>
      <c r="V77" s="481"/>
      <c r="Z77" t="s">
        <v>2828</v>
      </c>
      <c r="AA77" t="s">
        <v>3853</v>
      </c>
    </row>
    <row r="78" spans="1:27" x14ac:dyDescent="0.3">
      <c r="A78" s="326" t="s">
        <v>346</v>
      </c>
      <c r="B78" t="s">
        <v>347</v>
      </c>
      <c r="C78" s="326" t="s">
        <v>3187</v>
      </c>
      <c r="D78" s="326" t="str">
        <f t="shared" si="2"/>
        <v>NACE B - 08.1 Quarrying of stone, sand and clay</v>
      </c>
      <c r="E78" s="324" t="s">
        <v>348</v>
      </c>
      <c r="F78" t="s">
        <v>349</v>
      </c>
      <c r="G78" t="str">
        <f t="shared" si="3"/>
        <v>FO</v>
      </c>
      <c r="H78" s="481"/>
      <c r="I78" t="s">
        <v>2671</v>
      </c>
      <c r="K78" t="s">
        <v>4732</v>
      </c>
      <c r="S78">
        <v>2076</v>
      </c>
      <c r="V78" s="481"/>
      <c r="Z78" t="s">
        <v>2829</v>
      </c>
      <c r="AA78" t="s">
        <v>3854</v>
      </c>
    </row>
    <row r="79" spans="1:27" x14ac:dyDescent="0.3">
      <c r="A79" s="327" t="s">
        <v>350</v>
      </c>
      <c r="B79" t="s">
        <v>351</v>
      </c>
      <c r="C79" s="326" t="s">
        <v>3188</v>
      </c>
      <c r="D79" s="327" t="str">
        <f t="shared" si="2"/>
        <v>NACE B - 08.11 Quarrying of ornamental stone, limestone, gypsum, slate and other stone</v>
      </c>
      <c r="E79" s="324" t="s">
        <v>352</v>
      </c>
      <c r="F79" t="s">
        <v>353</v>
      </c>
      <c r="G79" t="str">
        <f t="shared" si="3"/>
        <v>FR</v>
      </c>
      <c r="H79" s="481"/>
      <c r="I79" t="s">
        <v>2670</v>
      </c>
      <c r="K79" t="s">
        <v>4733</v>
      </c>
      <c r="S79">
        <v>2077</v>
      </c>
      <c r="V79" s="481"/>
      <c r="Z79" t="s">
        <v>2743</v>
      </c>
      <c r="AA79" t="s">
        <v>3855</v>
      </c>
    </row>
    <row r="80" spans="1:27" x14ac:dyDescent="0.3">
      <c r="A80" s="327" t="s">
        <v>354</v>
      </c>
      <c r="B80" t="s">
        <v>355</v>
      </c>
      <c r="C80" s="326" t="s">
        <v>3189</v>
      </c>
      <c r="D80" s="327" t="str">
        <f t="shared" si="2"/>
        <v>NACE B - 08.12 Operation of gravel and sand pits and mining of clay and kaolin</v>
      </c>
      <c r="E80" s="324" t="s">
        <v>356</v>
      </c>
      <c r="F80" t="s">
        <v>357</v>
      </c>
      <c r="G80" t="str">
        <f t="shared" si="3"/>
        <v>GA</v>
      </c>
      <c r="H80" s="481"/>
      <c r="I80" t="s">
        <v>3529</v>
      </c>
      <c r="K80" t="s">
        <v>4734</v>
      </c>
      <c r="S80">
        <v>2078</v>
      </c>
      <c r="V80" s="480"/>
      <c r="Z80" t="s">
        <v>2830</v>
      </c>
      <c r="AA80" t="s">
        <v>3856</v>
      </c>
    </row>
    <row r="81" spans="1:27" x14ac:dyDescent="0.3">
      <c r="A81" s="326" t="s">
        <v>358</v>
      </c>
      <c r="B81" t="s">
        <v>359</v>
      </c>
      <c r="C81" s="323" t="s">
        <v>3190</v>
      </c>
      <c r="D81" s="326" t="str">
        <f t="shared" si="2"/>
        <v>NACE B - 08.9 Mining and quarrying n.e.c.</v>
      </c>
      <c r="E81" s="324" t="s">
        <v>360</v>
      </c>
      <c r="F81" t="s">
        <v>361</v>
      </c>
      <c r="G81" t="str">
        <f t="shared" si="3"/>
        <v>GB</v>
      </c>
      <c r="H81" s="480"/>
      <c r="I81" t="s">
        <v>2669</v>
      </c>
      <c r="K81" t="s">
        <v>4735</v>
      </c>
      <c r="S81">
        <v>2079</v>
      </c>
      <c r="V81" s="480"/>
      <c r="Z81" t="s">
        <v>2831</v>
      </c>
      <c r="AA81" t="s">
        <v>3857</v>
      </c>
    </row>
    <row r="82" spans="1:27" x14ac:dyDescent="0.3">
      <c r="A82" s="327" t="s">
        <v>362</v>
      </c>
      <c r="B82" t="s">
        <v>363</v>
      </c>
      <c r="C82" s="326" t="s">
        <v>3191</v>
      </c>
      <c r="D82" s="327" t="str">
        <f t="shared" si="2"/>
        <v>NACE B - 08.91 Mining of chemical and fertiliser minerals</v>
      </c>
      <c r="E82" s="324" t="s">
        <v>364</v>
      </c>
      <c r="F82" t="s">
        <v>365</v>
      </c>
      <c r="G82" t="str">
        <f t="shared" si="3"/>
        <v>GD</v>
      </c>
      <c r="H82" s="480"/>
      <c r="I82" t="s">
        <v>2668</v>
      </c>
      <c r="K82" t="s">
        <v>4736</v>
      </c>
      <c r="S82">
        <v>2080</v>
      </c>
      <c r="V82" s="480"/>
      <c r="Z82" t="s">
        <v>2832</v>
      </c>
      <c r="AA82" t="s">
        <v>3858</v>
      </c>
    </row>
    <row r="83" spans="1:27" x14ac:dyDescent="0.3">
      <c r="A83" s="327" t="s">
        <v>366</v>
      </c>
      <c r="B83" t="s">
        <v>367</v>
      </c>
      <c r="C83" s="326" t="s">
        <v>3192</v>
      </c>
      <c r="D83" s="327" t="str">
        <f t="shared" si="2"/>
        <v>NACE B - 08.92 Extraction of peat</v>
      </c>
      <c r="E83" s="324" t="s">
        <v>368</v>
      </c>
      <c r="F83" t="s">
        <v>369</v>
      </c>
      <c r="G83" t="str">
        <f t="shared" si="3"/>
        <v>GE</v>
      </c>
      <c r="H83" s="480"/>
      <c r="I83" t="s">
        <v>3522</v>
      </c>
      <c r="K83" t="s">
        <v>4737</v>
      </c>
      <c r="S83">
        <v>2081</v>
      </c>
      <c r="V83" s="481"/>
      <c r="Z83" t="s">
        <v>2744</v>
      </c>
      <c r="AA83" t="s">
        <v>3859</v>
      </c>
    </row>
    <row r="84" spans="1:27" x14ac:dyDescent="0.3">
      <c r="A84" s="327" t="s">
        <v>370</v>
      </c>
      <c r="B84" t="s">
        <v>371</v>
      </c>
      <c r="C84" s="323" t="s">
        <v>3193</v>
      </c>
      <c r="D84" s="327" t="str">
        <f t="shared" si="2"/>
        <v>NACE B - 08.93 Extraction of salt</v>
      </c>
      <c r="E84" s="324" t="s">
        <v>372</v>
      </c>
      <c r="F84" t="s">
        <v>373</v>
      </c>
      <c r="G84" t="str">
        <f t="shared" si="3"/>
        <v>GF</v>
      </c>
      <c r="H84" s="481"/>
      <c r="I84" t="s">
        <v>2667</v>
      </c>
      <c r="K84" t="s">
        <v>4738</v>
      </c>
      <c r="S84">
        <v>2082</v>
      </c>
      <c r="V84" s="481"/>
      <c r="Z84" t="s">
        <v>2833</v>
      </c>
      <c r="AA84" t="s">
        <v>3860</v>
      </c>
    </row>
    <row r="85" spans="1:27" x14ac:dyDescent="0.3">
      <c r="A85" s="327" t="s">
        <v>374</v>
      </c>
      <c r="B85" t="s">
        <v>375</v>
      </c>
      <c r="C85" s="326" t="s">
        <v>3194</v>
      </c>
      <c r="D85" s="327" t="str">
        <f t="shared" si="2"/>
        <v>NACE B - 08.99 Other mining and quarrying n.e.c.</v>
      </c>
      <c r="E85" s="324" t="s">
        <v>376</v>
      </c>
      <c r="F85" t="s">
        <v>377</v>
      </c>
      <c r="G85" t="str">
        <f t="shared" si="3"/>
        <v>GG</v>
      </c>
      <c r="H85" s="481"/>
      <c r="I85" t="s">
        <v>2666</v>
      </c>
      <c r="K85" t="s">
        <v>4739</v>
      </c>
      <c r="S85">
        <v>2083</v>
      </c>
      <c r="V85" s="89"/>
      <c r="Z85" t="s">
        <v>2834</v>
      </c>
      <c r="AA85" t="s">
        <v>3861</v>
      </c>
    </row>
    <row r="86" spans="1:27" x14ac:dyDescent="0.3">
      <c r="A86" s="323" t="s">
        <v>378</v>
      </c>
      <c r="B86" t="s">
        <v>379</v>
      </c>
      <c r="C86" s="326" t="s">
        <v>3195</v>
      </c>
      <c r="D86" s="323" t="str">
        <f t="shared" si="2"/>
        <v>NACE B - 08 Mining support service activities</v>
      </c>
      <c r="E86" s="324" t="s">
        <v>380</v>
      </c>
      <c r="F86" t="s">
        <v>381</v>
      </c>
      <c r="G86" t="str">
        <f t="shared" si="3"/>
        <v>GH</v>
      </c>
      <c r="H86" s="89"/>
      <c r="I86" t="s">
        <v>2665</v>
      </c>
      <c r="K86" t="s">
        <v>4740</v>
      </c>
      <c r="S86">
        <v>2084</v>
      </c>
      <c r="V86" s="481"/>
      <c r="Z86" t="s">
        <v>2835</v>
      </c>
      <c r="AA86" t="s">
        <v>3862</v>
      </c>
    </row>
    <row r="87" spans="1:27" x14ac:dyDescent="0.3">
      <c r="A87" s="326" t="s">
        <v>382</v>
      </c>
      <c r="B87" t="s">
        <v>383</v>
      </c>
      <c r="C87" s="323" t="s">
        <v>3196</v>
      </c>
      <c r="D87" s="326" t="str">
        <f t="shared" si="2"/>
        <v>NACE B - 09.1 Support activities for petroleum and natural gas extraction</v>
      </c>
      <c r="E87" s="324" t="s">
        <v>384</v>
      </c>
      <c r="F87" t="s">
        <v>385</v>
      </c>
      <c r="G87" t="str">
        <f t="shared" si="3"/>
        <v>GI</v>
      </c>
      <c r="H87" s="481"/>
      <c r="I87" t="s">
        <v>2664</v>
      </c>
      <c r="K87" t="s">
        <v>4741</v>
      </c>
      <c r="S87">
        <v>2085</v>
      </c>
      <c r="V87" s="481"/>
      <c r="Z87" t="s">
        <v>2836</v>
      </c>
      <c r="AA87" t="s">
        <v>3863</v>
      </c>
    </row>
    <row r="88" spans="1:27" x14ac:dyDescent="0.3">
      <c r="A88" s="327" t="s">
        <v>386</v>
      </c>
      <c r="B88" t="s">
        <v>387</v>
      </c>
      <c r="C88" s="326" t="s">
        <v>3197</v>
      </c>
      <c r="D88" s="327" t="str">
        <f t="shared" si="2"/>
        <v>NACE B - 09.10 Support activities for petroleum and natural gas extraction</v>
      </c>
      <c r="E88" s="324" t="s">
        <v>388</v>
      </c>
      <c r="F88" t="s">
        <v>389</v>
      </c>
      <c r="G88" t="str">
        <f t="shared" si="3"/>
        <v>GL</v>
      </c>
      <c r="H88" s="481"/>
      <c r="I88" t="s">
        <v>3530</v>
      </c>
      <c r="K88" t="s">
        <v>4742</v>
      </c>
      <c r="S88">
        <v>2086</v>
      </c>
      <c r="V88" s="481"/>
      <c r="Z88" t="s">
        <v>2837</v>
      </c>
      <c r="AA88" t="s">
        <v>3864</v>
      </c>
    </row>
    <row r="89" spans="1:27" x14ac:dyDescent="0.3">
      <c r="A89" s="326" t="s">
        <v>390</v>
      </c>
      <c r="B89" t="s">
        <v>391</v>
      </c>
      <c r="C89" s="326" t="s">
        <v>3198</v>
      </c>
      <c r="D89" s="326" t="str">
        <f t="shared" si="2"/>
        <v>NACE B - 09.9 Support activities for other mining and quarrying</v>
      </c>
      <c r="E89" s="324" t="s">
        <v>392</v>
      </c>
      <c r="F89" t="s">
        <v>393</v>
      </c>
      <c r="G89" t="str">
        <f t="shared" si="3"/>
        <v>GM</v>
      </c>
      <c r="H89" s="481"/>
      <c r="I89" t="s">
        <v>2663</v>
      </c>
      <c r="K89" t="s">
        <v>4743</v>
      </c>
      <c r="S89">
        <v>2087</v>
      </c>
      <c r="V89" s="481"/>
      <c r="Z89" t="s">
        <v>2838</v>
      </c>
      <c r="AA89" t="s">
        <v>3865</v>
      </c>
    </row>
    <row r="90" spans="1:27" x14ac:dyDescent="0.3">
      <c r="A90" s="327" t="s">
        <v>394</v>
      </c>
      <c r="B90" t="s">
        <v>395</v>
      </c>
      <c r="C90" s="326" t="s">
        <v>3199</v>
      </c>
      <c r="D90" s="327" t="str">
        <f t="shared" si="2"/>
        <v>NACE B - 09.90 Support activities for other mining and quarrying</v>
      </c>
      <c r="E90" s="324" t="s">
        <v>396</v>
      </c>
      <c r="F90" t="s">
        <v>397</v>
      </c>
      <c r="G90" t="str">
        <f t="shared" si="3"/>
        <v>GN</v>
      </c>
      <c r="H90" s="481"/>
      <c r="I90" t="s">
        <v>2662</v>
      </c>
      <c r="K90" t="s">
        <v>4744</v>
      </c>
      <c r="S90">
        <v>2088</v>
      </c>
      <c r="V90" s="481"/>
      <c r="Z90" t="s">
        <v>2904</v>
      </c>
      <c r="AA90" t="s">
        <v>3866</v>
      </c>
    </row>
    <row r="91" spans="1:27" x14ac:dyDescent="0.3">
      <c r="A91" s="324" t="s">
        <v>398</v>
      </c>
      <c r="B91" t="s">
        <v>399</v>
      </c>
      <c r="C91" s="326" t="s">
        <v>3200</v>
      </c>
      <c r="D91" s="324" t="str">
        <f t="shared" si="2"/>
        <v>NACE C - MANUFACTURING</v>
      </c>
      <c r="E91" s="324" t="s">
        <v>400</v>
      </c>
      <c r="F91" t="s">
        <v>401</v>
      </c>
      <c r="G91" t="str">
        <f t="shared" si="3"/>
        <v>GP</v>
      </c>
      <c r="H91" s="481"/>
      <c r="I91" t="s">
        <v>2661</v>
      </c>
      <c r="K91" t="s">
        <v>4745</v>
      </c>
      <c r="S91">
        <v>2089</v>
      </c>
      <c r="V91" s="481"/>
      <c r="Z91" t="s">
        <v>2839</v>
      </c>
      <c r="AA91" t="s">
        <v>3867</v>
      </c>
    </row>
    <row r="92" spans="1:27" x14ac:dyDescent="0.3">
      <c r="A92" s="323" t="s">
        <v>402</v>
      </c>
      <c r="B92" t="s">
        <v>403</v>
      </c>
      <c r="C92" s="326" t="s">
        <v>3201</v>
      </c>
      <c r="D92" s="323" t="str">
        <f t="shared" si="2"/>
        <v>NACE C - 10 Manufacture of food products</v>
      </c>
      <c r="E92" s="324" t="s">
        <v>404</v>
      </c>
      <c r="F92" t="s">
        <v>405</v>
      </c>
      <c r="G92" t="str">
        <f t="shared" si="3"/>
        <v>GQ</v>
      </c>
      <c r="H92" s="481"/>
      <c r="I92" t="s">
        <v>2660</v>
      </c>
      <c r="K92" t="s">
        <v>4746</v>
      </c>
      <c r="S92">
        <v>2090</v>
      </c>
      <c r="V92" s="481"/>
      <c r="Z92" t="s">
        <v>2840</v>
      </c>
      <c r="AA92" t="s">
        <v>3868</v>
      </c>
    </row>
    <row r="93" spans="1:27" x14ac:dyDescent="0.3">
      <c r="A93" s="326" t="s">
        <v>406</v>
      </c>
      <c r="B93" t="s">
        <v>407</v>
      </c>
      <c r="C93" s="326" t="s">
        <v>3202</v>
      </c>
      <c r="D93" s="326" t="str">
        <f t="shared" si="2"/>
        <v>NACE C - 10.1 Processing and preserving of meat and production of meat products</v>
      </c>
      <c r="E93" s="324" t="s">
        <v>408</v>
      </c>
      <c r="F93" t="s">
        <v>409</v>
      </c>
      <c r="G93" t="str">
        <f t="shared" si="3"/>
        <v>GR</v>
      </c>
      <c r="H93" s="481"/>
      <c r="I93" t="s">
        <v>2659</v>
      </c>
      <c r="K93" t="s">
        <v>4747</v>
      </c>
      <c r="S93">
        <v>2091</v>
      </c>
      <c r="V93" s="481"/>
      <c r="Z93" t="s">
        <v>2841</v>
      </c>
      <c r="AA93" t="s">
        <v>3869</v>
      </c>
    </row>
    <row r="94" spans="1:27" x14ac:dyDescent="0.3">
      <c r="A94" s="327" t="s">
        <v>410</v>
      </c>
      <c r="B94" t="s">
        <v>411</v>
      </c>
      <c r="C94" s="326" t="s">
        <v>3203</v>
      </c>
      <c r="D94" s="327" t="str">
        <f t="shared" si="2"/>
        <v>NACE C - 10.11 Processing and preserving of meat, except of poultry meat</v>
      </c>
      <c r="E94" s="324" t="s">
        <v>412</v>
      </c>
      <c r="F94" t="s">
        <v>413</v>
      </c>
      <c r="G94" t="str">
        <f t="shared" si="3"/>
        <v>GS</v>
      </c>
      <c r="H94" s="481"/>
      <c r="I94" t="s">
        <v>2658</v>
      </c>
      <c r="K94" t="s">
        <v>4748</v>
      </c>
      <c r="S94">
        <v>2092</v>
      </c>
      <c r="V94" s="89"/>
      <c r="Z94" t="s">
        <v>2842</v>
      </c>
      <c r="AA94" t="s">
        <v>3870</v>
      </c>
    </row>
    <row r="95" spans="1:27" x14ac:dyDescent="0.3">
      <c r="A95" s="327" t="s">
        <v>414</v>
      </c>
      <c r="B95" t="s">
        <v>415</v>
      </c>
      <c r="C95" s="326" t="s">
        <v>3204</v>
      </c>
      <c r="D95" s="327" t="str">
        <f t="shared" si="2"/>
        <v>NACE C - 10.12 Processing and preserving of poultry meat</v>
      </c>
      <c r="E95" s="324" t="s">
        <v>416</v>
      </c>
      <c r="F95" t="s">
        <v>417</v>
      </c>
      <c r="G95" t="str">
        <f t="shared" si="3"/>
        <v>GT</v>
      </c>
      <c r="H95" s="89"/>
      <c r="I95" t="s">
        <v>3523</v>
      </c>
      <c r="K95" t="s">
        <v>4749</v>
      </c>
      <c r="S95">
        <v>2093</v>
      </c>
      <c r="V95" s="481"/>
      <c r="Z95" t="s">
        <v>2843</v>
      </c>
      <c r="AA95" t="s">
        <v>3871</v>
      </c>
    </row>
    <row r="96" spans="1:27" x14ac:dyDescent="0.3">
      <c r="A96" s="327" t="s">
        <v>418</v>
      </c>
      <c r="B96" t="s">
        <v>419</v>
      </c>
      <c r="C96" s="323" t="s">
        <v>3205</v>
      </c>
      <c r="D96" s="327" t="str">
        <f t="shared" si="2"/>
        <v>NACE C - 10.13 Production of meat and poultry meat products</v>
      </c>
      <c r="E96" s="324" t="s">
        <v>420</v>
      </c>
      <c r="F96" t="s">
        <v>421</v>
      </c>
      <c r="G96" t="str">
        <f t="shared" si="3"/>
        <v>GU</v>
      </c>
      <c r="H96" s="481"/>
      <c r="K96" t="s">
        <v>4750</v>
      </c>
      <c r="S96">
        <v>2094</v>
      </c>
      <c r="V96" s="481"/>
      <c r="Z96" t="s">
        <v>2745</v>
      </c>
      <c r="AA96" t="s">
        <v>3872</v>
      </c>
    </row>
    <row r="97" spans="1:27" x14ac:dyDescent="0.3">
      <c r="A97" s="326" t="s">
        <v>422</v>
      </c>
      <c r="B97" t="s">
        <v>423</v>
      </c>
      <c r="C97" s="326" t="s">
        <v>3206</v>
      </c>
      <c r="D97" s="326" t="str">
        <f t="shared" si="2"/>
        <v>NACE C - 10.2 Processing and preserving of fish, crustaceans and molluscs</v>
      </c>
      <c r="E97" s="324" t="s">
        <v>424</v>
      </c>
      <c r="F97" t="s">
        <v>425</v>
      </c>
      <c r="G97" t="str">
        <f t="shared" si="3"/>
        <v>GW</v>
      </c>
      <c r="H97" s="481"/>
      <c r="K97" t="s">
        <v>4751</v>
      </c>
      <c r="S97">
        <v>2095</v>
      </c>
      <c r="V97" s="481"/>
      <c r="Z97" t="s">
        <v>2844</v>
      </c>
      <c r="AA97" t="s">
        <v>3873</v>
      </c>
    </row>
    <row r="98" spans="1:27" x14ac:dyDescent="0.3">
      <c r="A98" s="327" t="s">
        <v>426</v>
      </c>
      <c r="B98" t="s">
        <v>427</v>
      </c>
      <c r="C98" s="326" t="s">
        <v>3207</v>
      </c>
      <c r="D98" s="327" t="str">
        <f t="shared" si="2"/>
        <v>NACE C - 10.20 Processing and preserving of fish, crustaceans and molluscs</v>
      </c>
      <c r="E98" s="324" t="s">
        <v>428</v>
      </c>
      <c r="F98" t="s">
        <v>429</v>
      </c>
      <c r="G98" t="str">
        <f t="shared" si="3"/>
        <v>GY</v>
      </c>
      <c r="H98" s="481"/>
      <c r="K98" t="s">
        <v>4752</v>
      </c>
      <c r="S98">
        <v>2096</v>
      </c>
      <c r="V98" s="89"/>
      <c r="Z98" t="s">
        <v>2845</v>
      </c>
      <c r="AA98" t="s">
        <v>3874</v>
      </c>
    </row>
    <row r="99" spans="1:27" x14ac:dyDescent="0.3">
      <c r="A99" s="326" t="s">
        <v>430</v>
      </c>
      <c r="B99" t="s">
        <v>431</v>
      </c>
      <c r="C99" s="326" t="s">
        <v>3208</v>
      </c>
      <c r="D99" s="326" t="str">
        <f t="shared" si="2"/>
        <v>NACE C - 10.3 Processing and preserving of fruit and vegetables</v>
      </c>
      <c r="E99" s="324" t="s">
        <v>432</v>
      </c>
      <c r="F99" t="s">
        <v>433</v>
      </c>
      <c r="G99" t="str">
        <f t="shared" si="3"/>
        <v>HK</v>
      </c>
      <c r="H99" s="89"/>
      <c r="K99" t="s">
        <v>4753</v>
      </c>
      <c r="S99">
        <v>2097</v>
      </c>
      <c r="V99" s="481"/>
      <c r="Z99" t="s">
        <v>2746</v>
      </c>
      <c r="AA99" t="s">
        <v>3875</v>
      </c>
    </row>
    <row r="100" spans="1:27" x14ac:dyDescent="0.3">
      <c r="A100" s="327" t="s">
        <v>434</v>
      </c>
      <c r="B100" t="s">
        <v>435</v>
      </c>
      <c r="C100" s="326" t="s">
        <v>3209</v>
      </c>
      <c r="D100" s="327" t="str">
        <f t="shared" si="2"/>
        <v>NACE C - 10.31 Processing and preserving of potatoes</v>
      </c>
      <c r="E100" s="324" t="s">
        <v>436</v>
      </c>
      <c r="F100" t="s">
        <v>437</v>
      </c>
      <c r="G100" t="str">
        <f t="shared" si="3"/>
        <v>HM</v>
      </c>
      <c r="H100" s="481"/>
      <c r="K100" t="s">
        <v>4641</v>
      </c>
      <c r="S100">
        <v>2098</v>
      </c>
      <c r="V100" s="481"/>
      <c r="Z100" t="s">
        <v>2846</v>
      </c>
      <c r="AA100" t="s">
        <v>3876</v>
      </c>
    </row>
    <row r="101" spans="1:27" x14ac:dyDescent="0.3">
      <c r="A101" s="327" t="s">
        <v>438</v>
      </c>
      <c r="B101" t="s">
        <v>439</v>
      </c>
      <c r="C101" s="326" t="s">
        <v>3210</v>
      </c>
      <c r="D101" s="327" t="str">
        <f t="shared" si="2"/>
        <v>NACE C - 10.32 Manufacture of fruit and vegetable juice</v>
      </c>
      <c r="E101" s="324" t="s">
        <v>440</v>
      </c>
      <c r="F101" t="s">
        <v>441</v>
      </c>
      <c r="G101" t="str">
        <f t="shared" si="3"/>
        <v>HN</v>
      </c>
      <c r="H101" s="481"/>
      <c r="K101" t="s">
        <v>4754</v>
      </c>
      <c r="S101">
        <v>2099</v>
      </c>
      <c r="V101" s="481"/>
      <c r="Z101" t="s">
        <v>2847</v>
      </c>
      <c r="AA101" t="s">
        <v>3877</v>
      </c>
    </row>
    <row r="102" spans="1:27" x14ac:dyDescent="0.3">
      <c r="A102" s="327" t="s">
        <v>442</v>
      </c>
      <c r="B102" t="s">
        <v>443</v>
      </c>
      <c r="C102" s="323" t="s">
        <v>3211</v>
      </c>
      <c r="D102" s="327" t="str">
        <f t="shared" si="2"/>
        <v>NACE C - 10.39 Other processing and preserving of fruit and vegetables</v>
      </c>
      <c r="E102" s="324" t="s">
        <v>444</v>
      </c>
      <c r="F102" t="s">
        <v>445</v>
      </c>
      <c r="G102" t="str">
        <f t="shared" si="3"/>
        <v>HR</v>
      </c>
      <c r="H102" s="481"/>
      <c r="K102" t="s">
        <v>4755</v>
      </c>
      <c r="S102">
        <v>2100</v>
      </c>
      <c r="V102" s="481"/>
      <c r="Z102" t="s">
        <v>2848</v>
      </c>
      <c r="AA102" t="s">
        <v>3878</v>
      </c>
    </row>
    <row r="103" spans="1:27" x14ac:dyDescent="0.3">
      <c r="A103" s="326" t="s">
        <v>446</v>
      </c>
      <c r="B103" t="s">
        <v>447</v>
      </c>
      <c r="C103" s="326" t="s">
        <v>3212</v>
      </c>
      <c r="D103" s="326" t="str">
        <f t="shared" si="2"/>
        <v>NACE C - 10.4 Manufacture of vegetable and animal oils and fats</v>
      </c>
      <c r="E103" s="324" t="s">
        <v>448</v>
      </c>
      <c r="F103" t="s">
        <v>449</v>
      </c>
      <c r="G103" t="str">
        <f t="shared" si="3"/>
        <v>HT</v>
      </c>
      <c r="H103" s="481"/>
      <c r="K103" t="s">
        <v>4756</v>
      </c>
      <c r="V103" s="481"/>
      <c r="Z103" t="s">
        <v>2849</v>
      </c>
      <c r="AA103" t="s">
        <v>3879</v>
      </c>
    </row>
    <row r="104" spans="1:27" x14ac:dyDescent="0.3">
      <c r="A104" s="327" t="s">
        <v>450</v>
      </c>
      <c r="B104" t="s">
        <v>451</v>
      </c>
      <c r="C104" s="326" t="s">
        <v>3213</v>
      </c>
      <c r="D104" s="327" t="str">
        <f t="shared" si="2"/>
        <v>NACE C - 10.41 Manufacture of oils and fats</v>
      </c>
      <c r="E104" s="324" t="s">
        <v>452</v>
      </c>
      <c r="F104" t="s">
        <v>453</v>
      </c>
      <c r="G104" t="str">
        <f t="shared" si="3"/>
        <v>HU</v>
      </c>
      <c r="H104" s="481"/>
      <c r="K104" t="s">
        <v>4757</v>
      </c>
      <c r="V104" s="481"/>
      <c r="Z104" t="s">
        <v>2850</v>
      </c>
      <c r="AA104" t="s">
        <v>3880</v>
      </c>
    </row>
    <row r="105" spans="1:27" x14ac:dyDescent="0.3">
      <c r="A105" s="327" t="s">
        <v>454</v>
      </c>
      <c r="B105" t="s">
        <v>455</v>
      </c>
      <c r="C105" s="326" t="s">
        <v>3214</v>
      </c>
      <c r="D105" s="327" t="str">
        <f t="shared" si="2"/>
        <v>NACE C - 10.42 Manufacture of margarine and similar edible fats</v>
      </c>
      <c r="E105" s="324" t="s">
        <v>456</v>
      </c>
      <c r="F105" t="s">
        <v>457</v>
      </c>
      <c r="G105" t="str">
        <f t="shared" si="3"/>
        <v>ID</v>
      </c>
      <c r="H105" s="481"/>
      <c r="K105" t="s">
        <v>4758</v>
      </c>
      <c r="V105" s="481"/>
      <c r="Z105" t="s">
        <v>2851</v>
      </c>
      <c r="AA105" t="s">
        <v>3881</v>
      </c>
    </row>
    <row r="106" spans="1:27" x14ac:dyDescent="0.3">
      <c r="A106" s="326" t="s">
        <v>458</v>
      </c>
      <c r="B106" t="s">
        <v>459</v>
      </c>
      <c r="C106" s="326" t="s">
        <v>3215</v>
      </c>
      <c r="D106" s="326" t="str">
        <f t="shared" si="2"/>
        <v>NACE C - 10.5 Manufacture of dairy products and edible ice</v>
      </c>
      <c r="E106" s="324" t="s">
        <v>460</v>
      </c>
      <c r="F106" t="s">
        <v>461</v>
      </c>
      <c r="G106" t="str">
        <f t="shared" si="3"/>
        <v>IE</v>
      </c>
      <c r="H106" s="481"/>
      <c r="K106" t="s">
        <v>4759</v>
      </c>
      <c r="V106" s="89"/>
      <c r="Z106" t="s">
        <v>2852</v>
      </c>
      <c r="AA106" t="s">
        <v>3882</v>
      </c>
    </row>
    <row r="107" spans="1:27" x14ac:dyDescent="0.3">
      <c r="A107" s="327" t="s">
        <v>462</v>
      </c>
      <c r="B107" t="s">
        <v>463</v>
      </c>
      <c r="C107" s="326" t="s">
        <v>3216</v>
      </c>
      <c r="D107" s="327" t="str">
        <f t="shared" si="2"/>
        <v>NACE C - 10.51 Manufacture of dairy products</v>
      </c>
      <c r="E107" s="324" t="s">
        <v>464</v>
      </c>
      <c r="F107" t="s">
        <v>465</v>
      </c>
      <c r="G107" t="str">
        <f t="shared" si="3"/>
        <v>IL</v>
      </c>
      <c r="H107" s="89"/>
      <c r="K107" t="s">
        <v>4760</v>
      </c>
      <c r="V107" s="481"/>
      <c r="Z107" t="s">
        <v>2853</v>
      </c>
      <c r="AA107" t="s">
        <v>3883</v>
      </c>
    </row>
    <row r="108" spans="1:27" x14ac:dyDescent="0.3">
      <c r="A108" s="327" t="s">
        <v>466</v>
      </c>
      <c r="B108" t="s">
        <v>467</v>
      </c>
      <c r="C108" s="326" t="s">
        <v>3217</v>
      </c>
      <c r="D108" s="327" t="str">
        <f t="shared" si="2"/>
        <v>NACE C - 10.52 Manufacture of ice cream and other edible ice</v>
      </c>
      <c r="E108" s="324" t="s">
        <v>468</v>
      </c>
      <c r="F108" t="s">
        <v>469</v>
      </c>
      <c r="G108" t="str">
        <f t="shared" si="3"/>
        <v>IM</v>
      </c>
      <c r="H108" s="481"/>
      <c r="K108" t="s">
        <v>4761</v>
      </c>
      <c r="V108" s="481"/>
      <c r="Z108" t="s">
        <v>2747</v>
      </c>
      <c r="AA108" t="s">
        <v>3884</v>
      </c>
    </row>
    <row r="109" spans="1:27" x14ac:dyDescent="0.3">
      <c r="A109" s="326" t="s">
        <v>470</v>
      </c>
      <c r="B109" t="s">
        <v>471</v>
      </c>
      <c r="C109" s="326" t="s">
        <v>3218</v>
      </c>
      <c r="D109" s="326" t="str">
        <f t="shared" si="2"/>
        <v>NACE C - 10.6 Manufacture of grain mill products, starches and starch products</v>
      </c>
      <c r="E109" s="324" t="s">
        <v>472</v>
      </c>
      <c r="F109" t="s">
        <v>473</v>
      </c>
      <c r="G109" t="str">
        <f t="shared" si="3"/>
        <v>IN</v>
      </c>
      <c r="H109" s="481"/>
      <c r="K109" t="s">
        <v>4762</v>
      </c>
      <c r="V109" s="89"/>
      <c r="Z109" t="s">
        <v>2854</v>
      </c>
      <c r="AA109" t="s">
        <v>3885</v>
      </c>
    </row>
    <row r="110" spans="1:27" x14ac:dyDescent="0.3">
      <c r="A110" s="327" t="s">
        <v>474</v>
      </c>
      <c r="B110" t="s">
        <v>475</v>
      </c>
      <c r="C110" s="323" t="s">
        <v>3219</v>
      </c>
      <c r="D110" s="327" t="str">
        <f t="shared" si="2"/>
        <v>NACE C - 10.61 Manufacture of grain mill products</v>
      </c>
      <c r="E110" s="324" t="s">
        <v>476</v>
      </c>
      <c r="F110" t="s">
        <v>477</v>
      </c>
      <c r="G110" t="str">
        <f t="shared" si="3"/>
        <v>IO</v>
      </c>
      <c r="H110" s="89"/>
      <c r="K110" t="s">
        <v>4763</v>
      </c>
      <c r="V110" s="481"/>
      <c r="Z110" t="s">
        <v>2855</v>
      </c>
      <c r="AA110" t="s">
        <v>3886</v>
      </c>
    </row>
    <row r="111" spans="1:27" x14ac:dyDescent="0.3">
      <c r="A111" s="327" t="s">
        <v>478</v>
      </c>
      <c r="B111" t="s">
        <v>479</v>
      </c>
      <c r="C111" s="326" t="s">
        <v>3220</v>
      </c>
      <c r="D111" s="327" t="str">
        <f t="shared" si="2"/>
        <v>NACE C - 10.62 Manufacture of starches and starch products</v>
      </c>
      <c r="E111" s="324" t="s">
        <v>480</v>
      </c>
      <c r="F111" t="s">
        <v>481</v>
      </c>
      <c r="G111" t="str">
        <f t="shared" si="3"/>
        <v>IQ</v>
      </c>
      <c r="H111" s="481"/>
      <c r="K111" t="s">
        <v>4764</v>
      </c>
      <c r="V111" s="481"/>
      <c r="Z111" t="s">
        <v>2856</v>
      </c>
      <c r="AA111" t="s">
        <v>3887</v>
      </c>
    </row>
    <row r="112" spans="1:27" x14ac:dyDescent="0.3">
      <c r="A112" s="326" t="s">
        <v>482</v>
      </c>
      <c r="B112" t="s">
        <v>483</v>
      </c>
      <c r="C112" s="326" t="s">
        <v>3221</v>
      </c>
      <c r="D112" s="326" t="str">
        <f t="shared" si="2"/>
        <v>NACE C - 10.7 Manufacture of bakery and farinaceous products</v>
      </c>
      <c r="E112" s="324" t="s">
        <v>484</v>
      </c>
      <c r="F112" t="s">
        <v>485</v>
      </c>
      <c r="G112" t="str">
        <f t="shared" si="3"/>
        <v>IR</v>
      </c>
      <c r="H112" s="481"/>
      <c r="K112" t="s">
        <v>4765</v>
      </c>
      <c r="V112" s="481"/>
      <c r="Z112" t="s">
        <v>2857</v>
      </c>
      <c r="AA112" t="s">
        <v>3888</v>
      </c>
    </row>
    <row r="113" spans="1:27" x14ac:dyDescent="0.3">
      <c r="A113" s="327" t="s">
        <v>486</v>
      </c>
      <c r="B113" t="s">
        <v>487</v>
      </c>
      <c r="C113" s="326" t="s">
        <v>3222</v>
      </c>
      <c r="D113" s="327" t="str">
        <f t="shared" si="2"/>
        <v>NACE C - 10.71 Manufacture of bread; manufacture of fresh pastry goods and cakes</v>
      </c>
      <c r="E113" s="324" t="s">
        <v>488</v>
      </c>
      <c r="F113" t="s">
        <v>489</v>
      </c>
      <c r="G113" t="str">
        <f t="shared" si="3"/>
        <v>IS</v>
      </c>
      <c r="H113" s="481"/>
      <c r="K113" t="s">
        <v>4766</v>
      </c>
      <c r="V113" s="481"/>
      <c r="Z113" t="s">
        <v>2858</v>
      </c>
      <c r="AA113" t="s">
        <v>3889</v>
      </c>
    </row>
    <row r="114" spans="1:27" x14ac:dyDescent="0.3">
      <c r="A114" s="327" t="s">
        <v>490</v>
      </c>
      <c r="B114" t="s">
        <v>491</v>
      </c>
      <c r="C114" s="326" t="s">
        <v>3223</v>
      </c>
      <c r="D114" s="327" t="str">
        <f t="shared" si="2"/>
        <v>NACE C - 10.72 Manufacture of rusks, biscuits, preserved pastries and cakes</v>
      </c>
      <c r="E114" s="324" t="s">
        <v>492</v>
      </c>
      <c r="F114" t="s">
        <v>493</v>
      </c>
      <c r="G114" t="str">
        <f t="shared" si="3"/>
        <v>IT</v>
      </c>
      <c r="H114" s="481"/>
      <c r="K114" t="s">
        <v>4767</v>
      </c>
      <c r="V114" s="89"/>
      <c r="Z114" t="s">
        <v>2859</v>
      </c>
      <c r="AA114" t="s">
        <v>3890</v>
      </c>
    </row>
    <row r="115" spans="1:27" x14ac:dyDescent="0.3">
      <c r="A115" s="327" t="s">
        <v>494</v>
      </c>
      <c r="B115" t="s">
        <v>495</v>
      </c>
      <c r="C115" s="326" t="s">
        <v>3224</v>
      </c>
      <c r="D115" s="327" t="str">
        <f t="shared" si="2"/>
        <v>NACE C - 10.73 Manufacture of farinaceous products</v>
      </c>
      <c r="E115" s="324" t="s">
        <v>496</v>
      </c>
      <c r="F115" t="s">
        <v>497</v>
      </c>
      <c r="G115" t="str">
        <f t="shared" si="3"/>
        <v>JE</v>
      </c>
      <c r="H115" s="89"/>
      <c r="K115" t="s">
        <v>4768</v>
      </c>
      <c r="V115" s="481"/>
      <c r="Z115" t="s">
        <v>2860</v>
      </c>
      <c r="AA115" t="s">
        <v>3891</v>
      </c>
    </row>
    <row r="116" spans="1:27" x14ac:dyDescent="0.3">
      <c r="A116" s="326" t="s">
        <v>498</v>
      </c>
      <c r="B116" t="s">
        <v>499</v>
      </c>
      <c r="C116" s="326" t="s">
        <v>3225</v>
      </c>
      <c r="D116" s="326" t="str">
        <f t="shared" si="2"/>
        <v>NACE C - 10.8 Manufacture of other food products</v>
      </c>
      <c r="E116" s="324" t="s">
        <v>500</v>
      </c>
      <c r="F116" t="s">
        <v>501</v>
      </c>
      <c r="G116" t="str">
        <f t="shared" si="3"/>
        <v>JM</v>
      </c>
      <c r="H116" s="481"/>
      <c r="K116" t="s">
        <v>4769</v>
      </c>
      <c r="V116" s="481"/>
      <c r="Z116" t="s">
        <v>2748</v>
      </c>
      <c r="AA116" t="s">
        <v>3892</v>
      </c>
    </row>
    <row r="117" spans="1:27" x14ac:dyDescent="0.3">
      <c r="A117" s="327" t="s">
        <v>502</v>
      </c>
      <c r="B117" t="s">
        <v>503</v>
      </c>
      <c r="C117" s="326" t="s">
        <v>3226</v>
      </c>
      <c r="D117" s="327" t="str">
        <f t="shared" si="2"/>
        <v>NACE C - 10.81 Manufacture of sugar</v>
      </c>
      <c r="E117" s="324" t="s">
        <v>504</v>
      </c>
      <c r="F117" t="s">
        <v>505</v>
      </c>
      <c r="G117" t="str">
        <f t="shared" si="3"/>
        <v>JO</v>
      </c>
      <c r="H117" s="481"/>
      <c r="K117" t="s">
        <v>4770</v>
      </c>
      <c r="V117" s="481"/>
      <c r="Z117" t="s">
        <v>2861</v>
      </c>
      <c r="AA117" t="s">
        <v>3893</v>
      </c>
    </row>
    <row r="118" spans="1:27" x14ac:dyDescent="0.3">
      <c r="A118" s="327" t="s">
        <v>506</v>
      </c>
      <c r="B118" t="s">
        <v>507</v>
      </c>
      <c r="C118" s="323" t="s">
        <v>3227</v>
      </c>
      <c r="D118" s="327" t="str">
        <f t="shared" si="2"/>
        <v>NACE C - 10.82 Manufacture of cocoa, chocolate and sugar confectionery</v>
      </c>
      <c r="E118" s="324" t="s">
        <v>508</v>
      </c>
      <c r="F118" t="s">
        <v>509</v>
      </c>
      <c r="G118" t="str">
        <f t="shared" si="3"/>
        <v>JP</v>
      </c>
      <c r="H118" s="481"/>
      <c r="K118" t="s">
        <v>4771</v>
      </c>
      <c r="V118" s="89"/>
      <c r="Z118" t="s">
        <v>2862</v>
      </c>
      <c r="AA118" t="s">
        <v>3894</v>
      </c>
    </row>
    <row r="119" spans="1:27" x14ac:dyDescent="0.3">
      <c r="A119" s="327" t="s">
        <v>510</v>
      </c>
      <c r="B119" t="s">
        <v>511</v>
      </c>
      <c r="C119" s="326" t="s">
        <v>3228</v>
      </c>
      <c r="D119" s="327" t="str">
        <f t="shared" si="2"/>
        <v>NACE C - 10.83 Processing of tea and coffee</v>
      </c>
      <c r="E119" s="324" t="s">
        <v>512</v>
      </c>
      <c r="F119" t="s">
        <v>513</v>
      </c>
      <c r="G119" t="str">
        <f t="shared" si="3"/>
        <v>KE</v>
      </c>
      <c r="H119" s="89"/>
      <c r="K119" t="s">
        <v>4772</v>
      </c>
      <c r="V119" s="481"/>
      <c r="Z119" t="s">
        <v>2749</v>
      </c>
      <c r="AA119" t="s">
        <v>3895</v>
      </c>
    </row>
    <row r="120" spans="1:27" x14ac:dyDescent="0.3">
      <c r="A120" s="327" t="s">
        <v>514</v>
      </c>
      <c r="B120" t="s">
        <v>515</v>
      </c>
      <c r="C120" s="326" t="s">
        <v>3229</v>
      </c>
      <c r="D120" s="327" t="str">
        <f t="shared" si="2"/>
        <v>NACE C - 10.84 Manufacture of condiments and seasonings</v>
      </c>
      <c r="E120" s="324" t="s">
        <v>516</v>
      </c>
      <c r="F120" t="s">
        <v>517</v>
      </c>
      <c r="G120" t="str">
        <f t="shared" si="3"/>
        <v>KG</v>
      </c>
      <c r="H120" s="481"/>
      <c r="K120" t="s">
        <v>4773</v>
      </c>
      <c r="V120" s="481"/>
      <c r="Z120" t="s">
        <v>2863</v>
      </c>
      <c r="AA120" t="s">
        <v>3896</v>
      </c>
    </row>
    <row r="121" spans="1:27" x14ac:dyDescent="0.3">
      <c r="A121" s="327" t="s">
        <v>518</v>
      </c>
      <c r="B121" t="s">
        <v>519</v>
      </c>
      <c r="C121" s="326" t="s">
        <v>3230</v>
      </c>
      <c r="D121" s="327" t="str">
        <f t="shared" si="2"/>
        <v>NACE C - 10.85 Manufacture of prepared meals and dishes</v>
      </c>
      <c r="E121" s="324" t="s">
        <v>520</v>
      </c>
      <c r="F121" t="s">
        <v>521</v>
      </c>
      <c r="G121" t="str">
        <f t="shared" si="3"/>
        <v>KH</v>
      </c>
      <c r="H121" s="481"/>
      <c r="K121" t="s">
        <v>4774</v>
      </c>
      <c r="V121" s="481"/>
      <c r="Z121" t="s">
        <v>2864</v>
      </c>
      <c r="AA121" t="s">
        <v>3897</v>
      </c>
    </row>
    <row r="122" spans="1:27" x14ac:dyDescent="0.3">
      <c r="A122" s="327" t="s">
        <v>522</v>
      </c>
      <c r="B122" t="s">
        <v>523</v>
      </c>
      <c r="C122" s="326" t="s">
        <v>3231</v>
      </c>
      <c r="D122" s="327" t="str">
        <f t="shared" si="2"/>
        <v>NACE C - 10.86 Manufacture of homogenised food preparations and dietetic food</v>
      </c>
      <c r="E122" s="324" t="s">
        <v>524</v>
      </c>
      <c r="F122" t="s">
        <v>525</v>
      </c>
      <c r="G122" t="str">
        <f t="shared" si="3"/>
        <v>KI</v>
      </c>
      <c r="H122" s="481"/>
      <c r="K122" t="s">
        <v>4775</v>
      </c>
      <c r="V122" s="481"/>
      <c r="Z122" t="s">
        <v>2865</v>
      </c>
      <c r="AA122" t="s">
        <v>3898</v>
      </c>
    </row>
    <row r="123" spans="1:27" x14ac:dyDescent="0.3">
      <c r="A123" s="327" t="s">
        <v>526</v>
      </c>
      <c r="B123" t="s">
        <v>527</v>
      </c>
      <c r="C123" s="326" t="s">
        <v>3232</v>
      </c>
      <c r="D123" s="327" t="str">
        <f t="shared" si="2"/>
        <v>NACE C - 10.89 Manufacture of other food products n.e.c.</v>
      </c>
      <c r="E123" s="324" t="s">
        <v>528</v>
      </c>
      <c r="F123" t="s">
        <v>529</v>
      </c>
      <c r="G123" t="str">
        <f t="shared" si="3"/>
        <v>KM</v>
      </c>
      <c r="H123" s="481"/>
      <c r="K123" t="s">
        <v>4776</v>
      </c>
      <c r="V123" s="481"/>
      <c r="Z123" t="s">
        <v>2866</v>
      </c>
      <c r="AA123" t="s">
        <v>3899</v>
      </c>
    </row>
    <row r="124" spans="1:27" x14ac:dyDescent="0.3">
      <c r="A124" s="326" t="s">
        <v>530</v>
      </c>
      <c r="B124" t="s">
        <v>531</v>
      </c>
      <c r="C124" s="326" t="s">
        <v>3233</v>
      </c>
      <c r="D124" s="326" t="str">
        <f t="shared" si="2"/>
        <v>NACE C - 10.9 Manufacture of prepared animal feeds</v>
      </c>
      <c r="E124" s="324" t="s">
        <v>532</v>
      </c>
      <c r="F124" t="s">
        <v>533</v>
      </c>
      <c r="G124" t="str">
        <f t="shared" si="3"/>
        <v>KN</v>
      </c>
      <c r="H124" s="481"/>
      <c r="K124" t="s">
        <v>4642</v>
      </c>
      <c r="V124" s="89"/>
      <c r="Z124" t="s">
        <v>2867</v>
      </c>
      <c r="AA124" t="s">
        <v>3900</v>
      </c>
    </row>
    <row r="125" spans="1:27" x14ac:dyDescent="0.3">
      <c r="A125" s="327" t="s">
        <v>534</v>
      </c>
      <c r="B125" t="s">
        <v>535</v>
      </c>
      <c r="C125" s="323" t="s">
        <v>3234</v>
      </c>
      <c r="D125" s="327" t="str">
        <f t="shared" si="2"/>
        <v>NACE C - 10.91 Manufacture of prepared feeds for farm animals</v>
      </c>
      <c r="E125" s="324" t="s">
        <v>536</v>
      </c>
      <c r="F125" t="s">
        <v>537</v>
      </c>
      <c r="G125" t="str">
        <f t="shared" si="3"/>
        <v>KP</v>
      </c>
      <c r="H125" s="89"/>
      <c r="K125" t="s">
        <v>4777</v>
      </c>
      <c r="V125" s="481"/>
      <c r="Z125" t="s">
        <v>2868</v>
      </c>
      <c r="AA125" t="s">
        <v>3901</v>
      </c>
    </row>
    <row r="126" spans="1:27" x14ac:dyDescent="0.3">
      <c r="A126" s="327" t="s">
        <v>538</v>
      </c>
      <c r="B126" t="s">
        <v>539</v>
      </c>
      <c r="C126" s="326" t="s">
        <v>3235</v>
      </c>
      <c r="D126" s="327" t="str">
        <f t="shared" si="2"/>
        <v>NACE C - 10.92 Manufacture of prepared pet foods</v>
      </c>
      <c r="E126" s="324" t="s">
        <v>540</v>
      </c>
      <c r="F126" t="s">
        <v>541</v>
      </c>
      <c r="G126" t="str">
        <f t="shared" si="3"/>
        <v>KR</v>
      </c>
      <c r="H126" s="481"/>
      <c r="K126" t="s">
        <v>4778</v>
      </c>
      <c r="V126" s="481"/>
      <c r="Z126" t="s">
        <v>2869</v>
      </c>
      <c r="AA126" t="s">
        <v>3902</v>
      </c>
    </row>
    <row r="127" spans="1:27" x14ac:dyDescent="0.3">
      <c r="A127" s="323" t="s">
        <v>542</v>
      </c>
      <c r="B127" t="s">
        <v>543</v>
      </c>
      <c r="C127" s="326" t="s">
        <v>3236</v>
      </c>
      <c r="D127" s="323" t="str">
        <f t="shared" si="2"/>
        <v>NACE C - 11 Manufacture of beverages</v>
      </c>
      <c r="E127" s="324" t="s">
        <v>544</v>
      </c>
      <c r="F127" t="s">
        <v>545</v>
      </c>
      <c r="G127" t="str">
        <f t="shared" si="3"/>
        <v>KW</v>
      </c>
      <c r="H127" s="481"/>
      <c r="K127" t="s">
        <v>4779</v>
      </c>
      <c r="V127" s="481"/>
      <c r="Z127" t="s">
        <v>2870</v>
      </c>
      <c r="AA127" t="s">
        <v>3903</v>
      </c>
    </row>
    <row r="128" spans="1:27" x14ac:dyDescent="0.3">
      <c r="A128" s="326" t="s">
        <v>546</v>
      </c>
      <c r="B128" t="s">
        <v>547</v>
      </c>
      <c r="C128" s="326" t="s">
        <v>3237</v>
      </c>
      <c r="D128" s="326" t="str">
        <f t="shared" si="2"/>
        <v>NACE C - 11.0 Manufacture of beverages</v>
      </c>
      <c r="E128" s="324" t="s">
        <v>548</v>
      </c>
      <c r="F128" t="s">
        <v>549</v>
      </c>
      <c r="G128" t="str">
        <f t="shared" si="3"/>
        <v>KY</v>
      </c>
      <c r="H128" s="481"/>
      <c r="K128" t="s">
        <v>4780</v>
      </c>
      <c r="V128" s="481"/>
      <c r="Z128" t="s">
        <v>2871</v>
      </c>
      <c r="AA128" t="s">
        <v>3904</v>
      </c>
    </row>
    <row r="129" spans="1:27" x14ac:dyDescent="0.3">
      <c r="A129" s="327" t="s">
        <v>550</v>
      </c>
      <c r="B129" t="s">
        <v>551</v>
      </c>
      <c r="C129" s="326" t="s">
        <v>3238</v>
      </c>
      <c r="D129" s="327" t="str">
        <f t="shared" si="2"/>
        <v>NACE C - 11.01 Distilling, rectifying and blending of spirits</v>
      </c>
      <c r="E129" s="324" t="s">
        <v>552</v>
      </c>
      <c r="F129" t="s">
        <v>553</v>
      </c>
      <c r="G129" t="str">
        <f t="shared" si="3"/>
        <v>KZ</v>
      </c>
      <c r="H129" s="481"/>
      <c r="K129" t="s">
        <v>4781</v>
      </c>
      <c r="V129" s="481"/>
      <c r="Z129" t="s">
        <v>2872</v>
      </c>
      <c r="AA129" t="s">
        <v>3905</v>
      </c>
    </row>
    <row r="130" spans="1:27" x14ac:dyDescent="0.3">
      <c r="A130" s="327" t="s">
        <v>554</v>
      </c>
      <c r="B130" t="s">
        <v>555</v>
      </c>
      <c r="C130" s="326" t="s">
        <v>3239</v>
      </c>
      <c r="D130" s="327" t="str">
        <f t="shared" ref="D130:D193" si="4">_xlfn.CONCAT("NACE ", A130)</f>
        <v>NACE C - 11.02 Manufacture of wine from grape</v>
      </c>
      <c r="E130" s="324" t="s">
        <v>556</v>
      </c>
      <c r="F130" t="s">
        <v>557</v>
      </c>
      <c r="G130" t="str">
        <f t="shared" si="3"/>
        <v>LA</v>
      </c>
      <c r="H130" s="481"/>
      <c r="K130" t="s">
        <v>4782</v>
      </c>
      <c r="V130" s="89"/>
      <c r="Z130" t="s">
        <v>2750</v>
      </c>
      <c r="AA130" t="s">
        <v>3906</v>
      </c>
    </row>
    <row r="131" spans="1:27" x14ac:dyDescent="0.3">
      <c r="A131" s="327" t="s">
        <v>558</v>
      </c>
      <c r="B131" t="s">
        <v>559</v>
      </c>
      <c r="C131" s="323" t="s">
        <v>3240</v>
      </c>
      <c r="D131" s="327" t="str">
        <f t="shared" si="4"/>
        <v>NACE C - 11.03 Manufacture of cider and other fermented fruit beverages</v>
      </c>
      <c r="E131" s="324" t="s">
        <v>560</v>
      </c>
      <c r="F131" t="s">
        <v>561</v>
      </c>
      <c r="G131" t="str">
        <f t="shared" ref="G131:G194" si="5">RIGHT(F131,2)</f>
        <v>LB</v>
      </c>
      <c r="H131" s="89"/>
      <c r="K131" t="s">
        <v>4783</v>
      </c>
      <c r="V131" s="481"/>
      <c r="Z131" t="s">
        <v>2873</v>
      </c>
      <c r="AA131" t="s">
        <v>3907</v>
      </c>
    </row>
    <row r="132" spans="1:27" x14ac:dyDescent="0.3">
      <c r="A132" s="327" t="s">
        <v>562</v>
      </c>
      <c r="B132" t="s">
        <v>563</v>
      </c>
      <c r="C132" s="326" t="s">
        <v>3241</v>
      </c>
      <c r="D132" s="327" t="str">
        <f t="shared" si="4"/>
        <v>NACE C - 11.04 Manufacture of other non-distilled fermented beverages</v>
      </c>
      <c r="E132" s="324" t="s">
        <v>564</v>
      </c>
      <c r="F132" t="s">
        <v>565</v>
      </c>
      <c r="G132" t="str">
        <f t="shared" si="5"/>
        <v>LC</v>
      </c>
      <c r="H132" s="481"/>
      <c r="K132" t="s">
        <v>4784</v>
      </c>
      <c r="V132" s="481"/>
      <c r="Z132" t="s">
        <v>2874</v>
      </c>
      <c r="AA132" t="s">
        <v>3908</v>
      </c>
    </row>
    <row r="133" spans="1:27" x14ac:dyDescent="0.3">
      <c r="A133" s="327" t="s">
        <v>566</v>
      </c>
      <c r="B133" t="s">
        <v>567</v>
      </c>
      <c r="C133" s="326" t="s">
        <v>3242</v>
      </c>
      <c r="D133" s="327" t="str">
        <f t="shared" si="4"/>
        <v>NACE C - 11.05 Manufacture of beer</v>
      </c>
      <c r="E133" s="324" t="s">
        <v>568</v>
      </c>
      <c r="F133" t="s">
        <v>569</v>
      </c>
      <c r="G133" t="str">
        <f t="shared" si="5"/>
        <v>LI</v>
      </c>
      <c r="H133" s="481"/>
      <c r="K133" t="s">
        <v>4785</v>
      </c>
      <c r="V133" s="481"/>
      <c r="Z133" t="s">
        <v>2875</v>
      </c>
      <c r="AA133" t="s">
        <v>3909</v>
      </c>
    </row>
    <row r="134" spans="1:27" x14ac:dyDescent="0.3">
      <c r="A134" s="327" t="s">
        <v>570</v>
      </c>
      <c r="B134" t="s">
        <v>571</v>
      </c>
      <c r="C134" s="326" t="s">
        <v>3243</v>
      </c>
      <c r="D134" s="327" t="str">
        <f t="shared" si="4"/>
        <v>NACE C - 11.06 Manufacture of malt</v>
      </c>
      <c r="E134" s="324" t="s">
        <v>572</v>
      </c>
      <c r="F134" t="s">
        <v>573</v>
      </c>
      <c r="G134" t="str">
        <f t="shared" si="5"/>
        <v>LK</v>
      </c>
      <c r="H134" s="481"/>
      <c r="K134" t="s">
        <v>4786</v>
      </c>
      <c r="V134" s="89"/>
      <c r="AA134" t="s">
        <v>3910</v>
      </c>
    </row>
    <row r="135" spans="1:27" x14ac:dyDescent="0.3">
      <c r="A135" s="327" t="s">
        <v>574</v>
      </c>
      <c r="B135" t="s">
        <v>575</v>
      </c>
      <c r="C135" s="323" t="s">
        <v>3244</v>
      </c>
      <c r="D135" s="327" t="str">
        <f t="shared" si="4"/>
        <v>NACE C - 11.07 Manufacture of soft drinks and bottled waters</v>
      </c>
      <c r="E135" s="324" t="s">
        <v>576</v>
      </c>
      <c r="F135" t="s">
        <v>577</v>
      </c>
      <c r="G135" t="str">
        <f t="shared" si="5"/>
        <v>LR</v>
      </c>
      <c r="H135" s="89"/>
      <c r="K135" t="s">
        <v>4787</v>
      </c>
      <c r="V135" s="481"/>
      <c r="AA135" t="s">
        <v>3911</v>
      </c>
    </row>
    <row r="136" spans="1:27" x14ac:dyDescent="0.3">
      <c r="A136" s="323" t="s">
        <v>578</v>
      </c>
      <c r="B136" t="s">
        <v>579</v>
      </c>
      <c r="C136" s="326" t="s">
        <v>3245</v>
      </c>
      <c r="D136" s="323" t="str">
        <f t="shared" si="4"/>
        <v>NACE C - 12 Manufacture of tobacco products</v>
      </c>
      <c r="E136" s="324" t="s">
        <v>580</v>
      </c>
      <c r="F136" t="s">
        <v>581</v>
      </c>
      <c r="G136" t="str">
        <f t="shared" si="5"/>
        <v>LS</v>
      </c>
      <c r="H136" s="481"/>
      <c r="K136" t="s">
        <v>4788</v>
      </c>
      <c r="V136" s="481"/>
      <c r="AA136" t="s">
        <v>3912</v>
      </c>
    </row>
    <row r="137" spans="1:27" x14ac:dyDescent="0.3">
      <c r="A137" s="326" t="s">
        <v>582</v>
      </c>
      <c r="B137" t="s">
        <v>583</v>
      </c>
      <c r="C137" s="326" t="s">
        <v>3246</v>
      </c>
      <c r="D137" s="326" t="str">
        <f t="shared" si="4"/>
        <v>NACE C - 12.0 Manufacture of tobacco products</v>
      </c>
      <c r="E137" s="324" t="s">
        <v>584</v>
      </c>
      <c r="F137" t="s">
        <v>585</v>
      </c>
      <c r="G137" t="str">
        <f t="shared" si="5"/>
        <v>LT</v>
      </c>
      <c r="H137" s="481"/>
      <c r="K137" t="s">
        <v>4789</v>
      </c>
      <c r="V137" s="480"/>
      <c r="AA137" t="s">
        <v>3913</v>
      </c>
    </row>
    <row r="138" spans="1:27" x14ac:dyDescent="0.3">
      <c r="A138" s="327" t="s">
        <v>586</v>
      </c>
      <c r="B138" t="s">
        <v>587</v>
      </c>
      <c r="C138" s="326" t="s">
        <v>3247</v>
      </c>
      <c r="D138" s="327" t="str">
        <f t="shared" si="4"/>
        <v>NACE C - 12.00 Manufacture of tobacco products</v>
      </c>
      <c r="E138" s="324" t="s">
        <v>588</v>
      </c>
      <c r="F138" t="s">
        <v>589</v>
      </c>
      <c r="G138" t="str">
        <f t="shared" si="5"/>
        <v>LU</v>
      </c>
      <c r="H138" s="480"/>
      <c r="K138" t="s">
        <v>4790</v>
      </c>
      <c r="V138" s="481"/>
      <c r="AA138" t="s">
        <v>3914</v>
      </c>
    </row>
    <row r="139" spans="1:27" x14ac:dyDescent="0.3">
      <c r="A139" s="323" t="s">
        <v>590</v>
      </c>
      <c r="B139" t="s">
        <v>591</v>
      </c>
      <c r="C139" s="326" t="s">
        <v>3248</v>
      </c>
      <c r="D139" s="323" t="str">
        <f t="shared" si="4"/>
        <v>NACE C - 13 Manufacture of textiles</v>
      </c>
      <c r="E139" s="324" t="s">
        <v>592</v>
      </c>
      <c r="F139" t="s">
        <v>593</v>
      </c>
      <c r="G139" t="str">
        <f t="shared" si="5"/>
        <v>LV</v>
      </c>
      <c r="H139" s="481"/>
      <c r="K139" t="s">
        <v>4791</v>
      </c>
      <c r="V139" s="89"/>
      <c r="AA139" t="s">
        <v>3915</v>
      </c>
    </row>
    <row r="140" spans="1:27" x14ac:dyDescent="0.3">
      <c r="A140" s="326" t="s">
        <v>594</v>
      </c>
      <c r="B140" t="s">
        <v>595</v>
      </c>
      <c r="C140" s="326" t="s">
        <v>3249</v>
      </c>
      <c r="D140" s="326" t="str">
        <f t="shared" si="4"/>
        <v>NACE C - 13.1 Preparation and spinning of textile fibres</v>
      </c>
      <c r="E140" s="324" t="s">
        <v>596</v>
      </c>
      <c r="F140" t="s">
        <v>597</v>
      </c>
      <c r="G140" t="str">
        <f t="shared" si="5"/>
        <v>LY</v>
      </c>
      <c r="H140" s="89"/>
      <c r="K140" t="s">
        <v>4792</v>
      </c>
      <c r="V140" s="481"/>
      <c r="AA140" t="s">
        <v>3916</v>
      </c>
    </row>
    <row r="141" spans="1:27" x14ac:dyDescent="0.3">
      <c r="A141" s="327" t="s">
        <v>598</v>
      </c>
      <c r="B141" t="s">
        <v>599</v>
      </c>
      <c r="C141" s="323" t="s">
        <v>3250</v>
      </c>
      <c r="D141" s="327" t="str">
        <f t="shared" si="4"/>
        <v>NACE C - 13.10 Preparation and spinning of textile fibres</v>
      </c>
      <c r="E141" s="324" t="s">
        <v>600</v>
      </c>
      <c r="F141" t="s">
        <v>601</v>
      </c>
      <c r="G141" t="str">
        <f t="shared" si="5"/>
        <v>MA</v>
      </c>
      <c r="H141" s="481"/>
      <c r="K141" t="s">
        <v>4793</v>
      </c>
      <c r="V141" s="481"/>
      <c r="AA141" t="s">
        <v>3917</v>
      </c>
    </row>
    <row r="142" spans="1:27" x14ac:dyDescent="0.3">
      <c r="A142" s="326" t="s">
        <v>602</v>
      </c>
      <c r="B142" t="s">
        <v>603</v>
      </c>
      <c r="C142" s="326" t="s">
        <v>3251</v>
      </c>
      <c r="D142" s="326" t="str">
        <f t="shared" si="4"/>
        <v>NACE C - 13.2 Weaving of textiles</v>
      </c>
      <c r="E142" s="324" t="s">
        <v>604</v>
      </c>
      <c r="F142" t="s">
        <v>605</v>
      </c>
      <c r="G142" t="str">
        <f t="shared" si="5"/>
        <v>MC</v>
      </c>
      <c r="H142" s="481"/>
      <c r="K142" t="s">
        <v>4794</v>
      </c>
      <c r="V142" s="480"/>
      <c r="AA142" t="s">
        <v>3918</v>
      </c>
    </row>
    <row r="143" spans="1:27" x14ac:dyDescent="0.3">
      <c r="A143" s="327" t="s">
        <v>606</v>
      </c>
      <c r="B143" t="s">
        <v>607</v>
      </c>
      <c r="C143" s="323" t="s">
        <v>3252</v>
      </c>
      <c r="D143" s="327" t="str">
        <f t="shared" si="4"/>
        <v>NACE C - 13.20 Weaving of textiles</v>
      </c>
      <c r="E143" s="324" t="s">
        <v>608</v>
      </c>
      <c r="F143" t="s">
        <v>609</v>
      </c>
      <c r="G143" t="str">
        <f t="shared" si="5"/>
        <v>MD</v>
      </c>
      <c r="H143" s="480"/>
      <c r="K143" t="s">
        <v>4795</v>
      </c>
      <c r="V143" s="481"/>
      <c r="AA143" t="s">
        <v>3919</v>
      </c>
    </row>
    <row r="144" spans="1:27" x14ac:dyDescent="0.3">
      <c r="A144" s="326" t="s">
        <v>610</v>
      </c>
      <c r="B144" t="s">
        <v>611</v>
      </c>
      <c r="C144" s="326" t="s">
        <v>3253</v>
      </c>
      <c r="D144" s="326" t="str">
        <f t="shared" si="4"/>
        <v>NACE C - 13.3 Finishing of textiles</v>
      </c>
      <c r="E144" s="324" t="s">
        <v>612</v>
      </c>
      <c r="F144" t="s">
        <v>613</v>
      </c>
      <c r="G144" t="str">
        <f t="shared" si="5"/>
        <v>ME</v>
      </c>
      <c r="H144" s="481"/>
      <c r="K144" t="s">
        <v>4796</v>
      </c>
      <c r="V144" s="481"/>
      <c r="AA144" t="s">
        <v>3920</v>
      </c>
    </row>
    <row r="145" spans="1:27" x14ac:dyDescent="0.3">
      <c r="A145" s="327" t="s">
        <v>614</v>
      </c>
      <c r="B145" t="s">
        <v>615</v>
      </c>
      <c r="C145" s="326" t="s">
        <v>3254</v>
      </c>
      <c r="D145" s="327" t="str">
        <f t="shared" si="4"/>
        <v>NACE C - 13.30 Finishing of textiles</v>
      </c>
      <c r="E145" s="324" t="s">
        <v>616</v>
      </c>
      <c r="F145" t="s">
        <v>617</v>
      </c>
      <c r="G145" t="str">
        <f t="shared" si="5"/>
        <v>MF</v>
      </c>
      <c r="H145" s="481"/>
      <c r="K145" t="s">
        <v>4797</v>
      </c>
      <c r="V145" s="480"/>
      <c r="AA145" t="s">
        <v>3921</v>
      </c>
    </row>
    <row r="146" spans="1:27" x14ac:dyDescent="0.3">
      <c r="A146" s="326" t="s">
        <v>618</v>
      </c>
      <c r="B146" t="s">
        <v>619</v>
      </c>
      <c r="C146" s="326" t="s">
        <v>3255</v>
      </c>
      <c r="D146" s="326" t="str">
        <f t="shared" si="4"/>
        <v>NACE C - 13.9 Manufacture of other textiles</v>
      </c>
      <c r="E146" s="324" t="s">
        <v>620</v>
      </c>
      <c r="F146" t="s">
        <v>621</v>
      </c>
      <c r="G146" t="str">
        <f t="shared" si="5"/>
        <v>MG</v>
      </c>
      <c r="H146" s="480"/>
      <c r="K146" t="s">
        <v>4798</v>
      </c>
      <c r="V146" s="89"/>
      <c r="AA146" t="s">
        <v>3922</v>
      </c>
    </row>
    <row r="147" spans="1:27" x14ac:dyDescent="0.3">
      <c r="A147" s="327" t="s">
        <v>622</v>
      </c>
      <c r="B147" t="s">
        <v>623</v>
      </c>
      <c r="C147" s="326" t="s">
        <v>3256</v>
      </c>
      <c r="D147" s="327" t="str">
        <f t="shared" si="4"/>
        <v>NACE C - 13.91 Manufacture of knitted and crocheted fabrics</v>
      </c>
      <c r="E147" s="324" t="s">
        <v>624</v>
      </c>
      <c r="F147" t="s">
        <v>625</v>
      </c>
      <c r="G147" t="str">
        <f t="shared" si="5"/>
        <v>MH</v>
      </c>
      <c r="H147" s="89"/>
      <c r="K147" t="s">
        <v>4799</v>
      </c>
      <c r="V147" s="481"/>
      <c r="AA147" t="s">
        <v>3923</v>
      </c>
    </row>
    <row r="148" spans="1:27" x14ac:dyDescent="0.3">
      <c r="A148" s="327" t="s">
        <v>626</v>
      </c>
      <c r="B148" t="s">
        <v>627</v>
      </c>
      <c r="C148" s="326" t="s">
        <v>3257</v>
      </c>
      <c r="D148" s="327" t="str">
        <f t="shared" si="4"/>
        <v>NACE C - 13.92 Manufacture of household textiles and made-up furnishing articles</v>
      </c>
      <c r="E148" s="324" t="s">
        <v>628</v>
      </c>
      <c r="F148" t="s">
        <v>629</v>
      </c>
      <c r="G148" t="str">
        <f t="shared" si="5"/>
        <v>MK</v>
      </c>
      <c r="H148" s="481"/>
      <c r="K148" t="s">
        <v>4800</v>
      </c>
      <c r="V148" s="481"/>
      <c r="AA148" t="s">
        <v>3924</v>
      </c>
    </row>
    <row r="149" spans="1:27" x14ac:dyDescent="0.3">
      <c r="A149" s="327" t="s">
        <v>630</v>
      </c>
      <c r="B149" t="s">
        <v>631</v>
      </c>
      <c r="C149" s="326" t="s">
        <v>3258</v>
      </c>
      <c r="D149" s="327" t="str">
        <f t="shared" si="4"/>
        <v>NACE C - 13.93 Manufacture of carpets and rugs</v>
      </c>
      <c r="E149" s="324" t="s">
        <v>632</v>
      </c>
      <c r="F149" t="s">
        <v>633</v>
      </c>
      <c r="G149" t="str">
        <f t="shared" si="5"/>
        <v>ML</v>
      </c>
      <c r="H149" s="481"/>
      <c r="K149" t="s">
        <v>4801</v>
      </c>
      <c r="V149" s="481"/>
      <c r="AA149" t="s">
        <v>3925</v>
      </c>
    </row>
    <row r="150" spans="1:27" x14ac:dyDescent="0.3">
      <c r="A150" s="327" t="s">
        <v>634</v>
      </c>
      <c r="B150" t="s">
        <v>635</v>
      </c>
      <c r="C150" s="323" t="s">
        <v>3259</v>
      </c>
      <c r="D150" s="327" t="str">
        <f t="shared" si="4"/>
        <v>NACE C - 13.94 Manufacture of cordage, rope, twine and netting</v>
      </c>
      <c r="E150" s="324" t="s">
        <v>636</v>
      </c>
      <c r="F150" t="s">
        <v>637</v>
      </c>
      <c r="G150" t="str">
        <f t="shared" si="5"/>
        <v>MM</v>
      </c>
      <c r="H150" s="481"/>
      <c r="K150" t="s">
        <v>4802</v>
      </c>
      <c r="V150" s="480"/>
      <c r="AA150" t="s">
        <v>3926</v>
      </c>
    </row>
    <row r="151" spans="1:27" x14ac:dyDescent="0.3">
      <c r="A151" s="327" t="s">
        <v>638</v>
      </c>
      <c r="B151" t="s">
        <v>639</v>
      </c>
      <c r="C151" s="326" t="s">
        <v>3260</v>
      </c>
      <c r="D151" s="327" t="str">
        <f t="shared" si="4"/>
        <v>NACE C - 13.95 Manufacture of non-wovens and non-woven articles</v>
      </c>
      <c r="E151" s="324" t="s">
        <v>640</v>
      </c>
      <c r="F151" t="s">
        <v>641</v>
      </c>
      <c r="G151" t="str">
        <f t="shared" si="5"/>
        <v>MN</v>
      </c>
      <c r="H151" s="480"/>
      <c r="K151" t="s">
        <v>4803</v>
      </c>
      <c r="V151" s="480"/>
      <c r="AA151" t="s">
        <v>3927</v>
      </c>
    </row>
    <row r="152" spans="1:27" x14ac:dyDescent="0.3">
      <c r="A152" s="327" t="s">
        <v>642</v>
      </c>
      <c r="B152" t="s">
        <v>643</v>
      </c>
      <c r="C152" s="326" t="s">
        <v>3261</v>
      </c>
      <c r="D152" s="327" t="str">
        <f t="shared" si="4"/>
        <v>NACE C - 13.96 Manufacture of other technical and industrial textiles</v>
      </c>
      <c r="E152" s="324" t="s">
        <v>644</v>
      </c>
      <c r="F152" t="s">
        <v>645</v>
      </c>
      <c r="G152" t="str">
        <f t="shared" si="5"/>
        <v>MO</v>
      </c>
      <c r="H152" s="480"/>
      <c r="K152" t="s">
        <v>4643</v>
      </c>
      <c r="V152" s="480"/>
      <c r="AA152" t="s">
        <v>3928</v>
      </c>
    </row>
    <row r="153" spans="1:27" x14ac:dyDescent="0.3">
      <c r="A153" s="327" t="s">
        <v>646</v>
      </c>
      <c r="B153" t="s">
        <v>647</v>
      </c>
      <c r="C153" s="324" t="s">
        <v>3144</v>
      </c>
      <c r="D153" s="327" t="str">
        <f t="shared" si="4"/>
        <v>NACE C - 13.99 Manufacture of other textiles n.e.c.</v>
      </c>
      <c r="E153" s="324" t="s">
        <v>648</v>
      </c>
      <c r="F153" t="s">
        <v>649</v>
      </c>
      <c r="G153" t="str">
        <f t="shared" si="5"/>
        <v>MP</v>
      </c>
      <c r="H153" s="480"/>
      <c r="K153" t="s">
        <v>4804</v>
      </c>
      <c r="V153" s="481"/>
      <c r="AA153" t="s">
        <v>3929</v>
      </c>
    </row>
    <row r="154" spans="1:27" x14ac:dyDescent="0.3">
      <c r="A154" s="323" t="s">
        <v>650</v>
      </c>
      <c r="B154" t="s">
        <v>651</v>
      </c>
      <c r="C154" s="323" t="s">
        <v>3263</v>
      </c>
      <c r="D154" s="323" t="str">
        <f t="shared" si="4"/>
        <v>NACE C - 14 Manufacture of wearing apparel</v>
      </c>
      <c r="E154" s="324" t="s">
        <v>652</v>
      </c>
      <c r="F154" t="s">
        <v>653</v>
      </c>
      <c r="G154" t="str">
        <f t="shared" si="5"/>
        <v>MQ</v>
      </c>
      <c r="H154" s="481"/>
      <c r="K154" t="s">
        <v>4805</v>
      </c>
      <c r="V154" s="481"/>
      <c r="AA154" t="s">
        <v>3930</v>
      </c>
    </row>
    <row r="155" spans="1:27" x14ac:dyDescent="0.3">
      <c r="A155" s="326" t="s">
        <v>654</v>
      </c>
      <c r="B155" t="s">
        <v>655</v>
      </c>
      <c r="C155" s="326" t="s">
        <v>3264</v>
      </c>
      <c r="D155" s="326" t="str">
        <f t="shared" si="4"/>
        <v>NACE C - 14.1 Manufacture of knitted and crocheted apparel</v>
      </c>
      <c r="E155" s="324" t="s">
        <v>656</v>
      </c>
      <c r="F155" t="s">
        <v>657</v>
      </c>
      <c r="G155" t="str">
        <f t="shared" si="5"/>
        <v>MR</v>
      </c>
      <c r="H155" s="481"/>
      <c r="K155" t="s">
        <v>4806</v>
      </c>
      <c r="V155" s="89"/>
      <c r="AA155" t="s">
        <v>3931</v>
      </c>
    </row>
    <row r="156" spans="1:27" x14ac:dyDescent="0.3">
      <c r="A156" s="327" t="s">
        <v>658</v>
      </c>
      <c r="B156" t="s">
        <v>659</v>
      </c>
      <c r="C156" s="326" t="s">
        <v>3265</v>
      </c>
      <c r="D156" s="327" t="str">
        <f t="shared" si="4"/>
        <v>NACE C - 14.10 Manufacture of knitted and crocheted apparel</v>
      </c>
      <c r="E156" s="324" t="s">
        <v>660</v>
      </c>
      <c r="F156" t="s">
        <v>661</v>
      </c>
      <c r="G156" t="str">
        <f t="shared" si="5"/>
        <v>MS</v>
      </c>
      <c r="H156" s="89"/>
      <c r="K156" t="s">
        <v>4807</v>
      </c>
      <c r="V156" s="481"/>
      <c r="AA156" t="s">
        <v>3932</v>
      </c>
    </row>
    <row r="157" spans="1:27" x14ac:dyDescent="0.3">
      <c r="A157" s="326" t="s">
        <v>662</v>
      </c>
      <c r="B157" t="s">
        <v>663</v>
      </c>
      <c r="C157" s="326" t="s">
        <v>3266</v>
      </c>
      <c r="D157" s="326" t="str">
        <f t="shared" si="4"/>
        <v>NACE C - 14.2 Manufacture of other wearing apparel and accessories</v>
      </c>
      <c r="E157" s="324" t="s">
        <v>664</v>
      </c>
      <c r="F157" t="s">
        <v>665</v>
      </c>
      <c r="G157" t="str">
        <f t="shared" si="5"/>
        <v>MT</v>
      </c>
      <c r="H157" s="481"/>
      <c r="K157" t="s">
        <v>4808</v>
      </c>
      <c r="V157" s="89"/>
      <c r="AA157" t="s">
        <v>3933</v>
      </c>
    </row>
    <row r="158" spans="1:27" x14ac:dyDescent="0.3">
      <c r="A158" s="327" t="s">
        <v>666</v>
      </c>
      <c r="B158" t="s">
        <v>667</v>
      </c>
      <c r="C158" s="326" t="s">
        <v>3267</v>
      </c>
      <c r="D158" s="327" t="str">
        <f t="shared" si="4"/>
        <v>NACE C - 14.21 Manufacture of outerwear</v>
      </c>
      <c r="E158" s="324" t="s">
        <v>668</v>
      </c>
      <c r="F158" t="s">
        <v>669</v>
      </c>
      <c r="G158" t="str">
        <f t="shared" si="5"/>
        <v>MU</v>
      </c>
      <c r="H158" s="89"/>
      <c r="K158" t="s">
        <v>4809</v>
      </c>
      <c r="V158" s="89"/>
      <c r="AA158" t="s">
        <v>3934</v>
      </c>
    </row>
    <row r="159" spans="1:27" x14ac:dyDescent="0.3">
      <c r="A159" s="327" t="s">
        <v>670</v>
      </c>
      <c r="B159" t="s">
        <v>671</v>
      </c>
      <c r="C159" s="324" t="s">
        <v>3262</v>
      </c>
      <c r="D159" s="327" t="str">
        <f t="shared" si="4"/>
        <v>NACE C - 14.22 Manufacture of underwear</v>
      </c>
      <c r="E159" s="324" t="s">
        <v>672</v>
      </c>
      <c r="F159" t="s">
        <v>673</v>
      </c>
      <c r="G159" t="str">
        <f t="shared" si="5"/>
        <v>MV</v>
      </c>
      <c r="H159" s="89"/>
      <c r="K159" t="s">
        <v>4810</v>
      </c>
      <c r="V159" s="89"/>
      <c r="AA159" t="s">
        <v>3935</v>
      </c>
    </row>
    <row r="160" spans="1:27" x14ac:dyDescent="0.3">
      <c r="A160" s="327" t="s">
        <v>674</v>
      </c>
      <c r="B160" t="s">
        <v>675</v>
      </c>
      <c r="C160" s="323" t="s">
        <v>3269</v>
      </c>
      <c r="D160" s="327" t="str">
        <f t="shared" si="4"/>
        <v>NACE C - 14.23 Manufacture of workwear</v>
      </c>
      <c r="E160" s="324" t="s">
        <v>676</v>
      </c>
      <c r="F160" t="s">
        <v>677</v>
      </c>
      <c r="G160" t="str">
        <f t="shared" si="5"/>
        <v>MW</v>
      </c>
      <c r="H160" s="89"/>
      <c r="K160" t="s">
        <v>4811</v>
      </c>
      <c r="V160" s="89"/>
      <c r="AA160" t="s">
        <v>3936</v>
      </c>
    </row>
    <row r="161" spans="1:27" x14ac:dyDescent="0.3">
      <c r="A161" s="327" t="s">
        <v>678</v>
      </c>
      <c r="B161" t="s">
        <v>679</v>
      </c>
      <c r="C161" s="326" t="s">
        <v>3270</v>
      </c>
      <c r="D161" s="327" t="str">
        <f t="shared" si="4"/>
        <v>NACE C - 14.24 Manufacture of leather clothes and fur apparel</v>
      </c>
      <c r="E161" s="324" t="s">
        <v>680</v>
      </c>
      <c r="F161" t="s">
        <v>681</v>
      </c>
      <c r="G161" t="str">
        <f t="shared" si="5"/>
        <v>MX</v>
      </c>
      <c r="H161" s="89"/>
      <c r="K161" t="s">
        <v>4812</v>
      </c>
      <c r="AA161" t="s">
        <v>3937</v>
      </c>
    </row>
    <row r="162" spans="1:27" x14ac:dyDescent="0.3">
      <c r="A162" s="327" t="s">
        <v>682</v>
      </c>
      <c r="B162" t="s">
        <v>683</v>
      </c>
      <c r="C162" s="323" t="s">
        <v>3271</v>
      </c>
      <c r="D162" s="327" t="str">
        <f t="shared" si="4"/>
        <v>NACE C - 14.29 Manufacture of other wearing apparel and accessories n.e.c.</v>
      </c>
      <c r="E162" s="324" t="s">
        <v>684</v>
      </c>
      <c r="F162" t="s">
        <v>685</v>
      </c>
      <c r="G162" t="str">
        <f t="shared" si="5"/>
        <v>MY</v>
      </c>
      <c r="K162" t="s">
        <v>4813</v>
      </c>
      <c r="AA162" t="s">
        <v>3938</v>
      </c>
    </row>
    <row r="163" spans="1:27" x14ac:dyDescent="0.3">
      <c r="A163" s="323" t="s">
        <v>686</v>
      </c>
      <c r="B163" t="s">
        <v>687</v>
      </c>
      <c r="C163" s="326" t="s">
        <v>3272</v>
      </c>
      <c r="D163" s="323" t="str">
        <f t="shared" si="4"/>
        <v>NACE C - 15 Manufacture of leather and related products of other materials</v>
      </c>
      <c r="E163" s="324" t="s">
        <v>688</v>
      </c>
      <c r="F163" t="s">
        <v>689</v>
      </c>
      <c r="G163" t="str">
        <f t="shared" si="5"/>
        <v>MZ</v>
      </c>
      <c r="K163" t="s">
        <v>4814</v>
      </c>
      <c r="AA163" t="s">
        <v>3939</v>
      </c>
    </row>
    <row r="164" spans="1:27" x14ac:dyDescent="0.3">
      <c r="A164" s="326" t="s">
        <v>690</v>
      </c>
      <c r="B164" t="s">
        <v>691</v>
      </c>
      <c r="C164" s="323" t="s">
        <v>3273</v>
      </c>
      <c r="D164" s="326" t="str">
        <f t="shared" si="4"/>
        <v>NACE C - 15.1 Tanning, dyeing, dressing of leather and fur; manufacture of luggage, handbags, saddlery and harness</v>
      </c>
      <c r="E164" s="324" t="s">
        <v>692</v>
      </c>
      <c r="F164" t="s">
        <v>693</v>
      </c>
      <c r="G164" t="str">
        <f t="shared" si="5"/>
        <v>NA</v>
      </c>
      <c r="K164" t="s">
        <v>4815</v>
      </c>
      <c r="AA164" t="s">
        <v>3940</v>
      </c>
    </row>
    <row r="165" spans="1:27" x14ac:dyDescent="0.3">
      <c r="A165" s="327" t="s">
        <v>694</v>
      </c>
      <c r="B165" t="s">
        <v>695</v>
      </c>
      <c r="C165" s="326" t="s">
        <v>3274</v>
      </c>
      <c r="D165" s="327" t="str">
        <f t="shared" si="4"/>
        <v>NACE C - 15.11 Tanning, dressing, dyeing of leather and fur</v>
      </c>
      <c r="E165" s="324" t="s">
        <v>696</v>
      </c>
      <c r="F165" t="s">
        <v>697</v>
      </c>
      <c r="G165" t="str">
        <f t="shared" si="5"/>
        <v>NC</v>
      </c>
      <c r="K165" t="s">
        <v>4816</v>
      </c>
      <c r="AA165" t="s">
        <v>3941</v>
      </c>
    </row>
    <row r="166" spans="1:27" x14ac:dyDescent="0.3">
      <c r="A166" s="327" t="s">
        <v>698</v>
      </c>
      <c r="B166" t="s">
        <v>699</v>
      </c>
      <c r="C166" s="326" t="s">
        <v>3275</v>
      </c>
      <c r="D166" s="327" t="str">
        <f t="shared" si="4"/>
        <v>NACE C - 15.12 Manufacture of luggage, handbags, saddlery and harness of any material</v>
      </c>
      <c r="E166" s="324" t="s">
        <v>700</v>
      </c>
      <c r="F166" t="s">
        <v>701</v>
      </c>
      <c r="G166" t="str">
        <f t="shared" si="5"/>
        <v>NE</v>
      </c>
      <c r="K166" t="s">
        <v>4817</v>
      </c>
      <c r="AA166" t="s">
        <v>3942</v>
      </c>
    </row>
    <row r="167" spans="1:27" x14ac:dyDescent="0.3">
      <c r="A167" s="326" t="s">
        <v>702</v>
      </c>
      <c r="B167" t="s">
        <v>703</v>
      </c>
      <c r="C167" s="326" t="s">
        <v>3276</v>
      </c>
      <c r="D167" s="326" t="str">
        <f t="shared" si="4"/>
        <v>NACE C - 15.2 Manufacture of footwear</v>
      </c>
      <c r="E167" s="324" t="s">
        <v>704</v>
      </c>
      <c r="F167" t="s">
        <v>705</v>
      </c>
      <c r="G167" t="str">
        <f t="shared" si="5"/>
        <v>NF</v>
      </c>
      <c r="K167" t="s">
        <v>4818</v>
      </c>
      <c r="AA167" t="s">
        <v>3943</v>
      </c>
    </row>
    <row r="168" spans="1:27" x14ac:dyDescent="0.3">
      <c r="A168" s="327" t="s">
        <v>706</v>
      </c>
      <c r="B168" t="s">
        <v>707</v>
      </c>
      <c r="C168" s="323" t="s">
        <v>3277</v>
      </c>
      <c r="D168" s="327" t="str">
        <f t="shared" si="4"/>
        <v>NACE C - 15.20 Manufacture of footwear</v>
      </c>
      <c r="E168" s="324" t="s">
        <v>708</v>
      </c>
      <c r="F168" t="s">
        <v>709</v>
      </c>
      <c r="G168" t="str">
        <f t="shared" si="5"/>
        <v>NG</v>
      </c>
      <c r="K168" t="s">
        <v>4819</v>
      </c>
      <c r="AA168" t="s">
        <v>3944</v>
      </c>
    </row>
    <row r="169" spans="1:27" x14ac:dyDescent="0.3">
      <c r="A169" s="323" t="s">
        <v>710</v>
      </c>
      <c r="B169" t="s">
        <v>711</v>
      </c>
      <c r="C169" s="326" t="s">
        <v>3278</v>
      </c>
      <c r="D169" s="323" t="str">
        <f t="shared" si="4"/>
        <v>NACE C - 16 Manufacture of wood and of products of wood and cork, except furniture; manufacture of articles of straw and plaiting materials</v>
      </c>
      <c r="E169" s="324" t="s">
        <v>712</v>
      </c>
      <c r="F169" t="s">
        <v>713</v>
      </c>
      <c r="G169" t="str">
        <f t="shared" si="5"/>
        <v>NI</v>
      </c>
      <c r="K169" t="s">
        <v>4820</v>
      </c>
      <c r="AA169" t="s">
        <v>3945</v>
      </c>
    </row>
    <row r="170" spans="1:27" x14ac:dyDescent="0.3">
      <c r="A170" s="326" t="s">
        <v>714</v>
      </c>
      <c r="B170" t="s">
        <v>715</v>
      </c>
      <c r="C170" s="324" t="s">
        <v>3268</v>
      </c>
      <c r="D170" s="326" t="str">
        <f t="shared" si="4"/>
        <v>NACE C - 16.1 Sawmilling and planing of wood; processing and finishing of wood</v>
      </c>
      <c r="E170" s="324" t="s">
        <v>716</v>
      </c>
      <c r="F170" t="s">
        <v>717</v>
      </c>
      <c r="G170" t="str">
        <f t="shared" si="5"/>
        <v>NL</v>
      </c>
      <c r="K170" t="s">
        <v>4821</v>
      </c>
      <c r="AA170" t="s">
        <v>3946</v>
      </c>
    </row>
    <row r="171" spans="1:27" x14ac:dyDescent="0.3">
      <c r="A171" s="327" t="s">
        <v>718</v>
      </c>
      <c r="B171" t="s">
        <v>719</v>
      </c>
      <c r="C171" s="323" t="s">
        <v>3280</v>
      </c>
      <c r="D171" s="327" t="str">
        <f t="shared" si="4"/>
        <v>NACE C - 16.11 Sawmilling and planing of wood</v>
      </c>
      <c r="E171" s="324" t="s">
        <v>720</v>
      </c>
      <c r="F171" t="s">
        <v>721</v>
      </c>
      <c r="G171" t="str">
        <f t="shared" si="5"/>
        <v>NO</v>
      </c>
      <c r="K171" t="s">
        <v>4822</v>
      </c>
    </row>
    <row r="172" spans="1:27" x14ac:dyDescent="0.3">
      <c r="A172" s="327" t="s">
        <v>722</v>
      </c>
      <c r="B172" t="s">
        <v>723</v>
      </c>
      <c r="C172" s="326" t="s">
        <v>3281</v>
      </c>
      <c r="D172" s="327" t="str">
        <f t="shared" si="4"/>
        <v>NACE C - 16.12 Processing and finishing of wood</v>
      </c>
      <c r="E172" s="324" t="s">
        <v>724</v>
      </c>
      <c r="F172" t="s">
        <v>725</v>
      </c>
      <c r="G172" t="str">
        <f t="shared" si="5"/>
        <v>NP</v>
      </c>
      <c r="K172" t="s">
        <v>4823</v>
      </c>
    </row>
    <row r="173" spans="1:27" x14ac:dyDescent="0.3">
      <c r="A173" s="326" t="s">
        <v>726</v>
      </c>
      <c r="B173" t="s">
        <v>727</v>
      </c>
      <c r="C173" s="323" t="s">
        <v>3282</v>
      </c>
      <c r="D173" s="326" t="str">
        <f t="shared" si="4"/>
        <v>NACE C - 16.2 Manufacture of products of wood, cork, straw and plaiting materials</v>
      </c>
      <c r="E173" s="324" t="s">
        <v>728</v>
      </c>
      <c r="F173" t="s">
        <v>729</v>
      </c>
      <c r="G173" t="str">
        <f t="shared" si="5"/>
        <v>NR</v>
      </c>
      <c r="K173" t="s">
        <v>4824</v>
      </c>
    </row>
    <row r="174" spans="1:27" x14ac:dyDescent="0.3">
      <c r="A174" s="327" t="s">
        <v>730</v>
      </c>
      <c r="B174" t="s">
        <v>731</v>
      </c>
      <c r="C174" s="326" t="s">
        <v>3283</v>
      </c>
      <c r="D174" s="327" t="str">
        <f t="shared" si="4"/>
        <v>NACE C - 16.21 Manufacture of veneer sheets and wood-based panels</v>
      </c>
      <c r="E174" s="324" t="s">
        <v>732</v>
      </c>
      <c r="F174" t="s">
        <v>733</v>
      </c>
      <c r="G174" t="str">
        <f t="shared" si="5"/>
        <v>NT</v>
      </c>
      <c r="K174" t="s">
        <v>4825</v>
      </c>
    </row>
    <row r="175" spans="1:27" x14ac:dyDescent="0.3">
      <c r="A175" s="327" t="s">
        <v>734</v>
      </c>
      <c r="B175" t="s">
        <v>735</v>
      </c>
      <c r="C175" s="326" t="s">
        <v>3284</v>
      </c>
      <c r="D175" s="327" t="str">
        <f t="shared" si="4"/>
        <v>NACE C - 16.22 Manufacture of assembled parquet floors</v>
      </c>
      <c r="E175" s="324" t="s">
        <v>736</v>
      </c>
      <c r="F175" t="s">
        <v>737</v>
      </c>
      <c r="G175" t="str">
        <f t="shared" si="5"/>
        <v>NU</v>
      </c>
      <c r="K175" t="s">
        <v>4826</v>
      </c>
    </row>
    <row r="176" spans="1:27" x14ac:dyDescent="0.3">
      <c r="A176" s="327" t="s">
        <v>738</v>
      </c>
      <c r="B176" t="s">
        <v>739</v>
      </c>
      <c r="C176" s="326" t="s">
        <v>3285</v>
      </c>
      <c r="D176" s="327" t="str">
        <f t="shared" si="4"/>
        <v>NACE C - 16.23 Manufacture of other builders’ carpentry and joinery</v>
      </c>
      <c r="E176" s="324" t="s">
        <v>740</v>
      </c>
      <c r="F176" t="s">
        <v>741</v>
      </c>
      <c r="G176" t="str">
        <f t="shared" si="5"/>
        <v>NZ</v>
      </c>
      <c r="K176" t="s">
        <v>4827</v>
      </c>
    </row>
    <row r="177" spans="1:11" x14ac:dyDescent="0.3">
      <c r="A177" s="327" t="s">
        <v>742</v>
      </c>
      <c r="B177" t="s">
        <v>743</v>
      </c>
      <c r="C177" s="323" t="s">
        <v>3286</v>
      </c>
      <c r="D177" s="327" t="str">
        <f t="shared" si="4"/>
        <v>NACE C - 16.24 Manufacture of wooden containers</v>
      </c>
      <c r="E177" s="324" t="s">
        <v>744</v>
      </c>
      <c r="F177" t="s">
        <v>745</v>
      </c>
      <c r="G177" t="str">
        <f t="shared" si="5"/>
        <v>OM</v>
      </c>
      <c r="K177" t="s">
        <v>4828</v>
      </c>
    </row>
    <row r="178" spans="1:11" x14ac:dyDescent="0.3">
      <c r="A178" s="327" t="s">
        <v>746</v>
      </c>
      <c r="B178" t="s">
        <v>747</v>
      </c>
      <c r="C178" s="326" t="s">
        <v>3287</v>
      </c>
      <c r="D178" s="327" t="str">
        <f t="shared" si="4"/>
        <v>NACE C - 16.25 Manufacture of doors and windows of wood</v>
      </c>
      <c r="E178" s="324" t="s">
        <v>748</v>
      </c>
      <c r="F178" t="s">
        <v>749</v>
      </c>
      <c r="G178" t="str">
        <f t="shared" si="5"/>
        <v>PA</v>
      </c>
      <c r="K178" t="s">
        <v>4829</v>
      </c>
    </row>
    <row r="179" spans="1:11" x14ac:dyDescent="0.3">
      <c r="A179" s="327" t="s">
        <v>750</v>
      </c>
      <c r="B179" t="s">
        <v>751</v>
      </c>
      <c r="C179" s="326" t="s">
        <v>3288</v>
      </c>
      <c r="D179" s="327" t="str">
        <f t="shared" si="4"/>
        <v>NACE C - 16.26 Manufacture of solid fuels from vegetable biomass</v>
      </c>
      <c r="E179" s="324" t="s">
        <v>752</v>
      </c>
      <c r="F179" t="s">
        <v>753</v>
      </c>
      <c r="G179" t="str">
        <f t="shared" si="5"/>
        <v>PE</v>
      </c>
      <c r="K179" t="s">
        <v>4830</v>
      </c>
    </row>
    <row r="180" spans="1:11" x14ac:dyDescent="0.3">
      <c r="A180" s="327" t="s">
        <v>754</v>
      </c>
      <c r="B180" t="s">
        <v>755</v>
      </c>
      <c r="C180" s="326" t="s">
        <v>3289</v>
      </c>
      <c r="D180" s="327" t="str">
        <f t="shared" si="4"/>
        <v>NACE C - 16.27 Finishing of wooden products</v>
      </c>
      <c r="E180" s="324" t="s">
        <v>756</v>
      </c>
      <c r="F180" t="s">
        <v>757</v>
      </c>
      <c r="G180" t="str">
        <f t="shared" si="5"/>
        <v>PF</v>
      </c>
      <c r="K180" t="s">
        <v>4831</v>
      </c>
    </row>
    <row r="181" spans="1:11" x14ac:dyDescent="0.3">
      <c r="A181" s="327" t="s">
        <v>758</v>
      </c>
      <c r="B181" t="s">
        <v>759</v>
      </c>
      <c r="C181" s="326" t="s">
        <v>3290</v>
      </c>
      <c r="D181" s="327" t="str">
        <f t="shared" si="4"/>
        <v>NACE C - 16.28 Manufacture of other products of wood and articles of cork, straw and plaiting materials</v>
      </c>
      <c r="E181" s="324" t="s">
        <v>760</v>
      </c>
      <c r="F181" t="s">
        <v>761</v>
      </c>
      <c r="G181" t="str">
        <f t="shared" si="5"/>
        <v>PG</v>
      </c>
      <c r="K181" t="s">
        <v>4832</v>
      </c>
    </row>
    <row r="182" spans="1:11" x14ac:dyDescent="0.3">
      <c r="A182" s="323" t="s">
        <v>762</v>
      </c>
      <c r="B182" t="s">
        <v>763</v>
      </c>
      <c r="C182" s="326" t="s">
        <v>3291</v>
      </c>
      <c r="D182" s="323" t="str">
        <f t="shared" si="4"/>
        <v>NACE C - 17 Manufacture of paper and paper products</v>
      </c>
      <c r="E182" s="324" t="s">
        <v>764</v>
      </c>
      <c r="F182" t="s">
        <v>765</v>
      </c>
      <c r="G182" t="str">
        <f t="shared" si="5"/>
        <v>PH</v>
      </c>
      <c r="K182" t="s">
        <v>4833</v>
      </c>
    </row>
    <row r="183" spans="1:11" x14ac:dyDescent="0.3">
      <c r="A183" s="326" t="s">
        <v>766</v>
      </c>
      <c r="B183" t="s">
        <v>767</v>
      </c>
      <c r="C183" s="326" t="s">
        <v>3292</v>
      </c>
      <c r="D183" s="326" t="str">
        <f t="shared" si="4"/>
        <v>NACE C - 17.1 Manufacture of pulp, paper and paperboard</v>
      </c>
      <c r="E183" s="324" t="s">
        <v>768</v>
      </c>
      <c r="F183" t="s">
        <v>769</v>
      </c>
      <c r="G183" t="str">
        <f t="shared" si="5"/>
        <v>PK</v>
      </c>
      <c r="K183" t="s">
        <v>4834</v>
      </c>
    </row>
    <row r="184" spans="1:11" x14ac:dyDescent="0.3">
      <c r="A184" s="327" t="s">
        <v>770</v>
      </c>
      <c r="B184" t="s">
        <v>771</v>
      </c>
      <c r="C184" s="326" t="s">
        <v>3293</v>
      </c>
      <c r="D184" s="327" t="str">
        <f t="shared" si="4"/>
        <v>NACE C - 17.11 Manufacture of pulp</v>
      </c>
      <c r="E184" s="324" t="s">
        <v>772</v>
      </c>
      <c r="F184" t="s">
        <v>773</v>
      </c>
      <c r="G184" t="str">
        <f t="shared" si="5"/>
        <v>PL</v>
      </c>
      <c r="K184" t="s">
        <v>4835</v>
      </c>
    </row>
    <row r="185" spans="1:11" x14ac:dyDescent="0.3">
      <c r="A185" s="327" t="s">
        <v>774</v>
      </c>
      <c r="B185" t="s">
        <v>775</v>
      </c>
      <c r="C185" s="324" t="s">
        <v>3279</v>
      </c>
      <c r="D185" s="327" t="str">
        <f t="shared" si="4"/>
        <v>NACE C - 17.12 Manufacture of paper and paperboard</v>
      </c>
      <c r="E185" s="324" t="s">
        <v>776</v>
      </c>
      <c r="F185" t="s">
        <v>777</v>
      </c>
      <c r="G185" t="str">
        <f t="shared" si="5"/>
        <v>PM</v>
      </c>
      <c r="K185" t="s">
        <v>4836</v>
      </c>
    </row>
    <row r="186" spans="1:11" x14ac:dyDescent="0.3">
      <c r="A186" s="326" t="s">
        <v>778</v>
      </c>
      <c r="B186" t="s">
        <v>779</v>
      </c>
      <c r="C186" s="323" t="s">
        <v>3295</v>
      </c>
      <c r="D186" s="326" t="str">
        <f t="shared" si="4"/>
        <v>NACE C - 17.2 Manufacture of articles of paper and paperboard</v>
      </c>
      <c r="E186" s="324" t="s">
        <v>780</v>
      </c>
      <c r="F186" t="s">
        <v>781</v>
      </c>
      <c r="G186" t="str">
        <f t="shared" si="5"/>
        <v>PN</v>
      </c>
      <c r="K186" t="s">
        <v>4837</v>
      </c>
    </row>
    <row r="187" spans="1:11" x14ac:dyDescent="0.3">
      <c r="A187" s="327" t="s">
        <v>782</v>
      </c>
      <c r="B187" t="s">
        <v>783</v>
      </c>
      <c r="C187" s="326" t="s">
        <v>3296</v>
      </c>
      <c r="D187" s="327" t="str">
        <f t="shared" si="4"/>
        <v>NACE C - 17.21 Manufacture of corrugated paper, paperboard and containers of paper and paperboard</v>
      </c>
      <c r="E187" s="324" t="s">
        <v>784</v>
      </c>
      <c r="F187" t="s">
        <v>785</v>
      </c>
      <c r="G187" t="str">
        <f t="shared" si="5"/>
        <v>PR</v>
      </c>
      <c r="K187" t="s">
        <v>4838</v>
      </c>
    </row>
    <row r="188" spans="1:11" x14ac:dyDescent="0.3">
      <c r="A188" s="327" t="s">
        <v>786</v>
      </c>
      <c r="B188" t="s">
        <v>787</v>
      </c>
      <c r="C188" s="326" t="s">
        <v>3297</v>
      </c>
      <c r="D188" s="327" t="str">
        <f t="shared" si="4"/>
        <v>NACE C - 17.22 Manufacture of household and sanitary goods and of toilet requisites</v>
      </c>
      <c r="E188" s="324" t="s">
        <v>788</v>
      </c>
      <c r="F188" t="s">
        <v>789</v>
      </c>
      <c r="G188" t="str">
        <f t="shared" si="5"/>
        <v>PS</v>
      </c>
      <c r="K188" t="s">
        <v>4839</v>
      </c>
    </row>
    <row r="189" spans="1:11" x14ac:dyDescent="0.3">
      <c r="A189" s="327" t="s">
        <v>790</v>
      </c>
      <c r="B189" t="s">
        <v>791</v>
      </c>
      <c r="C189" s="326" t="s">
        <v>3298</v>
      </c>
      <c r="D189" s="327" t="str">
        <f t="shared" si="4"/>
        <v>NACE C - 17.23 Manufacture of paper stationery</v>
      </c>
      <c r="E189" s="324" t="s">
        <v>792</v>
      </c>
      <c r="F189" t="s">
        <v>793</v>
      </c>
      <c r="G189" t="str">
        <f t="shared" si="5"/>
        <v>PT</v>
      </c>
      <c r="K189" t="s">
        <v>4840</v>
      </c>
    </row>
    <row r="190" spans="1:11" x14ac:dyDescent="0.3">
      <c r="A190" s="327" t="s">
        <v>794</v>
      </c>
      <c r="B190" t="s">
        <v>795</v>
      </c>
      <c r="C190" s="326" t="s">
        <v>3299</v>
      </c>
      <c r="D190" s="327" t="str">
        <f t="shared" si="4"/>
        <v>NACE C - 17.24 Manufacture of wallpaper</v>
      </c>
      <c r="E190" s="324" t="s">
        <v>796</v>
      </c>
      <c r="F190" t="s">
        <v>797</v>
      </c>
      <c r="G190" t="str">
        <f t="shared" si="5"/>
        <v>PW</v>
      </c>
      <c r="K190" t="s">
        <v>4841</v>
      </c>
    </row>
    <row r="191" spans="1:11" x14ac:dyDescent="0.3">
      <c r="A191" s="327" t="s">
        <v>798</v>
      </c>
      <c r="B191" t="s">
        <v>799</v>
      </c>
      <c r="C191" s="326" t="s">
        <v>3300</v>
      </c>
      <c r="D191" s="327" t="str">
        <f t="shared" si="4"/>
        <v>NACE C - 17.25 Manufacture of other articles of paper and paperboard</v>
      </c>
      <c r="E191" s="324" t="s">
        <v>800</v>
      </c>
      <c r="F191" t="s">
        <v>801</v>
      </c>
      <c r="G191" t="str">
        <f t="shared" si="5"/>
        <v>PY</v>
      </c>
      <c r="K191" t="s">
        <v>4842</v>
      </c>
    </row>
    <row r="192" spans="1:11" x14ac:dyDescent="0.3">
      <c r="A192" s="323" t="s">
        <v>802</v>
      </c>
      <c r="B192" t="s">
        <v>803</v>
      </c>
      <c r="C192" s="326" t="s">
        <v>3301</v>
      </c>
      <c r="D192" s="323" t="str">
        <f t="shared" si="4"/>
        <v>NACE C - 18 Printing and reproduction of recorded media</v>
      </c>
      <c r="E192" s="324" t="s">
        <v>804</v>
      </c>
      <c r="F192" t="s">
        <v>805</v>
      </c>
      <c r="G192" t="str">
        <f t="shared" si="5"/>
        <v>QA</v>
      </c>
      <c r="K192" t="s">
        <v>4843</v>
      </c>
    </row>
    <row r="193" spans="1:11" x14ac:dyDescent="0.3">
      <c r="A193" s="326" t="s">
        <v>806</v>
      </c>
      <c r="B193" t="s">
        <v>807</v>
      </c>
      <c r="C193" s="326" t="s">
        <v>3302</v>
      </c>
      <c r="D193" s="326" t="str">
        <f t="shared" si="4"/>
        <v>NACE C - 18.1 Printing and service activities related to printing</v>
      </c>
      <c r="E193" s="324" t="s">
        <v>808</v>
      </c>
      <c r="F193" t="s">
        <v>809</v>
      </c>
      <c r="G193" t="str">
        <f t="shared" si="5"/>
        <v>RE</v>
      </c>
      <c r="K193" t="s">
        <v>4844</v>
      </c>
    </row>
    <row r="194" spans="1:11" x14ac:dyDescent="0.3">
      <c r="A194" s="327" t="s">
        <v>810</v>
      </c>
      <c r="B194" t="s">
        <v>811</v>
      </c>
      <c r="C194" s="326" t="s">
        <v>3303</v>
      </c>
      <c r="D194" s="327" t="str">
        <f t="shared" ref="D194:D257" si="6">_xlfn.CONCAT("NACE ", A194)</f>
        <v>NACE C - 18.11 Printing of newspapers</v>
      </c>
      <c r="E194" s="324" t="s">
        <v>812</v>
      </c>
      <c r="F194" t="s">
        <v>813</v>
      </c>
      <c r="G194" t="str">
        <f t="shared" si="5"/>
        <v>RO</v>
      </c>
      <c r="K194" t="s">
        <v>4845</v>
      </c>
    </row>
    <row r="195" spans="1:11" x14ac:dyDescent="0.3">
      <c r="A195" s="327" t="s">
        <v>814</v>
      </c>
      <c r="B195" t="s">
        <v>815</v>
      </c>
      <c r="C195" s="326" t="s">
        <v>3304</v>
      </c>
      <c r="D195" s="327" t="str">
        <f t="shared" si="6"/>
        <v>NACE C - 18.12 Other printing</v>
      </c>
      <c r="E195" s="324" t="s">
        <v>816</v>
      </c>
      <c r="F195" t="s">
        <v>817</v>
      </c>
      <c r="G195" t="str">
        <f t="shared" ref="G195:G257" si="7">RIGHT(F195,2)</f>
        <v>RS</v>
      </c>
      <c r="K195" t="s">
        <v>4846</v>
      </c>
    </row>
    <row r="196" spans="1:11" x14ac:dyDescent="0.3">
      <c r="A196" s="327" t="s">
        <v>818</v>
      </c>
      <c r="B196" t="s">
        <v>819</v>
      </c>
      <c r="C196" s="323" t="s">
        <v>3305</v>
      </c>
      <c r="D196" s="327" t="str">
        <f t="shared" si="6"/>
        <v>NACE C - 18.13 Pre-press and pre-media services</v>
      </c>
      <c r="E196" s="324" t="s">
        <v>820</v>
      </c>
      <c r="F196" t="s">
        <v>821</v>
      </c>
      <c r="G196" t="str">
        <f t="shared" si="7"/>
        <v>RU</v>
      </c>
      <c r="K196" t="s">
        <v>4847</v>
      </c>
    </row>
    <row r="197" spans="1:11" x14ac:dyDescent="0.3">
      <c r="A197" s="327" t="s">
        <v>822</v>
      </c>
      <c r="B197" t="s">
        <v>823</v>
      </c>
      <c r="C197" s="326" t="s">
        <v>3306</v>
      </c>
      <c r="D197" s="327" t="str">
        <f t="shared" si="6"/>
        <v>NACE C - 18.14 Binding and related services</v>
      </c>
      <c r="E197" s="324" t="s">
        <v>824</v>
      </c>
      <c r="F197" t="s">
        <v>825</v>
      </c>
      <c r="G197" t="str">
        <f t="shared" si="7"/>
        <v>RW</v>
      </c>
      <c r="K197" t="s">
        <v>4848</v>
      </c>
    </row>
    <row r="198" spans="1:11" x14ac:dyDescent="0.3">
      <c r="A198" s="326" t="s">
        <v>826</v>
      </c>
      <c r="B198" t="s">
        <v>827</v>
      </c>
      <c r="C198" s="326" t="s">
        <v>3307</v>
      </c>
      <c r="D198" s="326" t="str">
        <f t="shared" si="6"/>
        <v>NACE C - 18.2 Reproduction of recorded media</v>
      </c>
      <c r="E198" s="324" t="s">
        <v>828</v>
      </c>
      <c r="F198" t="s">
        <v>829</v>
      </c>
      <c r="G198" t="str">
        <f t="shared" si="7"/>
        <v>SA</v>
      </c>
      <c r="K198" t="s">
        <v>4849</v>
      </c>
    </row>
    <row r="199" spans="1:11" x14ac:dyDescent="0.3">
      <c r="A199" s="327" t="s">
        <v>830</v>
      </c>
      <c r="B199" t="s">
        <v>831</v>
      </c>
      <c r="C199" s="326" t="s">
        <v>3308</v>
      </c>
      <c r="D199" s="327" t="str">
        <f t="shared" si="6"/>
        <v>NACE C - 18.20 Reproduction of recorded media</v>
      </c>
      <c r="E199" s="324" t="s">
        <v>832</v>
      </c>
      <c r="F199" t="s">
        <v>833</v>
      </c>
      <c r="G199" t="str">
        <f t="shared" si="7"/>
        <v>SB</v>
      </c>
      <c r="K199" t="s">
        <v>4850</v>
      </c>
    </row>
    <row r="200" spans="1:11" x14ac:dyDescent="0.3">
      <c r="A200" s="323" t="s">
        <v>834</v>
      </c>
      <c r="B200" t="s">
        <v>835</v>
      </c>
      <c r="C200" s="326" t="s">
        <v>3309</v>
      </c>
      <c r="D200" s="323" t="str">
        <f t="shared" si="6"/>
        <v>NACE C - 19 Manufacture of coke and refined petroleum products</v>
      </c>
      <c r="E200" s="324" t="s">
        <v>836</v>
      </c>
      <c r="F200" t="s">
        <v>837</v>
      </c>
      <c r="G200" t="str">
        <f t="shared" si="7"/>
        <v>SC</v>
      </c>
      <c r="K200" t="s">
        <v>4851</v>
      </c>
    </row>
    <row r="201" spans="1:11" x14ac:dyDescent="0.3">
      <c r="A201" s="326" t="s">
        <v>838</v>
      </c>
      <c r="B201" t="s">
        <v>839</v>
      </c>
      <c r="C201" s="326" t="s">
        <v>3310</v>
      </c>
      <c r="D201" s="326" t="str">
        <f t="shared" si="6"/>
        <v>NACE C - 19.1 Manufacture of coke oven products</v>
      </c>
      <c r="E201" s="324" t="s">
        <v>840</v>
      </c>
      <c r="F201" t="s">
        <v>841</v>
      </c>
      <c r="G201" t="str">
        <f t="shared" si="7"/>
        <v>SD</v>
      </c>
      <c r="K201" t="s">
        <v>4852</v>
      </c>
    </row>
    <row r="202" spans="1:11" x14ac:dyDescent="0.3">
      <c r="A202" s="327" t="s">
        <v>842</v>
      </c>
      <c r="B202" t="s">
        <v>843</v>
      </c>
      <c r="C202" s="326" t="s">
        <v>3311</v>
      </c>
      <c r="D202" s="327" t="str">
        <f t="shared" si="6"/>
        <v>NACE C - 19.10 Manufacture of coke oven products</v>
      </c>
      <c r="E202" s="324" t="s">
        <v>844</v>
      </c>
      <c r="F202" t="s">
        <v>845</v>
      </c>
      <c r="G202" t="str">
        <f t="shared" si="7"/>
        <v>SE</v>
      </c>
      <c r="K202" t="s">
        <v>4853</v>
      </c>
    </row>
    <row r="203" spans="1:11" x14ac:dyDescent="0.3">
      <c r="A203" s="326" t="s">
        <v>846</v>
      </c>
      <c r="B203" t="s">
        <v>847</v>
      </c>
      <c r="C203" s="326" t="s">
        <v>3312</v>
      </c>
      <c r="D203" s="326" t="str">
        <f t="shared" si="6"/>
        <v>NACE C - 19.2 Manufacture of refined petroleum products and fossil fuel products</v>
      </c>
      <c r="E203" s="324" t="s">
        <v>848</v>
      </c>
      <c r="F203" t="s">
        <v>849</v>
      </c>
      <c r="G203" t="str">
        <f t="shared" si="7"/>
        <v>SG</v>
      </c>
      <c r="K203" t="s">
        <v>4854</v>
      </c>
    </row>
    <row r="204" spans="1:11" x14ac:dyDescent="0.3">
      <c r="A204" s="327" t="s">
        <v>850</v>
      </c>
      <c r="B204" t="s">
        <v>851</v>
      </c>
      <c r="C204" s="326" t="s">
        <v>3313</v>
      </c>
      <c r="D204" s="327" t="str">
        <f t="shared" si="6"/>
        <v>NACE C - 19.20 Manufacture of refined petroleum products and fossil fuel products</v>
      </c>
      <c r="E204" s="324" t="s">
        <v>852</v>
      </c>
      <c r="F204" t="s">
        <v>853</v>
      </c>
      <c r="G204" t="str">
        <f t="shared" si="7"/>
        <v>SH</v>
      </c>
      <c r="K204" t="s">
        <v>4855</v>
      </c>
    </row>
    <row r="205" spans="1:11" x14ac:dyDescent="0.3">
      <c r="A205" s="323" t="s">
        <v>854</v>
      </c>
      <c r="B205" t="s">
        <v>855</v>
      </c>
      <c r="C205" s="326" t="s">
        <v>3314</v>
      </c>
      <c r="D205" s="323" t="str">
        <f t="shared" si="6"/>
        <v>NACE C - 20 Manufacture of chemicals and chemical products</v>
      </c>
      <c r="E205" s="324" t="s">
        <v>856</v>
      </c>
      <c r="F205" t="s">
        <v>857</v>
      </c>
      <c r="G205" t="str">
        <f t="shared" si="7"/>
        <v>SI</v>
      </c>
      <c r="K205" t="s">
        <v>4856</v>
      </c>
    </row>
    <row r="206" spans="1:11" x14ac:dyDescent="0.3">
      <c r="A206" s="326" t="s">
        <v>858</v>
      </c>
      <c r="B206" t="s">
        <v>859</v>
      </c>
      <c r="C206" s="324" t="s">
        <v>3294</v>
      </c>
      <c r="D206" s="326" t="str">
        <f t="shared" si="6"/>
        <v>NACE C - 20.1 Manufacture of basic chemicals, fertilisers and nitrogen compounds, plastics and synthetic rubber in primary forms</v>
      </c>
      <c r="E206" s="324" t="s">
        <v>860</v>
      </c>
      <c r="F206" t="s">
        <v>861</v>
      </c>
      <c r="G206" t="str">
        <f t="shared" si="7"/>
        <v>SJ</v>
      </c>
      <c r="K206" t="s">
        <v>4857</v>
      </c>
    </row>
    <row r="207" spans="1:11" x14ac:dyDescent="0.3">
      <c r="A207" s="327" t="s">
        <v>862</v>
      </c>
      <c r="B207" t="s">
        <v>863</v>
      </c>
      <c r="C207" s="323" t="s">
        <v>3316</v>
      </c>
      <c r="D207" s="327" t="str">
        <f t="shared" si="6"/>
        <v>NACE C - 20.11 Manufacture of industrial gases</v>
      </c>
      <c r="E207" s="324" t="s">
        <v>864</v>
      </c>
      <c r="F207" t="s">
        <v>865</v>
      </c>
      <c r="G207" t="str">
        <f t="shared" si="7"/>
        <v>SK</v>
      </c>
      <c r="K207" t="s">
        <v>4858</v>
      </c>
    </row>
    <row r="208" spans="1:11" x14ac:dyDescent="0.3">
      <c r="A208" s="327" t="s">
        <v>866</v>
      </c>
      <c r="B208" t="s">
        <v>867</v>
      </c>
      <c r="C208" s="326" t="s">
        <v>3317</v>
      </c>
      <c r="D208" s="327" t="str">
        <f t="shared" si="6"/>
        <v>NACE C - 20.12 Manufacture of dyes and pigments</v>
      </c>
      <c r="E208" s="324" t="s">
        <v>868</v>
      </c>
      <c r="F208" t="s">
        <v>869</v>
      </c>
      <c r="G208" t="str">
        <f t="shared" si="7"/>
        <v>SL</v>
      </c>
      <c r="K208" t="s">
        <v>4859</v>
      </c>
    </row>
    <row r="209" spans="1:11" x14ac:dyDescent="0.3">
      <c r="A209" s="327" t="s">
        <v>870</v>
      </c>
      <c r="B209" t="s">
        <v>871</v>
      </c>
      <c r="C209" s="326" t="s">
        <v>3318</v>
      </c>
      <c r="D209" s="327" t="str">
        <f t="shared" si="6"/>
        <v>NACE C - 20.13 Manufacture of other inorganic basic chemicals</v>
      </c>
      <c r="E209" s="324" t="s">
        <v>872</v>
      </c>
      <c r="F209" t="s">
        <v>873</v>
      </c>
      <c r="G209" t="str">
        <f t="shared" si="7"/>
        <v>SM</v>
      </c>
      <c r="K209" t="s">
        <v>4860</v>
      </c>
    </row>
    <row r="210" spans="1:11" x14ac:dyDescent="0.3">
      <c r="A210" s="327" t="s">
        <v>874</v>
      </c>
      <c r="B210" t="s">
        <v>875</v>
      </c>
      <c r="C210" s="326" t="s">
        <v>3319</v>
      </c>
      <c r="D210" s="327" t="str">
        <f t="shared" si="6"/>
        <v>NACE C - 20.14 Manufacture of other organic basic chemicals</v>
      </c>
      <c r="E210" s="324" t="s">
        <v>876</v>
      </c>
      <c r="F210" t="s">
        <v>877</v>
      </c>
      <c r="G210" t="str">
        <f t="shared" si="7"/>
        <v>SN</v>
      </c>
      <c r="K210" t="s">
        <v>4861</v>
      </c>
    </row>
    <row r="211" spans="1:11" x14ac:dyDescent="0.3">
      <c r="A211" s="327" t="s">
        <v>878</v>
      </c>
      <c r="B211" t="s">
        <v>879</v>
      </c>
      <c r="C211" s="326" t="s">
        <v>3320</v>
      </c>
      <c r="D211" s="327" t="str">
        <f t="shared" si="6"/>
        <v>NACE C - 20.15 Manufacture of fertilisers and nitrogen compounds</v>
      </c>
      <c r="E211" s="324" t="s">
        <v>880</v>
      </c>
      <c r="F211" t="s">
        <v>881</v>
      </c>
      <c r="G211" t="str">
        <f t="shared" si="7"/>
        <v>SO</v>
      </c>
      <c r="K211" t="s">
        <v>4862</v>
      </c>
    </row>
    <row r="212" spans="1:11" x14ac:dyDescent="0.3">
      <c r="A212" s="327" t="s">
        <v>882</v>
      </c>
      <c r="B212" t="s">
        <v>883</v>
      </c>
      <c r="C212" s="326" t="s">
        <v>3321</v>
      </c>
      <c r="D212" s="327" t="str">
        <f t="shared" si="6"/>
        <v>NACE C - 20.16 Manufacture of plastics in primary forms</v>
      </c>
      <c r="E212" s="324" t="s">
        <v>884</v>
      </c>
      <c r="F212" t="s">
        <v>885</v>
      </c>
      <c r="G212" t="str">
        <f t="shared" si="7"/>
        <v>SR</v>
      </c>
      <c r="K212" t="s">
        <v>4863</v>
      </c>
    </row>
    <row r="213" spans="1:11" x14ac:dyDescent="0.3">
      <c r="A213" s="327" t="s">
        <v>886</v>
      </c>
      <c r="B213" t="s">
        <v>887</v>
      </c>
      <c r="C213" s="323" t="s">
        <v>3322</v>
      </c>
      <c r="D213" s="327" t="str">
        <f t="shared" si="6"/>
        <v>NACE C - 20.17 Manufacture of synthetic rubber in primary forms</v>
      </c>
      <c r="E213" s="324" t="s">
        <v>888</v>
      </c>
      <c r="F213" t="s">
        <v>889</v>
      </c>
      <c r="G213" t="str">
        <f t="shared" si="7"/>
        <v>SS</v>
      </c>
      <c r="K213" t="s">
        <v>4644</v>
      </c>
    </row>
    <row r="214" spans="1:11" x14ac:dyDescent="0.3">
      <c r="A214" s="326" t="s">
        <v>890</v>
      </c>
      <c r="B214" t="s">
        <v>891</v>
      </c>
      <c r="C214" s="326" t="s">
        <v>3323</v>
      </c>
      <c r="D214" s="326" t="str">
        <f t="shared" si="6"/>
        <v>NACE C - 20.2 Manufacture of pesticides, disinfectants and other agrochemical products</v>
      </c>
      <c r="E214" s="324" t="s">
        <v>892</v>
      </c>
      <c r="F214" t="s">
        <v>893</v>
      </c>
      <c r="G214" t="str">
        <f t="shared" si="7"/>
        <v>ST</v>
      </c>
      <c r="K214" t="s">
        <v>4864</v>
      </c>
    </row>
    <row r="215" spans="1:11" x14ac:dyDescent="0.3">
      <c r="A215" s="327" t="s">
        <v>894</v>
      </c>
      <c r="B215" t="s">
        <v>895</v>
      </c>
      <c r="C215" s="326" t="s">
        <v>3324</v>
      </c>
      <c r="D215" s="327" t="str">
        <f t="shared" si="6"/>
        <v>NACE C - 20.20 Manufacture of pesticides, disinfectants and other agrochemical products</v>
      </c>
      <c r="E215" s="324" t="s">
        <v>896</v>
      </c>
      <c r="F215" t="s">
        <v>897</v>
      </c>
      <c r="G215" t="str">
        <f t="shared" si="7"/>
        <v>SV</v>
      </c>
      <c r="K215" t="s">
        <v>4865</v>
      </c>
    </row>
    <row r="216" spans="1:11" x14ac:dyDescent="0.3">
      <c r="A216" s="326" t="s">
        <v>898</v>
      </c>
      <c r="B216" t="s">
        <v>899</v>
      </c>
      <c r="C216" s="326" t="s">
        <v>3325</v>
      </c>
      <c r="D216" s="326" t="str">
        <f t="shared" si="6"/>
        <v>NACE C - 20.3 Manufacture of paints, varnishes and similar coatings, printing ink and mastics</v>
      </c>
      <c r="E216" s="324" t="s">
        <v>900</v>
      </c>
      <c r="F216" t="s">
        <v>901</v>
      </c>
      <c r="G216" t="str">
        <f t="shared" si="7"/>
        <v>SX</v>
      </c>
      <c r="K216" t="s">
        <v>4866</v>
      </c>
    </row>
    <row r="217" spans="1:11" x14ac:dyDescent="0.3">
      <c r="A217" s="327" t="s">
        <v>902</v>
      </c>
      <c r="B217" t="s">
        <v>903</v>
      </c>
      <c r="C217" s="326" t="s">
        <v>3326</v>
      </c>
      <c r="D217" s="327" t="str">
        <f t="shared" si="6"/>
        <v>NACE C - 20.30 Manufacture of paints, varnishes and similar coatings, printing ink and mastics</v>
      </c>
      <c r="E217" s="324" t="s">
        <v>904</v>
      </c>
      <c r="F217" t="s">
        <v>905</v>
      </c>
      <c r="G217" t="str">
        <f t="shared" si="7"/>
        <v>SY</v>
      </c>
      <c r="K217" t="s">
        <v>4867</v>
      </c>
    </row>
    <row r="218" spans="1:11" x14ac:dyDescent="0.3">
      <c r="A218" s="326" t="s">
        <v>906</v>
      </c>
      <c r="B218" t="s">
        <v>907</v>
      </c>
      <c r="C218" s="323" t="s">
        <v>3327</v>
      </c>
      <c r="D218" s="326" t="str">
        <f t="shared" si="6"/>
        <v>NACE C - 20.4 Manufacture of washing, cleaning and polishing preparations</v>
      </c>
      <c r="E218" s="324" t="s">
        <v>908</v>
      </c>
      <c r="F218" t="s">
        <v>909</v>
      </c>
      <c r="G218" t="str">
        <f t="shared" si="7"/>
        <v>SZ</v>
      </c>
      <c r="K218" t="s">
        <v>4868</v>
      </c>
    </row>
    <row r="219" spans="1:11" x14ac:dyDescent="0.3">
      <c r="A219" s="327" t="s">
        <v>910</v>
      </c>
      <c r="B219" t="s">
        <v>911</v>
      </c>
      <c r="C219" s="326" t="s">
        <v>3328</v>
      </c>
      <c r="D219" s="327" t="str">
        <f t="shared" si="6"/>
        <v>NACE C - 20.41 Manufacture of soap and detergents, cleaning and polishing preparations</v>
      </c>
      <c r="E219" s="324" t="s">
        <v>912</v>
      </c>
      <c r="F219" t="s">
        <v>913</v>
      </c>
      <c r="G219" t="str">
        <f t="shared" si="7"/>
        <v>TC</v>
      </c>
      <c r="K219" t="s">
        <v>4869</v>
      </c>
    </row>
    <row r="220" spans="1:11" x14ac:dyDescent="0.3">
      <c r="A220" s="327" t="s">
        <v>914</v>
      </c>
      <c r="B220" t="s">
        <v>915</v>
      </c>
      <c r="C220" s="326" t="s">
        <v>3329</v>
      </c>
      <c r="D220" s="327" t="str">
        <f t="shared" si="6"/>
        <v>NACE C - 20.42 Manufacture of perfume and toilet preparations</v>
      </c>
      <c r="E220" s="324" t="s">
        <v>916</v>
      </c>
      <c r="F220" t="s">
        <v>917</v>
      </c>
      <c r="G220" t="str">
        <f t="shared" si="7"/>
        <v>TD</v>
      </c>
      <c r="K220" t="s">
        <v>4870</v>
      </c>
    </row>
    <row r="221" spans="1:11" x14ac:dyDescent="0.3">
      <c r="A221" s="326" t="s">
        <v>918</v>
      </c>
      <c r="B221" t="s">
        <v>919</v>
      </c>
      <c r="C221" s="323" t="s">
        <v>3330</v>
      </c>
      <c r="D221" s="326" t="str">
        <f t="shared" si="6"/>
        <v>NACE C - 20.5 Manufacture of other chemical products</v>
      </c>
      <c r="E221" s="324" t="s">
        <v>920</v>
      </c>
      <c r="F221" t="s">
        <v>921</v>
      </c>
      <c r="G221" t="str">
        <f t="shared" si="7"/>
        <v>TF</v>
      </c>
      <c r="K221" t="s">
        <v>4871</v>
      </c>
    </row>
    <row r="222" spans="1:11" x14ac:dyDescent="0.3">
      <c r="A222" s="327" t="s">
        <v>922</v>
      </c>
      <c r="B222" t="s">
        <v>923</v>
      </c>
      <c r="C222" s="326" t="s">
        <v>3331</v>
      </c>
      <c r="D222" s="327" t="str">
        <f t="shared" si="6"/>
        <v>NACE C - 20.51 Manufacture of liquid biofuels</v>
      </c>
      <c r="E222" s="324" t="s">
        <v>924</v>
      </c>
      <c r="F222" t="s">
        <v>925</v>
      </c>
      <c r="G222" t="str">
        <f t="shared" si="7"/>
        <v>TG</v>
      </c>
      <c r="K222" t="s">
        <v>4872</v>
      </c>
    </row>
    <row r="223" spans="1:11" x14ac:dyDescent="0.3">
      <c r="A223" s="327" t="s">
        <v>926</v>
      </c>
      <c r="B223" t="s">
        <v>927</v>
      </c>
      <c r="C223" s="326" t="s">
        <v>3332</v>
      </c>
      <c r="D223" s="327" t="str">
        <f t="shared" si="6"/>
        <v>NACE C - 20.59 Manufacture of other chemical products n.e.c.</v>
      </c>
      <c r="E223" s="324" t="s">
        <v>928</v>
      </c>
      <c r="F223" t="s">
        <v>929</v>
      </c>
      <c r="G223" t="str">
        <f t="shared" si="7"/>
        <v>TH</v>
      </c>
      <c r="K223" t="s">
        <v>4873</v>
      </c>
    </row>
    <row r="224" spans="1:11" x14ac:dyDescent="0.3">
      <c r="A224" s="326" t="s">
        <v>930</v>
      </c>
      <c r="B224" t="s">
        <v>931</v>
      </c>
      <c r="C224" s="326" t="s">
        <v>3333</v>
      </c>
      <c r="D224" s="326" t="str">
        <f t="shared" si="6"/>
        <v>NACE C - 20.6 Manufacture of man-made fibres</v>
      </c>
      <c r="E224" s="324" t="s">
        <v>932</v>
      </c>
      <c r="F224" t="s">
        <v>933</v>
      </c>
      <c r="G224" t="str">
        <f t="shared" si="7"/>
        <v>TJ</v>
      </c>
      <c r="K224" t="s">
        <v>4874</v>
      </c>
    </row>
    <row r="225" spans="1:11" x14ac:dyDescent="0.3">
      <c r="A225" s="327" t="s">
        <v>934</v>
      </c>
      <c r="B225" t="s">
        <v>935</v>
      </c>
      <c r="C225" s="323" t="s">
        <v>3334</v>
      </c>
      <c r="D225" s="327" t="str">
        <f t="shared" si="6"/>
        <v>NACE C - 20.60 Manufacture of man-made fibres</v>
      </c>
      <c r="E225" s="324" t="s">
        <v>936</v>
      </c>
      <c r="F225" t="s">
        <v>937</v>
      </c>
      <c r="G225" t="str">
        <f t="shared" si="7"/>
        <v>TK</v>
      </c>
      <c r="K225" t="s">
        <v>4875</v>
      </c>
    </row>
    <row r="226" spans="1:11" x14ac:dyDescent="0.3">
      <c r="A226" s="323" t="s">
        <v>938</v>
      </c>
      <c r="B226" t="s">
        <v>939</v>
      </c>
      <c r="C226" s="326" t="s">
        <v>3335</v>
      </c>
      <c r="D226" s="323" t="str">
        <f t="shared" si="6"/>
        <v>NACE C - 21 Manufacture of basic pharmaceutical products and pharmaceutical preparations</v>
      </c>
      <c r="E226" s="324" t="s">
        <v>940</v>
      </c>
      <c r="F226" t="s">
        <v>941</v>
      </c>
      <c r="G226" t="str">
        <f t="shared" si="7"/>
        <v>TL</v>
      </c>
      <c r="K226" t="s">
        <v>4876</v>
      </c>
    </row>
    <row r="227" spans="1:11" x14ac:dyDescent="0.3">
      <c r="A227" s="326" t="s">
        <v>942</v>
      </c>
      <c r="B227" t="s">
        <v>943</v>
      </c>
      <c r="C227" s="326" t="s">
        <v>3336</v>
      </c>
      <c r="D227" s="326" t="str">
        <f t="shared" si="6"/>
        <v>NACE C - 21.1 Manufacture of basic pharmaceutical products</v>
      </c>
      <c r="E227" s="324" t="s">
        <v>944</v>
      </c>
      <c r="F227" t="s">
        <v>945</v>
      </c>
      <c r="G227" t="str">
        <f t="shared" si="7"/>
        <v>TM</v>
      </c>
      <c r="K227" t="s">
        <v>4877</v>
      </c>
    </row>
    <row r="228" spans="1:11" x14ac:dyDescent="0.3">
      <c r="A228" s="327" t="s">
        <v>946</v>
      </c>
      <c r="B228" t="s">
        <v>947</v>
      </c>
      <c r="C228" s="326" t="s">
        <v>3337</v>
      </c>
      <c r="D228" s="327" t="str">
        <f t="shared" si="6"/>
        <v>NACE C - 21.10 Manufacture of basic pharmaceutical products</v>
      </c>
      <c r="E228" s="324" t="s">
        <v>948</v>
      </c>
      <c r="F228" t="s">
        <v>949</v>
      </c>
      <c r="G228" t="str">
        <f t="shared" si="7"/>
        <v>TN</v>
      </c>
      <c r="K228" t="s">
        <v>4878</v>
      </c>
    </row>
    <row r="229" spans="1:11" x14ac:dyDescent="0.3">
      <c r="A229" s="326" t="s">
        <v>950</v>
      </c>
      <c r="B229" t="s">
        <v>951</v>
      </c>
      <c r="C229" s="324" t="s">
        <v>3315</v>
      </c>
      <c r="D229" s="326" t="str">
        <f t="shared" si="6"/>
        <v>NACE C - 21.2 Manufacture of pharmaceutical preparations</v>
      </c>
      <c r="E229" s="324" t="s">
        <v>952</v>
      </c>
      <c r="F229" t="s">
        <v>953</v>
      </c>
      <c r="G229" t="str">
        <f t="shared" si="7"/>
        <v>TO</v>
      </c>
      <c r="K229" t="s">
        <v>4879</v>
      </c>
    </row>
    <row r="230" spans="1:11" x14ac:dyDescent="0.3">
      <c r="A230" s="327" t="s">
        <v>954</v>
      </c>
      <c r="B230" t="s">
        <v>955</v>
      </c>
      <c r="C230" s="323" t="s">
        <v>3339</v>
      </c>
      <c r="D230" s="327" t="str">
        <f t="shared" si="6"/>
        <v>NACE C - 21.20 Manufacture of pharmaceutical preparations</v>
      </c>
      <c r="E230" s="324" t="s">
        <v>956</v>
      </c>
      <c r="F230" t="s">
        <v>957</v>
      </c>
      <c r="G230" t="str">
        <f t="shared" si="7"/>
        <v>TP</v>
      </c>
      <c r="K230" t="s">
        <v>4880</v>
      </c>
    </row>
    <row r="231" spans="1:11" x14ac:dyDescent="0.3">
      <c r="A231" s="323" t="s">
        <v>958</v>
      </c>
      <c r="B231" t="s">
        <v>959</v>
      </c>
      <c r="C231" s="326" t="s">
        <v>3340</v>
      </c>
      <c r="D231" s="323" t="str">
        <f t="shared" si="6"/>
        <v>NACE C - 22 Manufacture of rubber and plastic products</v>
      </c>
      <c r="E231" s="324" t="s">
        <v>960</v>
      </c>
      <c r="F231" t="s">
        <v>961</v>
      </c>
      <c r="G231" t="str">
        <f t="shared" si="7"/>
        <v>TR</v>
      </c>
      <c r="K231" t="s">
        <v>4881</v>
      </c>
    </row>
    <row r="232" spans="1:11" x14ac:dyDescent="0.3">
      <c r="A232" s="326" t="s">
        <v>962</v>
      </c>
      <c r="B232" t="s">
        <v>963</v>
      </c>
      <c r="C232" s="326" t="s">
        <v>3341</v>
      </c>
      <c r="D232" s="326" t="str">
        <f t="shared" si="6"/>
        <v>NACE C - 22.1 Manufacture of rubber products</v>
      </c>
      <c r="E232" s="324" t="s">
        <v>964</v>
      </c>
      <c r="F232" t="s">
        <v>965</v>
      </c>
      <c r="G232" t="str">
        <f t="shared" si="7"/>
        <v>TT</v>
      </c>
      <c r="K232" t="s">
        <v>4882</v>
      </c>
    </row>
    <row r="233" spans="1:11" x14ac:dyDescent="0.3">
      <c r="A233" s="327" t="s">
        <v>966</v>
      </c>
      <c r="B233" t="s">
        <v>967</v>
      </c>
      <c r="C233" s="326" t="s">
        <v>3342</v>
      </c>
      <c r="D233" s="327" t="str">
        <f t="shared" si="6"/>
        <v>NACE C - 22.11 Manufacture, retreading and rebuilding of rubber tyres and manufacture of tubes</v>
      </c>
      <c r="E233" s="324" t="s">
        <v>968</v>
      </c>
      <c r="F233" t="s">
        <v>969</v>
      </c>
      <c r="G233" t="str">
        <f t="shared" si="7"/>
        <v>TV</v>
      </c>
      <c r="K233" t="s">
        <v>4883</v>
      </c>
    </row>
    <row r="234" spans="1:11" x14ac:dyDescent="0.3">
      <c r="A234" s="327" t="s">
        <v>970</v>
      </c>
      <c r="B234" t="s">
        <v>971</v>
      </c>
      <c r="C234" s="326" t="s">
        <v>3343</v>
      </c>
      <c r="D234" s="327" t="str">
        <f t="shared" si="6"/>
        <v>NACE C - 22.12 Manufacture of other rubber products</v>
      </c>
      <c r="E234" s="324" t="s">
        <v>972</v>
      </c>
      <c r="F234" t="s">
        <v>973</v>
      </c>
      <c r="G234" t="str">
        <f t="shared" si="7"/>
        <v>TW</v>
      </c>
      <c r="K234" t="s">
        <v>4884</v>
      </c>
    </row>
    <row r="235" spans="1:11" x14ac:dyDescent="0.3">
      <c r="A235" s="326" t="s">
        <v>974</v>
      </c>
      <c r="B235" t="s">
        <v>975</v>
      </c>
      <c r="C235" s="326" t="s">
        <v>3344</v>
      </c>
      <c r="D235" s="326" t="str">
        <f t="shared" si="6"/>
        <v>NACE C - 22.2 Manufacture of plastic products</v>
      </c>
      <c r="E235" s="324" t="s">
        <v>976</v>
      </c>
      <c r="F235" t="s">
        <v>977</v>
      </c>
      <c r="G235" t="str">
        <f t="shared" si="7"/>
        <v>TZ</v>
      </c>
      <c r="K235" t="s">
        <v>4885</v>
      </c>
    </row>
    <row r="236" spans="1:11" x14ac:dyDescent="0.3">
      <c r="A236" s="327" t="s">
        <v>978</v>
      </c>
      <c r="B236" t="s">
        <v>979</v>
      </c>
      <c r="C236" s="323" t="s">
        <v>3345</v>
      </c>
      <c r="D236" s="327" t="str">
        <f t="shared" si="6"/>
        <v>NACE C - 22.21 Manufacture of plastic plates, sheets, tubes and profiles</v>
      </c>
      <c r="E236" s="324" t="s">
        <v>980</v>
      </c>
      <c r="F236" t="s">
        <v>981</v>
      </c>
      <c r="G236" t="str">
        <f t="shared" si="7"/>
        <v>UA</v>
      </c>
      <c r="K236" t="s">
        <v>4886</v>
      </c>
    </row>
    <row r="237" spans="1:11" x14ac:dyDescent="0.3">
      <c r="A237" s="327" t="s">
        <v>982</v>
      </c>
      <c r="B237" t="s">
        <v>983</v>
      </c>
      <c r="C237" s="326" t="s">
        <v>3346</v>
      </c>
      <c r="D237" s="327" t="str">
        <f t="shared" si="6"/>
        <v>NACE C - 22.22 Manufacture of plastic packing goods</v>
      </c>
      <c r="E237" s="324" t="s">
        <v>984</v>
      </c>
      <c r="F237" t="s">
        <v>985</v>
      </c>
      <c r="G237" t="str">
        <f t="shared" si="7"/>
        <v>UG</v>
      </c>
      <c r="K237" t="s">
        <v>4887</v>
      </c>
    </row>
    <row r="238" spans="1:11" x14ac:dyDescent="0.3">
      <c r="A238" s="327" t="s">
        <v>986</v>
      </c>
      <c r="B238" t="s">
        <v>987</v>
      </c>
      <c r="C238" s="326" t="s">
        <v>3347</v>
      </c>
      <c r="D238" s="327" t="str">
        <f t="shared" si="6"/>
        <v>NACE C - 22.23 Manufacture of doors and windows of plastic</v>
      </c>
      <c r="E238" s="324" t="s">
        <v>988</v>
      </c>
      <c r="F238" t="s">
        <v>989</v>
      </c>
      <c r="G238" t="str">
        <f t="shared" si="7"/>
        <v>UM</v>
      </c>
      <c r="K238" t="s">
        <v>4888</v>
      </c>
    </row>
    <row r="239" spans="1:11" x14ac:dyDescent="0.3">
      <c r="A239" s="327" t="s">
        <v>990</v>
      </c>
      <c r="B239" t="s">
        <v>991</v>
      </c>
      <c r="C239" s="327" t="s">
        <v>3348</v>
      </c>
      <c r="D239" s="327" t="str">
        <f t="shared" si="6"/>
        <v>NACE C - 22.24 Manufacture of builders’ ware of plastic</v>
      </c>
      <c r="E239" s="324" t="s">
        <v>992</v>
      </c>
      <c r="F239" t="s">
        <v>993</v>
      </c>
      <c r="G239" t="str">
        <f t="shared" si="7"/>
        <v>US</v>
      </c>
      <c r="K239" t="s">
        <v>4889</v>
      </c>
    </row>
    <row r="240" spans="1:11" x14ac:dyDescent="0.3">
      <c r="A240" s="327" t="s">
        <v>994</v>
      </c>
      <c r="B240" t="s">
        <v>995</v>
      </c>
      <c r="C240" s="326" t="s">
        <v>3349</v>
      </c>
      <c r="D240" s="327" t="str">
        <f t="shared" si="6"/>
        <v>NACE C - 22.25 Processing and finishing of plastic products</v>
      </c>
      <c r="E240" s="324" t="s">
        <v>996</v>
      </c>
      <c r="F240" t="s">
        <v>997</v>
      </c>
      <c r="G240" t="str">
        <f t="shared" si="7"/>
        <v>UY</v>
      </c>
      <c r="K240" t="s">
        <v>4890</v>
      </c>
    </row>
    <row r="241" spans="1:11" x14ac:dyDescent="0.3">
      <c r="A241" s="327" t="s">
        <v>998</v>
      </c>
      <c r="B241" t="s">
        <v>999</v>
      </c>
      <c r="C241" s="326" t="s">
        <v>3350</v>
      </c>
      <c r="D241" s="327" t="str">
        <f t="shared" si="6"/>
        <v>NACE C - 22.26 Manufacture of other plastic products</v>
      </c>
      <c r="E241" s="324" t="s">
        <v>1000</v>
      </c>
      <c r="F241" t="s">
        <v>1001</v>
      </c>
      <c r="G241" t="str">
        <f t="shared" si="7"/>
        <v>UZ</v>
      </c>
      <c r="K241" t="s">
        <v>4891</v>
      </c>
    </row>
    <row r="242" spans="1:11" x14ac:dyDescent="0.3">
      <c r="A242" s="323" t="s">
        <v>1002</v>
      </c>
      <c r="B242" t="s">
        <v>1003</v>
      </c>
      <c r="C242" s="324" t="s">
        <v>3338</v>
      </c>
      <c r="D242" s="323" t="str">
        <f t="shared" si="6"/>
        <v>NACE C - 23 Manufacture of other non-metallic mineral products</v>
      </c>
      <c r="E242" s="324" t="s">
        <v>1004</v>
      </c>
      <c r="F242" t="s">
        <v>1005</v>
      </c>
      <c r="G242" t="str">
        <f t="shared" si="7"/>
        <v>VA</v>
      </c>
      <c r="K242" t="s">
        <v>4892</v>
      </c>
    </row>
    <row r="243" spans="1:11" x14ac:dyDescent="0.3">
      <c r="A243" s="326" t="s">
        <v>1006</v>
      </c>
      <c r="B243" t="s">
        <v>1007</v>
      </c>
      <c r="C243" s="323" t="s">
        <v>3352</v>
      </c>
      <c r="D243" s="326" t="str">
        <f t="shared" si="6"/>
        <v>NACE C - 23.1 Manufacture of glass and glass products</v>
      </c>
      <c r="E243" s="324" t="s">
        <v>1008</v>
      </c>
      <c r="F243" t="s">
        <v>1009</v>
      </c>
      <c r="G243" t="str">
        <f t="shared" si="7"/>
        <v>VC</v>
      </c>
      <c r="K243" t="s">
        <v>4893</v>
      </c>
    </row>
    <row r="244" spans="1:11" x14ac:dyDescent="0.3">
      <c r="A244" s="327" t="s">
        <v>1010</v>
      </c>
      <c r="B244" t="s">
        <v>1011</v>
      </c>
      <c r="C244" s="326" t="s">
        <v>3353</v>
      </c>
      <c r="D244" s="327" t="str">
        <f t="shared" si="6"/>
        <v>NACE C - 23.11 Manufacture of flat glass</v>
      </c>
      <c r="E244" s="324" t="s">
        <v>1012</v>
      </c>
      <c r="F244" t="s">
        <v>1013</v>
      </c>
      <c r="G244" t="str">
        <f t="shared" si="7"/>
        <v>VE</v>
      </c>
      <c r="K244" t="s">
        <v>4894</v>
      </c>
    </row>
    <row r="245" spans="1:11" x14ac:dyDescent="0.3">
      <c r="A245" s="327" t="s">
        <v>1014</v>
      </c>
      <c r="B245" t="s">
        <v>1015</v>
      </c>
      <c r="C245" s="326" t="s">
        <v>3354</v>
      </c>
      <c r="D245" s="327" t="str">
        <f t="shared" si="6"/>
        <v>NACE C - 23.12 Shaping and processing of flat glass</v>
      </c>
      <c r="E245" s="324" t="s">
        <v>1016</v>
      </c>
      <c r="F245" t="s">
        <v>1017</v>
      </c>
      <c r="G245" t="str">
        <f t="shared" si="7"/>
        <v>VG</v>
      </c>
      <c r="K245" t="s">
        <v>4895</v>
      </c>
    </row>
    <row r="246" spans="1:11" x14ac:dyDescent="0.3">
      <c r="A246" s="327" t="s">
        <v>1018</v>
      </c>
      <c r="B246" t="s">
        <v>1019</v>
      </c>
      <c r="C246" s="323" t="s">
        <v>3355</v>
      </c>
      <c r="D246" s="327" t="str">
        <f t="shared" si="6"/>
        <v>NACE C - 23.13 Manufacture of hollow glass</v>
      </c>
      <c r="E246" s="324" t="s">
        <v>1020</v>
      </c>
      <c r="F246" t="s">
        <v>1021</v>
      </c>
      <c r="G246" t="str">
        <f t="shared" si="7"/>
        <v>VI</v>
      </c>
      <c r="K246" t="s">
        <v>4896</v>
      </c>
    </row>
    <row r="247" spans="1:11" x14ac:dyDescent="0.3">
      <c r="A247" s="327" t="s">
        <v>1022</v>
      </c>
      <c r="B247" t="s">
        <v>1023</v>
      </c>
      <c r="C247" s="326" t="s">
        <v>3356</v>
      </c>
      <c r="D247" s="327" t="str">
        <f t="shared" si="6"/>
        <v>NACE C - 23.14 Manufacture of glass fibres</v>
      </c>
      <c r="E247" s="324" t="s">
        <v>1024</v>
      </c>
      <c r="F247" t="s">
        <v>1025</v>
      </c>
      <c r="G247" t="str">
        <f t="shared" si="7"/>
        <v>VN</v>
      </c>
      <c r="K247" t="s">
        <v>4897</v>
      </c>
    </row>
    <row r="248" spans="1:11" x14ac:dyDescent="0.3">
      <c r="A248" s="327" t="s">
        <v>1026</v>
      </c>
      <c r="B248" t="s">
        <v>1027</v>
      </c>
      <c r="C248" s="326" t="s">
        <v>3357</v>
      </c>
      <c r="D248" s="327" t="str">
        <f t="shared" si="6"/>
        <v>NACE C - 23.15 Manufacture and processing of other glass, including technical glassware</v>
      </c>
      <c r="E248" s="324" t="s">
        <v>1028</v>
      </c>
      <c r="F248" t="s">
        <v>1029</v>
      </c>
      <c r="G248" t="str">
        <f t="shared" si="7"/>
        <v>VU</v>
      </c>
      <c r="K248" t="s">
        <v>4898</v>
      </c>
    </row>
    <row r="249" spans="1:11" x14ac:dyDescent="0.3">
      <c r="A249" s="326" t="s">
        <v>1030</v>
      </c>
      <c r="B249" t="s">
        <v>1031</v>
      </c>
      <c r="C249" s="323" t="s">
        <v>3358</v>
      </c>
      <c r="D249" s="326" t="str">
        <f t="shared" si="6"/>
        <v>NACE C - 23.2 Manufacture of refractory products</v>
      </c>
      <c r="E249" s="324" t="s">
        <v>1032</v>
      </c>
      <c r="F249" t="s">
        <v>1033</v>
      </c>
      <c r="G249" t="str">
        <f t="shared" si="7"/>
        <v>WF</v>
      </c>
      <c r="K249" t="s">
        <v>4899</v>
      </c>
    </row>
    <row r="250" spans="1:11" x14ac:dyDescent="0.3">
      <c r="A250" s="327" t="s">
        <v>1034</v>
      </c>
      <c r="B250" t="s">
        <v>1035</v>
      </c>
      <c r="C250" s="326" t="s">
        <v>3359</v>
      </c>
      <c r="D250" s="327" t="str">
        <f t="shared" si="6"/>
        <v>NACE C - 23.20 Manufacture of refractory products</v>
      </c>
      <c r="E250" s="324" t="s">
        <v>1036</v>
      </c>
      <c r="F250" t="s">
        <v>1037</v>
      </c>
      <c r="G250" t="str">
        <f t="shared" si="7"/>
        <v>WS</v>
      </c>
      <c r="K250" t="s">
        <v>4900</v>
      </c>
    </row>
    <row r="251" spans="1:11" x14ac:dyDescent="0.3">
      <c r="A251" s="326" t="s">
        <v>1038</v>
      </c>
      <c r="B251" t="s">
        <v>1039</v>
      </c>
      <c r="C251" s="326" t="s">
        <v>3360</v>
      </c>
      <c r="D251" s="326" t="str">
        <f t="shared" si="6"/>
        <v>NACE C - 23.3 Manufacture of clay building materials</v>
      </c>
      <c r="E251" s="324" t="s">
        <v>1040</v>
      </c>
      <c r="F251" t="s">
        <v>1041</v>
      </c>
      <c r="G251" t="str">
        <f t="shared" si="7"/>
        <v>YE</v>
      </c>
      <c r="K251" t="s">
        <v>4901</v>
      </c>
    </row>
    <row r="252" spans="1:11" x14ac:dyDescent="0.3">
      <c r="A252" s="327" t="s">
        <v>1042</v>
      </c>
      <c r="B252" t="s">
        <v>1043</v>
      </c>
      <c r="C252" s="326" t="s">
        <v>3361</v>
      </c>
      <c r="D252" s="327" t="str">
        <f t="shared" si="6"/>
        <v>NACE C - 23.31 Manufacture of ceramic tiles and flags</v>
      </c>
      <c r="E252" s="324" t="s">
        <v>1044</v>
      </c>
      <c r="F252" t="s">
        <v>1045</v>
      </c>
      <c r="G252" t="str">
        <f t="shared" si="7"/>
        <v>YT</v>
      </c>
      <c r="K252" t="s">
        <v>4902</v>
      </c>
    </row>
    <row r="253" spans="1:11" x14ac:dyDescent="0.3">
      <c r="A253" s="327" t="s">
        <v>1046</v>
      </c>
      <c r="B253" t="s">
        <v>1047</v>
      </c>
      <c r="C253" s="324" t="s">
        <v>3351</v>
      </c>
      <c r="D253" s="327" t="str">
        <f t="shared" si="6"/>
        <v>NACE C - 23.32 Manufacture of bricks, tiles and construction products, in baked clay</v>
      </c>
      <c r="E253" s="324" t="s">
        <v>1048</v>
      </c>
      <c r="F253" t="s">
        <v>1049</v>
      </c>
      <c r="G253" t="str">
        <f t="shared" si="7"/>
        <v>YU</v>
      </c>
      <c r="K253" t="s">
        <v>4903</v>
      </c>
    </row>
    <row r="254" spans="1:11" x14ac:dyDescent="0.3">
      <c r="A254" s="326" t="s">
        <v>1050</v>
      </c>
      <c r="B254" t="s">
        <v>1051</v>
      </c>
      <c r="C254" s="323" t="s">
        <v>3363</v>
      </c>
      <c r="D254" s="326" t="str">
        <f t="shared" si="6"/>
        <v>NACE C - 23.4 Manufacture of other porcelain and ceramic products</v>
      </c>
      <c r="E254" s="324" t="s">
        <v>1052</v>
      </c>
      <c r="F254" t="s">
        <v>1053</v>
      </c>
      <c r="G254" t="str">
        <f t="shared" si="7"/>
        <v>ZA</v>
      </c>
      <c r="K254" t="s">
        <v>4904</v>
      </c>
    </row>
    <row r="255" spans="1:11" x14ac:dyDescent="0.3">
      <c r="A255" s="327" t="s">
        <v>1054</v>
      </c>
      <c r="B255" t="s">
        <v>1055</v>
      </c>
      <c r="C255" s="326" t="s">
        <v>3364</v>
      </c>
      <c r="D255" s="327" t="str">
        <f t="shared" si="6"/>
        <v>NACE C - 23.41 Manufacture of ceramic household and ornamental articles</v>
      </c>
      <c r="E255" s="324" t="s">
        <v>1056</v>
      </c>
      <c r="F255" t="s">
        <v>1057</v>
      </c>
      <c r="G255" t="str">
        <f t="shared" si="7"/>
        <v>ZM</v>
      </c>
      <c r="K255" t="s">
        <v>4905</v>
      </c>
    </row>
    <row r="256" spans="1:11" x14ac:dyDescent="0.3">
      <c r="A256" s="327" t="s">
        <v>1058</v>
      </c>
      <c r="B256" t="s">
        <v>1059</v>
      </c>
      <c r="C256" s="326" t="s">
        <v>3365</v>
      </c>
      <c r="D256" s="327" t="str">
        <f t="shared" si="6"/>
        <v>NACE C - 23.42 Manufacture of ceramic sanitary fixtures</v>
      </c>
      <c r="E256" s="324" t="s">
        <v>1060</v>
      </c>
      <c r="F256" t="s">
        <v>1061</v>
      </c>
      <c r="G256" t="str">
        <f t="shared" si="7"/>
        <v>ZR</v>
      </c>
      <c r="K256" t="s">
        <v>4906</v>
      </c>
    </row>
    <row r="257" spans="1:11" x14ac:dyDescent="0.3">
      <c r="A257" s="327" t="s">
        <v>1062</v>
      </c>
      <c r="B257" t="s">
        <v>1063</v>
      </c>
      <c r="C257" s="326" t="s">
        <v>3366</v>
      </c>
      <c r="D257" s="327" t="str">
        <f t="shared" si="6"/>
        <v>NACE C - 23.43 Manufacture of ceramic insulators and insulating fittings</v>
      </c>
      <c r="E257" s="324" t="s">
        <v>1064</v>
      </c>
      <c r="F257" t="s">
        <v>1065</v>
      </c>
      <c r="G257" t="str">
        <f t="shared" si="7"/>
        <v>ZW</v>
      </c>
      <c r="K257" t="s">
        <v>4907</v>
      </c>
    </row>
    <row r="258" spans="1:11" x14ac:dyDescent="0.3">
      <c r="A258" s="327" t="s">
        <v>1066</v>
      </c>
      <c r="B258" t="s">
        <v>1067</v>
      </c>
      <c r="C258" s="323" t="s">
        <v>3367</v>
      </c>
      <c r="D258" s="327" t="str">
        <f t="shared" ref="D258:D321" si="8">_xlfn.CONCAT("NACE ", A258)</f>
        <v>NACE C - 23.44 Manufacture of other technical ceramic products</v>
      </c>
      <c r="K258" t="s">
        <v>4908</v>
      </c>
    </row>
    <row r="259" spans="1:11" x14ac:dyDescent="0.3">
      <c r="A259" s="327" t="s">
        <v>1068</v>
      </c>
      <c r="B259" t="s">
        <v>1069</v>
      </c>
      <c r="C259" s="326" t="s">
        <v>3368</v>
      </c>
      <c r="D259" s="327" t="str">
        <f t="shared" si="8"/>
        <v>NACE C - 23.45 Manufacture of other ceramic products</v>
      </c>
      <c r="K259" t="s">
        <v>4909</v>
      </c>
    </row>
    <row r="260" spans="1:11" x14ac:dyDescent="0.3">
      <c r="A260" s="326" t="s">
        <v>1070</v>
      </c>
      <c r="B260" t="s">
        <v>1071</v>
      </c>
      <c r="C260" s="326" t="s">
        <v>3369</v>
      </c>
      <c r="D260" s="326" t="str">
        <f t="shared" si="8"/>
        <v>NACE C - 23.5 Manufacture of cement, lime and plaster</v>
      </c>
      <c r="K260" t="s">
        <v>4910</v>
      </c>
    </row>
    <row r="261" spans="1:11" x14ac:dyDescent="0.3">
      <c r="A261" s="327" t="s">
        <v>1072</v>
      </c>
      <c r="B261" t="s">
        <v>1073</v>
      </c>
      <c r="C261" s="326" t="s">
        <v>3370</v>
      </c>
      <c r="D261" s="327" t="str">
        <f t="shared" si="8"/>
        <v>NACE C - 23.51 Manufacture of cement</v>
      </c>
      <c r="K261" t="s">
        <v>4911</v>
      </c>
    </row>
    <row r="262" spans="1:11" x14ac:dyDescent="0.3">
      <c r="A262" s="327" t="s">
        <v>1074</v>
      </c>
      <c r="B262" t="s">
        <v>1075</v>
      </c>
      <c r="C262" s="323" t="s">
        <v>3371</v>
      </c>
      <c r="D262" s="327" t="str">
        <f t="shared" si="8"/>
        <v>NACE C - 23.52 Manufacture of lime and plaster</v>
      </c>
      <c r="K262" t="s">
        <v>4912</v>
      </c>
    </row>
    <row r="263" spans="1:11" x14ac:dyDescent="0.3">
      <c r="A263" s="326" t="s">
        <v>1076</v>
      </c>
      <c r="B263" t="s">
        <v>1077</v>
      </c>
      <c r="C263" s="326" t="s">
        <v>3372</v>
      </c>
      <c r="D263" s="326" t="str">
        <f t="shared" si="8"/>
        <v>NACE C - 23.6 Manufacture of articles of concrete, cement and plaster</v>
      </c>
      <c r="K263" t="s">
        <v>4913</v>
      </c>
    </row>
    <row r="264" spans="1:11" x14ac:dyDescent="0.3">
      <c r="A264" s="327" t="s">
        <v>1078</v>
      </c>
      <c r="B264" t="s">
        <v>1079</v>
      </c>
      <c r="C264" s="326" t="s">
        <v>3373</v>
      </c>
      <c r="D264" s="327" t="str">
        <f t="shared" si="8"/>
        <v>NACE C - 23.61 Manufacture of concrete products for construction purposes</v>
      </c>
      <c r="K264" t="s">
        <v>4914</v>
      </c>
    </row>
    <row r="265" spans="1:11" x14ac:dyDescent="0.3">
      <c r="A265" s="327" t="s">
        <v>1080</v>
      </c>
      <c r="B265" t="s">
        <v>1081</v>
      </c>
      <c r="C265" s="324" t="s">
        <v>3362</v>
      </c>
      <c r="D265" s="327" t="str">
        <f t="shared" si="8"/>
        <v>NACE C - 23.62 Manufacture of plaster products for construction purposes</v>
      </c>
      <c r="K265" t="s">
        <v>4915</v>
      </c>
    </row>
    <row r="266" spans="1:11" x14ac:dyDescent="0.3">
      <c r="A266" s="327" t="s">
        <v>1082</v>
      </c>
      <c r="B266" t="s">
        <v>1083</v>
      </c>
      <c r="C266" s="323" t="s">
        <v>3375</v>
      </c>
      <c r="D266" s="327" t="str">
        <f t="shared" si="8"/>
        <v>NACE C - 23.63 Manufacture of ready-mixed concrete</v>
      </c>
      <c r="K266" t="s">
        <v>4916</v>
      </c>
    </row>
    <row r="267" spans="1:11" x14ac:dyDescent="0.3">
      <c r="A267" s="327" t="s">
        <v>1084</v>
      </c>
      <c r="B267" t="s">
        <v>1085</v>
      </c>
      <c r="C267" s="326" t="s">
        <v>3376</v>
      </c>
      <c r="D267" s="327" t="str">
        <f t="shared" si="8"/>
        <v>NACE C - 23.64 Manufacture of mortars</v>
      </c>
      <c r="K267" t="s">
        <v>4917</v>
      </c>
    </row>
    <row r="268" spans="1:11" x14ac:dyDescent="0.3">
      <c r="A268" s="327" t="s">
        <v>1086</v>
      </c>
      <c r="B268" t="s">
        <v>1087</v>
      </c>
      <c r="C268" s="326" t="s">
        <v>3377</v>
      </c>
      <c r="D268" s="327" t="str">
        <f t="shared" si="8"/>
        <v>NACE C - 23.65 Manufacture of fibre cement</v>
      </c>
      <c r="K268" t="s">
        <v>4918</v>
      </c>
    </row>
    <row r="269" spans="1:11" x14ac:dyDescent="0.3">
      <c r="A269" s="327" t="s">
        <v>1088</v>
      </c>
      <c r="B269" t="s">
        <v>1089</v>
      </c>
      <c r="C269" s="326" t="s">
        <v>3378</v>
      </c>
      <c r="D269" s="327" t="str">
        <f t="shared" si="8"/>
        <v>NACE C - 23.66 Manufacture of other articles of concrete, cement and plaster</v>
      </c>
      <c r="K269" t="s">
        <v>4919</v>
      </c>
    </row>
    <row r="270" spans="1:11" x14ac:dyDescent="0.3">
      <c r="A270" s="326" t="s">
        <v>1090</v>
      </c>
      <c r="B270" t="s">
        <v>1091</v>
      </c>
      <c r="C270" s="326" t="s">
        <v>3379</v>
      </c>
      <c r="D270" s="326" t="str">
        <f t="shared" si="8"/>
        <v>NACE C - 23.7 Cutting, shaping and finishing of stone</v>
      </c>
      <c r="K270" t="s">
        <v>4920</v>
      </c>
    </row>
    <row r="271" spans="1:11" x14ac:dyDescent="0.3">
      <c r="A271" s="327" t="s">
        <v>1092</v>
      </c>
      <c r="B271" t="s">
        <v>1093</v>
      </c>
      <c r="C271" s="323" t="s">
        <v>3380</v>
      </c>
      <c r="D271" s="327" t="str">
        <f t="shared" si="8"/>
        <v>NACE C - 23.70 Cutting, shaping and finishing of stone</v>
      </c>
      <c r="K271" t="s">
        <v>4921</v>
      </c>
    </row>
    <row r="272" spans="1:11" x14ac:dyDescent="0.3">
      <c r="A272" s="326" t="s">
        <v>1094</v>
      </c>
      <c r="B272" t="s">
        <v>1095</v>
      </c>
      <c r="C272" s="326" t="s">
        <v>3381</v>
      </c>
      <c r="D272" s="326" t="str">
        <f t="shared" si="8"/>
        <v>NACE C - 23.9 Manufacture of abrasive products and non-metallic mineral products n.e.c.</v>
      </c>
      <c r="K272" t="s">
        <v>4922</v>
      </c>
    </row>
    <row r="273" spans="1:11" x14ac:dyDescent="0.3">
      <c r="A273" s="327" t="s">
        <v>1096</v>
      </c>
      <c r="B273" t="s">
        <v>1097</v>
      </c>
      <c r="C273" s="326" t="s">
        <v>3382</v>
      </c>
      <c r="D273" s="327" t="str">
        <f t="shared" si="8"/>
        <v>NACE C - 23.91 Manufacture of abrasive products</v>
      </c>
      <c r="K273" t="s">
        <v>4923</v>
      </c>
    </row>
    <row r="274" spans="1:11" x14ac:dyDescent="0.3">
      <c r="A274" s="327" t="s">
        <v>1098</v>
      </c>
      <c r="B274" t="s">
        <v>1099</v>
      </c>
      <c r="C274" s="326" t="s">
        <v>3383</v>
      </c>
      <c r="D274" s="327" t="str">
        <f t="shared" si="8"/>
        <v>NACE C - 23.99 Manufacture of other non-metallic mineral products n.e.c.</v>
      </c>
      <c r="K274" t="s">
        <v>4924</v>
      </c>
    </row>
    <row r="275" spans="1:11" x14ac:dyDescent="0.3">
      <c r="A275" s="323" t="s">
        <v>1100</v>
      </c>
      <c r="B275" t="s">
        <v>1101</v>
      </c>
      <c r="C275" s="323" t="s">
        <v>3384</v>
      </c>
      <c r="D275" s="323" t="str">
        <f t="shared" si="8"/>
        <v>NACE C - 24 Manufacture of basic metals</v>
      </c>
      <c r="K275" t="s">
        <v>4925</v>
      </c>
    </row>
    <row r="276" spans="1:11" x14ac:dyDescent="0.3">
      <c r="A276" s="326" t="s">
        <v>1102</v>
      </c>
      <c r="B276" t="s">
        <v>1103</v>
      </c>
      <c r="C276" s="326" t="s">
        <v>3385</v>
      </c>
      <c r="D276" s="326" t="str">
        <f t="shared" si="8"/>
        <v>NACE C - 24.1 Manufacture of basic iron and steel and of ferro-alloys</v>
      </c>
      <c r="K276" t="s">
        <v>4926</v>
      </c>
    </row>
    <row r="277" spans="1:11" x14ac:dyDescent="0.3">
      <c r="A277" s="327" t="s">
        <v>1104</v>
      </c>
      <c r="B277" t="s">
        <v>1105</v>
      </c>
      <c r="C277" s="326" t="s">
        <v>3386</v>
      </c>
      <c r="D277" s="327" t="str">
        <f t="shared" si="8"/>
        <v>NACE C - 24.10 Manufacture of basic iron and steel and of ferro-alloys</v>
      </c>
      <c r="K277" t="s">
        <v>4927</v>
      </c>
    </row>
    <row r="278" spans="1:11" x14ac:dyDescent="0.3">
      <c r="A278" s="326" t="s">
        <v>1106</v>
      </c>
      <c r="B278" t="s">
        <v>1107</v>
      </c>
      <c r="C278" s="326" t="s">
        <v>3387</v>
      </c>
      <c r="D278" s="326" t="str">
        <f t="shared" si="8"/>
        <v>NACE C - 24.2 Manufacture of tubes, pipes, hollow profiles and related fittings, of steel</v>
      </c>
      <c r="K278" t="s">
        <v>4928</v>
      </c>
    </row>
    <row r="279" spans="1:11" x14ac:dyDescent="0.3">
      <c r="A279" s="327" t="s">
        <v>1108</v>
      </c>
      <c r="B279" t="s">
        <v>1109</v>
      </c>
      <c r="C279" s="324" t="s">
        <v>3374</v>
      </c>
      <c r="D279" s="327" t="str">
        <f t="shared" si="8"/>
        <v>NACE C - 24.20 Manufacture of tubes, pipes, hollow profiles and related fittings, of steel</v>
      </c>
      <c r="K279" t="s">
        <v>4929</v>
      </c>
    </row>
    <row r="280" spans="1:11" x14ac:dyDescent="0.3">
      <c r="A280" s="326" t="s">
        <v>1110</v>
      </c>
      <c r="B280" t="s">
        <v>1111</v>
      </c>
      <c r="C280" s="323" t="s">
        <v>3389</v>
      </c>
      <c r="D280" s="326" t="str">
        <f t="shared" si="8"/>
        <v>NACE C - 24.3 Manufacture of other products of first processing of steel</v>
      </c>
      <c r="K280" t="s">
        <v>4930</v>
      </c>
    </row>
    <row r="281" spans="1:11" x14ac:dyDescent="0.3">
      <c r="A281" s="327" t="s">
        <v>1112</v>
      </c>
      <c r="B281" t="s">
        <v>1113</v>
      </c>
      <c r="C281" s="326" t="s">
        <v>3390</v>
      </c>
      <c r="D281" s="327" t="str">
        <f t="shared" si="8"/>
        <v>NACE C - 24.31 Cold drawing of bars</v>
      </c>
      <c r="K281" t="s">
        <v>4931</v>
      </c>
    </row>
    <row r="282" spans="1:11" x14ac:dyDescent="0.3">
      <c r="A282" s="327" t="s">
        <v>1114</v>
      </c>
      <c r="B282" t="s">
        <v>1115</v>
      </c>
      <c r="C282" s="326" t="s">
        <v>3391</v>
      </c>
      <c r="D282" s="327" t="str">
        <f t="shared" si="8"/>
        <v>NACE C - 24.32 Cold rolling of narrow strip</v>
      </c>
      <c r="K282" t="s">
        <v>4932</v>
      </c>
    </row>
    <row r="283" spans="1:11" x14ac:dyDescent="0.3">
      <c r="A283" s="327" t="s">
        <v>1116</v>
      </c>
      <c r="B283" t="s">
        <v>1117</v>
      </c>
      <c r="C283" s="326" t="s">
        <v>3392</v>
      </c>
      <c r="D283" s="327" t="str">
        <f t="shared" si="8"/>
        <v>NACE C - 24.33 Cold forming or folding</v>
      </c>
      <c r="K283" t="s">
        <v>4933</v>
      </c>
    </row>
    <row r="284" spans="1:11" x14ac:dyDescent="0.3">
      <c r="A284" s="327" t="s">
        <v>1118</v>
      </c>
      <c r="B284" t="s">
        <v>1119</v>
      </c>
      <c r="C284" s="324" t="s">
        <v>3388</v>
      </c>
      <c r="D284" s="327" t="str">
        <f t="shared" si="8"/>
        <v>NACE C - 24.34 Cold drawing of wire</v>
      </c>
      <c r="K284" t="s">
        <v>4934</v>
      </c>
    </row>
    <row r="285" spans="1:11" x14ac:dyDescent="0.3">
      <c r="A285" s="326" t="s">
        <v>1120</v>
      </c>
      <c r="B285" t="s">
        <v>1121</v>
      </c>
      <c r="C285" s="323" t="s">
        <v>3394</v>
      </c>
      <c r="D285" s="326" t="str">
        <f t="shared" si="8"/>
        <v>NACE C - 24.4 Manufacture of basic precious and other non-ferrous metals</v>
      </c>
      <c r="K285" t="s">
        <v>4935</v>
      </c>
    </row>
    <row r="286" spans="1:11" x14ac:dyDescent="0.3">
      <c r="A286" s="327" t="s">
        <v>1122</v>
      </c>
      <c r="B286" t="s">
        <v>1123</v>
      </c>
      <c r="C286" s="326" t="s">
        <v>3395</v>
      </c>
      <c r="D286" s="327" t="str">
        <f t="shared" si="8"/>
        <v>NACE C - 24.41 Precious metals production</v>
      </c>
      <c r="K286" t="s">
        <v>4936</v>
      </c>
    </row>
    <row r="287" spans="1:11" x14ac:dyDescent="0.3">
      <c r="A287" s="327" t="s">
        <v>1124</v>
      </c>
      <c r="B287" t="s">
        <v>1125</v>
      </c>
      <c r="C287" s="326" t="s">
        <v>3396</v>
      </c>
      <c r="D287" s="327" t="str">
        <f t="shared" si="8"/>
        <v>NACE C - 24.42 Aluminium production</v>
      </c>
      <c r="K287" t="s">
        <v>4937</v>
      </c>
    </row>
    <row r="288" spans="1:11" x14ac:dyDescent="0.3">
      <c r="A288" s="327" t="s">
        <v>1126</v>
      </c>
      <c r="B288" t="s">
        <v>1127</v>
      </c>
      <c r="C288" s="323" t="s">
        <v>3397</v>
      </c>
      <c r="D288" s="327" t="str">
        <f t="shared" si="8"/>
        <v>NACE C - 24.43 Lead, zinc and tin production</v>
      </c>
      <c r="K288" t="s">
        <v>4938</v>
      </c>
    </row>
    <row r="289" spans="1:11" x14ac:dyDescent="0.3">
      <c r="A289" s="327" t="s">
        <v>1128</v>
      </c>
      <c r="B289" t="s">
        <v>1129</v>
      </c>
      <c r="C289" s="326" t="s">
        <v>3398</v>
      </c>
      <c r="D289" s="327" t="str">
        <f t="shared" si="8"/>
        <v>NACE C - 24.44 Copper production</v>
      </c>
      <c r="K289" t="s">
        <v>4939</v>
      </c>
    </row>
    <row r="290" spans="1:11" x14ac:dyDescent="0.3">
      <c r="A290" s="327" t="s">
        <v>1130</v>
      </c>
      <c r="B290" t="s">
        <v>1131</v>
      </c>
      <c r="C290" s="326" t="s">
        <v>3399</v>
      </c>
      <c r="D290" s="327" t="str">
        <f t="shared" si="8"/>
        <v>NACE C - 24.45 Other non-ferrous metal production</v>
      </c>
      <c r="K290" t="s">
        <v>4940</v>
      </c>
    </row>
    <row r="291" spans="1:11" x14ac:dyDescent="0.3">
      <c r="A291" s="327" t="s">
        <v>1132</v>
      </c>
      <c r="B291" t="s">
        <v>1133</v>
      </c>
      <c r="C291" s="323" t="s">
        <v>3400</v>
      </c>
      <c r="D291" s="327" t="str">
        <f t="shared" si="8"/>
        <v>NACE C - 24.46 Processing of nuclear fuel</v>
      </c>
      <c r="K291" t="s">
        <v>4941</v>
      </c>
    </row>
    <row r="292" spans="1:11" x14ac:dyDescent="0.3">
      <c r="A292" s="326" t="s">
        <v>1134</v>
      </c>
      <c r="B292" t="s">
        <v>1135</v>
      </c>
      <c r="C292" s="326" t="s">
        <v>3401</v>
      </c>
      <c r="D292" s="326" t="str">
        <f t="shared" si="8"/>
        <v>NACE C - 24.5 Casting of metals</v>
      </c>
      <c r="K292" t="s">
        <v>4942</v>
      </c>
    </row>
    <row r="293" spans="1:11" x14ac:dyDescent="0.3">
      <c r="A293" s="327" t="s">
        <v>1136</v>
      </c>
      <c r="B293" t="s">
        <v>1137</v>
      </c>
      <c r="C293" s="326" t="s">
        <v>3402</v>
      </c>
      <c r="D293" s="327" t="str">
        <f t="shared" si="8"/>
        <v>NACE C - 24.51 Casting of iron</v>
      </c>
      <c r="K293" t="s">
        <v>4943</v>
      </c>
    </row>
    <row r="294" spans="1:11" x14ac:dyDescent="0.3">
      <c r="A294" s="327" t="s">
        <v>1138</v>
      </c>
      <c r="B294" t="s">
        <v>1139</v>
      </c>
      <c r="C294" s="323" t="s">
        <v>3403</v>
      </c>
      <c r="D294" s="327" t="str">
        <f t="shared" si="8"/>
        <v>NACE C - 24.52 Casting of steel</v>
      </c>
      <c r="K294" t="s">
        <v>4944</v>
      </c>
    </row>
    <row r="295" spans="1:11" x14ac:dyDescent="0.3">
      <c r="A295" s="327" t="s">
        <v>1140</v>
      </c>
      <c r="B295" t="s">
        <v>1141</v>
      </c>
      <c r="C295" s="326" t="s">
        <v>3404</v>
      </c>
      <c r="D295" s="327" t="str">
        <f t="shared" si="8"/>
        <v>NACE C - 24.53 Casting of light metals</v>
      </c>
      <c r="K295" t="s">
        <v>4945</v>
      </c>
    </row>
    <row r="296" spans="1:11" x14ac:dyDescent="0.3">
      <c r="A296" s="327" t="s">
        <v>1142</v>
      </c>
      <c r="B296" t="s">
        <v>1143</v>
      </c>
      <c r="C296" s="326" t="s">
        <v>3405</v>
      </c>
      <c r="D296" s="327" t="str">
        <f t="shared" si="8"/>
        <v>NACE C - 24.54 Casting of other non-ferrous metals</v>
      </c>
      <c r="K296" t="s">
        <v>4946</v>
      </c>
    </row>
    <row r="297" spans="1:11" x14ac:dyDescent="0.3">
      <c r="A297" s="323" t="s">
        <v>1144</v>
      </c>
      <c r="B297" t="s">
        <v>1145</v>
      </c>
      <c r="C297" s="323" t="s">
        <v>3406</v>
      </c>
      <c r="D297" s="323" t="str">
        <f t="shared" si="8"/>
        <v>NACE C - 25 Manufacture of fabricated metal products, except machinery and equipment</v>
      </c>
      <c r="K297" t="s">
        <v>4947</v>
      </c>
    </row>
    <row r="298" spans="1:11" x14ac:dyDescent="0.3">
      <c r="A298" s="326" t="s">
        <v>1146</v>
      </c>
      <c r="B298" t="s">
        <v>1147</v>
      </c>
      <c r="C298" s="326" t="s">
        <v>3407</v>
      </c>
      <c r="D298" s="326" t="str">
        <f t="shared" si="8"/>
        <v>NACE C - 25.1 Manufacture of structural metal products</v>
      </c>
      <c r="K298" t="s">
        <v>4948</v>
      </c>
    </row>
    <row r="299" spans="1:11" x14ac:dyDescent="0.3">
      <c r="A299" s="327" t="s">
        <v>1148</v>
      </c>
      <c r="B299" t="s">
        <v>1149</v>
      </c>
      <c r="C299" s="326" t="s">
        <v>3408</v>
      </c>
      <c r="D299" s="327" t="str">
        <f t="shared" si="8"/>
        <v>NACE C - 25.11 Manufacture of metal structures and parts of structures</v>
      </c>
      <c r="K299" t="s">
        <v>4645</v>
      </c>
    </row>
    <row r="300" spans="1:11" x14ac:dyDescent="0.3">
      <c r="A300" s="327" t="s">
        <v>1150</v>
      </c>
      <c r="B300" t="s">
        <v>1151</v>
      </c>
      <c r="C300" s="326" t="s">
        <v>3409</v>
      </c>
      <c r="D300" s="327" t="str">
        <f t="shared" si="8"/>
        <v>NACE C - 25.12 Manufacture of doors and windows of metal</v>
      </c>
      <c r="K300" t="s">
        <v>4949</v>
      </c>
    </row>
    <row r="301" spans="1:11" x14ac:dyDescent="0.3">
      <c r="A301" s="326" t="s">
        <v>1152</v>
      </c>
      <c r="B301" t="s">
        <v>1153</v>
      </c>
      <c r="C301" s="323" t="s">
        <v>3410</v>
      </c>
      <c r="D301" s="326" t="str">
        <f t="shared" si="8"/>
        <v>NACE C - 25.2 Manufacture of tanks, reservoirs and containers of metal</v>
      </c>
      <c r="K301" t="s">
        <v>4950</v>
      </c>
    </row>
    <row r="302" spans="1:11" x14ac:dyDescent="0.3">
      <c r="A302" s="327" t="s">
        <v>1154</v>
      </c>
      <c r="B302" t="s">
        <v>1155</v>
      </c>
      <c r="C302" s="326" t="s">
        <v>3411</v>
      </c>
      <c r="D302" s="327" t="str">
        <f t="shared" si="8"/>
        <v>NACE C - 25.21 Manufacture of central heating radiators, steam generators and boilers</v>
      </c>
      <c r="K302" t="s">
        <v>4951</v>
      </c>
    </row>
    <row r="303" spans="1:11" x14ac:dyDescent="0.3">
      <c r="A303" s="327" t="s">
        <v>1156</v>
      </c>
      <c r="B303" t="s">
        <v>1157</v>
      </c>
      <c r="C303" s="326" t="s">
        <v>3412</v>
      </c>
      <c r="D303" s="327" t="str">
        <f t="shared" si="8"/>
        <v>NACE C - 25.22 Manufacture of other tanks, reservoirs and containers of metal</v>
      </c>
      <c r="K303" t="s">
        <v>4952</v>
      </c>
    </row>
    <row r="304" spans="1:11" x14ac:dyDescent="0.3">
      <c r="A304" s="326" t="s">
        <v>1158</v>
      </c>
      <c r="B304" t="s">
        <v>1159</v>
      </c>
      <c r="C304" s="326" t="s">
        <v>3413</v>
      </c>
      <c r="D304" s="326" t="str">
        <f t="shared" si="8"/>
        <v>NACE C - 25.3 Manufacture of weapons and ammunition</v>
      </c>
      <c r="K304" t="s">
        <v>4953</v>
      </c>
    </row>
    <row r="305" spans="1:11" x14ac:dyDescent="0.3">
      <c r="A305" s="327" t="s">
        <v>1160</v>
      </c>
      <c r="B305" t="s">
        <v>1161</v>
      </c>
      <c r="C305" s="326" t="s">
        <v>3414</v>
      </c>
      <c r="D305" s="327" t="str">
        <f t="shared" si="8"/>
        <v>NACE C - 25.30 Manufacture of weapons and ammunition</v>
      </c>
      <c r="K305" t="s">
        <v>4954</v>
      </c>
    </row>
    <row r="306" spans="1:11" x14ac:dyDescent="0.3">
      <c r="A306" s="326" t="s">
        <v>1162</v>
      </c>
      <c r="B306" t="s">
        <v>1163</v>
      </c>
      <c r="C306" s="323" t="s">
        <v>3415</v>
      </c>
      <c r="D306" s="326" t="str">
        <f t="shared" si="8"/>
        <v>NACE C - 25.4 Forging and shaping metal and powder metallurgy</v>
      </c>
      <c r="K306" t="s">
        <v>4955</v>
      </c>
    </row>
    <row r="307" spans="1:11" x14ac:dyDescent="0.3">
      <c r="A307" s="327" t="s">
        <v>1164</v>
      </c>
      <c r="B307" t="s">
        <v>1165</v>
      </c>
      <c r="C307" s="326" t="s">
        <v>3416</v>
      </c>
      <c r="D307" s="327" t="str">
        <f t="shared" si="8"/>
        <v>NACE C - 25.40 Forging and shaping metal and powder metallurgy</v>
      </c>
      <c r="K307" t="s">
        <v>4956</v>
      </c>
    </row>
    <row r="308" spans="1:11" x14ac:dyDescent="0.3">
      <c r="A308" s="326" t="s">
        <v>1166</v>
      </c>
      <c r="B308" t="s">
        <v>1167</v>
      </c>
      <c r="C308" s="324" t="s">
        <v>3393</v>
      </c>
      <c r="D308" s="326" t="str">
        <f t="shared" si="8"/>
        <v>NACE C - 25.5 Treatment and coating of metals; machining</v>
      </c>
      <c r="K308" t="s">
        <v>4957</v>
      </c>
    </row>
    <row r="309" spans="1:11" x14ac:dyDescent="0.3">
      <c r="A309" s="327" t="s">
        <v>1168</v>
      </c>
      <c r="B309" t="s">
        <v>1169</v>
      </c>
      <c r="C309" s="323" t="s">
        <v>3418</v>
      </c>
      <c r="D309" s="327" t="str">
        <f t="shared" si="8"/>
        <v>NACE C - 25.51 Coating of metals</v>
      </c>
      <c r="K309" t="s">
        <v>4958</v>
      </c>
    </row>
    <row r="310" spans="1:11" x14ac:dyDescent="0.3">
      <c r="A310" s="327" t="s">
        <v>1170</v>
      </c>
      <c r="B310" t="s">
        <v>1171</v>
      </c>
      <c r="C310" s="326" t="s">
        <v>3419</v>
      </c>
      <c r="D310" s="327" t="str">
        <f t="shared" si="8"/>
        <v>NACE C - 25.52 Heat treatment of metals</v>
      </c>
      <c r="K310" t="s">
        <v>4959</v>
      </c>
    </row>
    <row r="311" spans="1:11" x14ac:dyDescent="0.3">
      <c r="A311" s="327" t="s">
        <v>1172</v>
      </c>
      <c r="B311" t="s">
        <v>1173</v>
      </c>
      <c r="C311" s="326" t="s">
        <v>3420</v>
      </c>
      <c r="D311" s="327" t="str">
        <f t="shared" si="8"/>
        <v>NACE C - 25.53 Machining of metals</v>
      </c>
      <c r="K311" t="s">
        <v>4960</v>
      </c>
    </row>
    <row r="312" spans="1:11" x14ac:dyDescent="0.3">
      <c r="A312" s="326" t="s">
        <v>1174</v>
      </c>
      <c r="B312" t="s">
        <v>1175</v>
      </c>
      <c r="C312" s="326" t="s">
        <v>3421</v>
      </c>
      <c r="D312" s="326" t="str">
        <f t="shared" si="8"/>
        <v>NACE C - 25.6 Manufacture of cutlery, tools and general hardware</v>
      </c>
      <c r="K312" t="s">
        <v>4961</v>
      </c>
    </row>
    <row r="313" spans="1:11" x14ac:dyDescent="0.3">
      <c r="A313" s="327" t="s">
        <v>1176</v>
      </c>
      <c r="B313" t="s">
        <v>1177</v>
      </c>
      <c r="C313" s="326" t="s">
        <v>3422</v>
      </c>
      <c r="D313" s="327" t="str">
        <f t="shared" si="8"/>
        <v>NACE C - 25.61 Manufacture of cutlery</v>
      </c>
      <c r="K313" t="s">
        <v>4962</v>
      </c>
    </row>
    <row r="314" spans="1:11" x14ac:dyDescent="0.3">
      <c r="A314" s="327" t="s">
        <v>1178</v>
      </c>
      <c r="B314" t="s">
        <v>1179</v>
      </c>
      <c r="C314" s="326" t="s">
        <v>3423</v>
      </c>
      <c r="D314" s="327" t="str">
        <f t="shared" si="8"/>
        <v>NACE C - 25.62 Manufacture of locks and hinges</v>
      </c>
      <c r="K314" t="s">
        <v>4963</v>
      </c>
    </row>
    <row r="315" spans="1:11" x14ac:dyDescent="0.3">
      <c r="A315" s="327" t="s">
        <v>1180</v>
      </c>
      <c r="B315" t="s">
        <v>1181</v>
      </c>
      <c r="C315" s="323" t="s">
        <v>3424</v>
      </c>
      <c r="D315" s="327" t="str">
        <f t="shared" si="8"/>
        <v>NACE C - 25.63 Manufacture of tools</v>
      </c>
      <c r="K315" t="s">
        <v>4964</v>
      </c>
    </row>
    <row r="316" spans="1:11" x14ac:dyDescent="0.3">
      <c r="A316" s="326" t="s">
        <v>1182</v>
      </c>
      <c r="B316" t="s">
        <v>1183</v>
      </c>
      <c r="C316" s="326" t="s">
        <v>3425</v>
      </c>
      <c r="D316" s="326" t="str">
        <f t="shared" si="8"/>
        <v>NACE C - 25.9 Manufacture of other fabricated metal products</v>
      </c>
      <c r="K316" t="s">
        <v>4965</v>
      </c>
    </row>
    <row r="317" spans="1:11" x14ac:dyDescent="0.3">
      <c r="A317" s="327" t="s">
        <v>1184</v>
      </c>
      <c r="B317" t="s">
        <v>1185</v>
      </c>
      <c r="C317" s="326" t="s">
        <v>3426</v>
      </c>
      <c r="D317" s="327" t="str">
        <f t="shared" si="8"/>
        <v>NACE C - 25.91 Manufacture of steel drums and similar containers</v>
      </c>
      <c r="K317" t="s">
        <v>4966</v>
      </c>
    </row>
    <row r="318" spans="1:11" x14ac:dyDescent="0.3">
      <c r="A318" s="327" t="s">
        <v>1186</v>
      </c>
      <c r="B318" t="s">
        <v>1187</v>
      </c>
      <c r="C318" s="323" t="s">
        <v>3427</v>
      </c>
      <c r="D318" s="327" t="str">
        <f t="shared" si="8"/>
        <v>NACE C - 25.92 Manufacture of light metal packaging</v>
      </c>
      <c r="K318" t="s">
        <v>4967</v>
      </c>
    </row>
    <row r="319" spans="1:11" x14ac:dyDescent="0.3">
      <c r="A319" s="327" t="s">
        <v>1188</v>
      </c>
      <c r="B319" t="s">
        <v>1189</v>
      </c>
      <c r="C319" s="326" t="s">
        <v>3428</v>
      </c>
      <c r="D319" s="327" t="str">
        <f t="shared" si="8"/>
        <v>NACE C - 25.93 Manufacture of wire products, chain and springs</v>
      </c>
      <c r="K319" t="s">
        <v>4968</v>
      </c>
    </row>
    <row r="320" spans="1:11" x14ac:dyDescent="0.3">
      <c r="A320" s="327" t="s">
        <v>1190</v>
      </c>
      <c r="B320" t="s">
        <v>1191</v>
      </c>
      <c r="C320" s="326" t="s">
        <v>3429</v>
      </c>
      <c r="D320" s="327" t="str">
        <f t="shared" si="8"/>
        <v>NACE C - 25.94 Manufacture of fasteners and screw machine products</v>
      </c>
      <c r="K320" t="s">
        <v>4969</v>
      </c>
    </row>
    <row r="321" spans="1:11" x14ac:dyDescent="0.3">
      <c r="A321" s="327" t="s">
        <v>1192</v>
      </c>
      <c r="B321" t="s">
        <v>1193</v>
      </c>
      <c r="C321" s="323" t="s">
        <v>3430</v>
      </c>
      <c r="D321" s="327" t="str">
        <f t="shared" si="8"/>
        <v>NACE C - 25.99 Manufacture of other fabricated metal products n.e.c.</v>
      </c>
      <c r="K321" t="s">
        <v>4970</v>
      </c>
    </row>
    <row r="322" spans="1:11" x14ac:dyDescent="0.3">
      <c r="A322" s="323" t="s">
        <v>1194</v>
      </c>
      <c r="B322" t="s">
        <v>1195</v>
      </c>
      <c r="C322" s="326" t="s">
        <v>3431</v>
      </c>
      <c r="D322" s="323" t="str">
        <f t="shared" ref="D322:D385" si="9">_xlfn.CONCAT("NACE ", A322)</f>
        <v>NACE C - 26 Manufacture of computer, electronic and optical products</v>
      </c>
      <c r="K322" t="s">
        <v>4971</v>
      </c>
    </row>
    <row r="323" spans="1:11" x14ac:dyDescent="0.3">
      <c r="A323" s="326" t="s">
        <v>1196</v>
      </c>
      <c r="B323" t="s">
        <v>1197</v>
      </c>
      <c r="C323" s="323" t="s">
        <v>3432</v>
      </c>
      <c r="D323" s="326" t="str">
        <f t="shared" si="9"/>
        <v>NACE C - 26.1 Manufacture of electronic components and boards</v>
      </c>
      <c r="K323" t="s">
        <v>4972</v>
      </c>
    </row>
    <row r="324" spans="1:11" x14ac:dyDescent="0.3">
      <c r="A324" s="327" t="s">
        <v>1198</v>
      </c>
      <c r="B324" t="s">
        <v>1199</v>
      </c>
      <c r="C324" s="326" t="s">
        <v>3433</v>
      </c>
      <c r="D324" s="327" t="str">
        <f t="shared" si="9"/>
        <v>NACE C - 26.11 Manufacture of electronic components</v>
      </c>
      <c r="K324" t="s">
        <v>4973</v>
      </c>
    </row>
    <row r="325" spans="1:11" x14ac:dyDescent="0.3">
      <c r="A325" s="327" t="s">
        <v>1200</v>
      </c>
      <c r="B325" t="s">
        <v>1201</v>
      </c>
      <c r="C325" s="326" t="s">
        <v>3434</v>
      </c>
      <c r="D325" s="327" t="str">
        <f t="shared" si="9"/>
        <v>NACE C - 26.12 Manufacture of loaded electronic boards</v>
      </c>
      <c r="K325" t="s">
        <v>4974</v>
      </c>
    </row>
    <row r="326" spans="1:11" x14ac:dyDescent="0.3">
      <c r="A326" s="326" t="s">
        <v>1202</v>
      </c>
      <c r="B326" t="s">
        <v>1203</v>
      </c>
      <c r="C326" s="326" t="s">
        <v>3435</v>
      </c>
      <c r="D326" s="326" t="str">
        <f t="shared" si="9"/>
        <v>NACE C - 26.2 Manufacture of computers and peripheral equipment</v>
      </c>
      <c r="K326" t="s">
        <v>4975</v>
      </c>
    </row>
    <row r="327" spans="1:11" x14ac:dyDescent="0.3">
      <c r="A327" s="327" t="s">
        <v>1204</v>
      </c>
      <c r="B327" t="s">
        <v>1205</v>
      </c>
      <c r="C327" s="323" t="s">
        <v>3436</v>
      </c>
      <c r="D327" s="327" t="str">
        <f t="shared" si="9"/>
        <v>NACE C - 26.20 Manufacture of computers and peripheral equipment</v>
      </c>
      <c r="K327" t="s">
        <v>4976</v>
      </c>
    </row>
    <row r="328" spans="1:11" x14ac:dyDescent="0.3">
      <c r="A328" s="326" t="s">
        <v>1206</v>
      </c>
      <c r="B328" t="s">
        <v>1207</v>
      </c>
      <c r="C328" s="326" t="s">
        <v>3437</v>
      </c>
      <c r="D328" s="326" t="str">
        <f t="shared" si="9"/>
        <v>NACE C - 26.3 Manufacture of communication equipment</v>
      </c>
      <c r="K328" t="s">
        <v>4977</v>
      </c>
    </row>
    <row r="329" spans="1:11" x14ac:dyDescent="0.3">
      <c r="A329" s="327" t="s">
        <v>1208</v>
      </c>
      <c r="B329" t="s">
        <v>1209</v>
      </c>
      <c r="C329" s="326" t="s">
        <v>3438</v>
      </c>
      <c r="D329" s="327" t="str">
        <f t="shared" si="9"/>
        <v>NACE C - 26.30 Manufacture of communication equipment</v>
      </c>
      <c r="K329" t="s">
        <v>4978</v>
      </c>
    </row>
    <row r="330" spans="1:11" x14ac:dyDescent="0.3">
      <c r="A330" s="326" t="s">
        <v>1210</v>
      </c>
      <c r="B330" t="s">
        <v>1211</v>
      </c>
      <c r="C330" s="326" t="s">
        <v>3439</v>
      </c>
      <c r="D330" s="326" t="str">
        <f t="shared" si="9"/>
        <v>NACE C - 26.4 Manufacture of consumer electronics</v>
      </c>
      <c r="K330" t="s">
        <v>4979</v>
      </c>
    </row>
    <row r="331" spans="1:11" x14ac:dyDescent="0.3">
      <c r="A331" s="327" t="s">
        <v>1212</v>
      </c>
      <c r="B331" t="s">
        <v>1213</v>
      </c>
      <c r="C331" s="326" t="s">
        <v>3440</v>
      </c>
      <c r="D331" s="327" t="str">
        <f t="shared" si="9"/>
        <v>NACE C - 26.40 Manufacture of consumer electronics</v>
      </c>
      <c r="K331" t="s">
        <v>4980</v>
      </c>
    </row>
    <row r="332" spans="1:11" x14ac:dyDescent="0.3">
      <c r="A332" s="326" t="s">
        <v>1214</v>
      </c>
      <c r="B332" t="s">
        <v>1215</v>
      </c>
      <c r="C332" s="326" t="s">
        <v>3441</v>
      </c>
      <c r="D332" s="326" t="str">
        <f t="shared" si="9"/>
        <v>NACE C - 26.5 Manufacture of measuring testing instruments, clocks and watches</v>
      </c>
      <c r="K332" t="s">
        <v>4981</v>
      </c>
    </row>
    <row r="333" spans="1:11" x14ac:dyDescent="0.3">
      <c r="A333" s="327" t="s">
        <v>1216</v>
      </c>
      <c r="B333" t="s">
        <v>1217</v>
      </c>
      <c r="C333" s="324" t="s">
        <v>3417</v>
      </c>
      <c r="D333" s="327" t="str">
        <f t="shared" si="9"/>
        <v>NACE C - 26.51 Manufacture of instruments and appliances for measuring, testing and navigation</v>
      </c>
      <c r="K333" t="s">
        <v>4982</v>
      </c>
    </row>
    <row r="334" spans="1:11" x14ac:dyDescent="0.3">
      <c r="A334" s="327" t="s">
        <v>1218</v>
      </c>
      <c r="B334" t="s">
        <v>1219</v>
      </c>
      <c r="C334" s="323" t="s">
        <v>3443</v>
      </c>
      <c r="D334" s="327" t="str">
        <f t="shared" si="9"/>
        <v>NACE C - 26.52 Manufacture of watches and clocks</v>
      </c>
      <c r="K334" t="s">
        <v>4983</v>
      </c>
    </row>
    <row r="335" spans="1:11" x14ac:dyDescent="0.3">
      <c r="A335" s="326" t="s">
        <v>1220</v>
      </c>
      <c r="B335" t="s">
        <v>1221</v>
      </c>
      <c r="C335" s="326" t="s">
        <v>3444</v>
      </c>
      <c r="D335" s="326" t="str">
        <f t="shared" si="9"/>
        <v>NACE C - 26.6 Manufacture of irradiation, electromedical and electrotherapeutic equipment</v>
      </c>
      <c r="K335" t="s">
        <v>4984</v>
      </c>
    </row>
    <row r="336" spans="1:11" x14ac:dyDescent="0.3">
      <c r="A336" s="327" t="s">
        <v>1222</v>
      </c>
      <c r="B336" t="s">
        <v>1223</v>
      </c>
      <c r="C336" s="326" t="s">
        <v>3445</v>
      </c>
      <c r="D336" s="327" t="str">
        <f t="shared" si="9"/>
        <v>NACE C - 26.60 Manufacture of irradiation, electromedical and electrotherapeutic equipment</v>
      </c>
      <c r="K336" t="s">
        <v>4985</v>
      </c>
    </row>
    <row r="337" spans="1:11" x14ac:dyDescent="0.3">
      <c r="A337" s="326" t="s">
        <v>1224</v>
      </c>
      <c r="B337" t="s">
        <v>1225</v>
      </c>
      <c r="C337" s="326" t="s">
        <v>3446</v>
      </c>
      <c r="D337" s="326" t="str">
        <f t="shared" si="9"/>
        <v>NACE C - 26.7 Manufacture of optical instruments, magnetic and optical media and photographic equipment</v>
      </c>
      <c r="K337" t="s">
        <v>4986</v>
      </c>
    </row>
    <row r="338" spans="1:11" x14ac:dyDescent="0.3">
      <c r="A338" s="327" t="s">
        <v>1226</v>
      </c>
      <c r="B338" t="s">
        <v>1227</v>
      </c>
      <c r="C338" s="324" t="s">
        <v>3442</v>
      </c>
      <c r="D338" s="327" t="str">
        <f t="shared" si="9"/>
        <v>NACE C - 26.70 Manufacture of optical instruments, magnetic and optical media and photographic equipment</v>
      </c>
      <c r="K338" t="s">
        <v>4987</v>
      </c>
    </row>
    <row r="339" spans="1:11" x14ac:dyDescent="0.3">
      <c r="A339" s="323" t="s">
        <v>1228</v>
      </c>
      <c r="B339" t="s">
        <v>1229</v>
      </c>
      <c r="C339" s="323" t="s">
        <v>3448</v>
      </c>
      <c r="D339" s="323" t="str">
        <f t="shared" si="9"/>
        <v>NACE C - 27 Manufacture of electrical equipment</v>
      </c>
      <c r="K339" t="s">
        <v>4988</v>
      </c>
    </row>
    <row r="340" spans="1:11" x14ac:dyDescent="0.3">
      <c r="A340" s="326" t="s">
        <v>1230</v>
      </c>
      <c r="B340" t="s">
        <v>1231</v>
      </c>
      <c r="C340" s="326" t="s">
        <v>3449</v>
      </c>
      <c r="D340" s="326" t="str">
        <f t="shared" si="9"/>
        <v>NACE C - 27.1 Manufacture of electric motors, generators, transformers and electricity distribution and control apparatus</v>
      </c>
      <c r="K340" t="s">
        <v>4989</v>
      </c>
    </row>
    <row r="341" spans="1:11" x14ac:dyDescent="0.3">
      <c r="A341" s="327" t="s">
        <v>1232</v>
      </c>
      <c r="B341" t="s">
        <v>1233</v>
      </c>
      <c r="C341" s="326" t="s">
        <v>3450</v>
      </c>
      <c r="D341" s="327" t="str">
        <f t="shared" si="9"/>
        <v>NACE C - 27.11 Manufacture of electric motors, generators and transformers</v>
      </c>
      <c r="K341" t="s">
        <v>4990</v>
      </c>
    </row>
    <row r="342" spans="1:11" x14ac:dyDescent="0.3">
      <c r="A342" s="327" t="s">
        <v>1234</v>
      </c>
      <c r="B342" t="s">
        <v>1235</v>
      </c>
      <c r="C342" s="326" t="s">
        <v>3451</v>
      </c>
      <c r="D342" s="327" t="str">
        <f t="shared" si="9"/>
        <v>NACE C - 27.12 Manufacture of electricity distribution and control apparatus</v>
      </c>
      <c r="K342" t="s">
        <v>4991</v>
      </c>
    </row>
    <row r="343" spans="1:11" x14ac:dyDescent="0.3">
      <c r="A343" s="326" t="s">
        <v>1236</v>
      </c>
      <c r="B343" t="s">
        <v>1237</v>
      </c>
      <c r="C343" s="326" t="s">
        <v>3452</v>
      </c>
      <c r="D343" s="326" t="str">
        <f t="shared" si="9"/>
        <v>NACE C - 27.2 Manufacture of batteries and accumulators</v>
      </c>
      <c r="K343" t="s">
        <v>4646</v>
      </c>
    </row>
    <row r="344" spans="1:11" x14ac:dyDescent="0.3">
      <c r="A344" s="327" t="s">
        <v>1238</v>
      </c>
      <c r="B344" t="s">
        <v>1239</v>
      </c>
      <c r="C344" s="326" t="s">
        <v>3453</v>
      </c>
      <c r="D344" s="327" t="str">
        <f t="shared" si="9"/>
        <v>NACE C - 27.20 Manufacture of batteries and accumulators</v>
      </c>
      <c r="K344" t="s">
        <v>4992</v>
      </c>
    </row>
    <row r="345" spans="1:11" x14ac:dyDescent="0.3">
      <c r="A345" s="326" t="s">
        <v>1240</v>
      </c>
      <c r="B345" t="s">
        <v>1241</v>
      </c>
      <c r="C345" s="326" t="s">
        <v>3454</v>
      </c>
      <c r="D345" s="326" t="str">
        <f t="shared" si="9"/>
        <v>NACE C - 27.3 Manufacture of wiring and wiring devices</v>
      </c>
      <c r="K345" t="s">
        <v>4993</v>
      </c>
    </row>
    <row r="346" spans="1:11" x14ac:dyDescent="0.3">
      <c r="A346" s="327" t="s">
        <v>1242</v>
      </c>
      <c r="B346" t="s">
        <v>1243</v>
      </c>
      <c r="C346" s="324" t="s">
        <v>3447</v>
      </c>
      <c r="D346" s="327" t="str">
        <f t="shared" si="9"/>
        <v>NACE C - 27.31 Manufacture of fibre optic cables</v>
      </c>
      <c r="K346" t="s">
        <v>4994</v>
      </c>
    </row>
    <row r="347" spans="1:11" x14ac:dyDescent="0.3">
      <c r="A347" s="327" t="s">
        <v>1244</v>
      </c>
      <c r="B347" t="s">
        <v>1245</v>
      </c>
      <c r="C347" s="323" t="s">
        <v>3456</v>
      </c>
      <c r="D347" s="327" t="str">
        <f t="shared" si="9"/>
        <v>NACE C - 27.32 Manufacture of other electronic and electric wires and cables</v>
      </c>
      <c r="K347" t="s">
        <v>4995</v>
      </c>
    </row>
    <row r="348" spans="1:11" x14ac:dyDescent="0.3">
      <c r="A348" s="327" t="s">
        <v>1246</v>
      </c>
      <c r="B348" t="s">
        <v>1247</v>
      </c>
      <c r="C348" s="326" t="s">
        <v>3457</v>
      </c>
      <c r="D348" s="327" t="str">
        <f t="shared" si="9"/>
        <v>NACE C - 27.33 Manufacture of wiring devices</v>
      </c>
      <c r="K348" t="s">
        <v>4996</v>
      </c>
    </row>
    <row r="349" spans="1:11" x14ac:dyDescent="0.3">
      <c r="A349" s="326" t="s">
        <v>1248</v>
      </c>
      <c r="B349" t="s">
        <v>1249</v>
      </c>
      <c r="C349" s="326" t="s">
        <v>3458</v>
      </c>
      <c r="D349" s="326" t="str">
        <f t="shared" si="9"/>
        <v>NACE C - 27.4 Manufacture of lighting equipment</v>
      </c>
      <c r="K349" t="s">
        <v>4997</v>
      </c>
    </row>
    <row r="350" spans="1:11" x14ac:dyDescent="0.3">
      <c r="A350" s="327" t="s">
        <v>1250</v>
      </c>
      <c r="B350" t="s">
        <v>1251</v>
      </c>
      <c r="C350" s="326" t="s">
        <v>3459</v>
      </c>
      <c r="D350" s="327" t="str">
        <f t="shared" si="9"/>
        <v>NACE C - 27.40 Manufacture of lighting equipment</v>
      </c>
      <c r="K350" t="s">
        <v>4998</v>
      </c>
    </row>
    <row r="351" spans="1:11" x14ac:dyDescent="0.3">
      <c r="A351" s="326" t="s">
        <v>1252</v>
      </c>
      <c r="B351" t="s">
        <v>1253</v>
      </c>
      <c r="C351" s="323" t="s">
        <v>3460</v>
      </c>
      <c r="D351" s="326" t="str">
        <f t="shared" si="9"/>
        <v>NACE C - 27.5 Manufacture of domestic appliances</v>
      </c>
      <c r="K351" t="s">
        <v>4999</v>
      </c>
    </row>
    <row r="352" spans="1:11" x14ac:dyDescent="0.3">
      <c r="A352" s="327" t="s">
        <v>1254</v>
      </c>
      <c r="B352" t="s">
        <v>1255</v>
      </c>
      <c r="C352" s="326" t="s">
        <v>3461</v>
      </c>
      <c r="D352" s="327" t="str">
        <f t="shared" si="9"/>
        <v>NACE C - 27.51 Manufacture of electric domestic appliances</v>
      </c>
      <c r="K352" t="s">
        <v>5000</v>
      </c>
    </row>
    <row r="353" spans="1:11" x14ac:dyDescent="0.3">
      <c r="A353" s="327" t="s">
        <v>1256</v>
      </c>
      <c r="B353" t="s">
        <v>1257</v>
      </c>
      <c r="C353" s="326" t="s">
        <v>3462</v>
      </c>
      <c r="D353" s="327" t="str">
        <f t="shared" si="9"/>
        <v>NACE C - 27.52 Manufacture of non-electric domestic appliances</v>
      </c>
      <c r="K353" t="s">
        <v>5001</v>
      </c>
    </row>
    <row r="354" spans="1:11" x14ac:dyDescent="0.3">
      <c r="A354" s="326" t="s">
        <v>1258</v>
      </c>
      <c r="B354" t="s">
        <v>1259</v>
      </c>
      <c r="C354" s="326" t="s">
        <v>3463</v>
      </c>
      <c r="D354" s="326" t="str">
        <f t="shared" si="9"/>
        <v>NACE C - 27.9 Manufacture of other electrical equipment</v>
      </c>
      <c r="K354" t="s">
        <v>5002</v>
      </c>
    </row>
    <row r="355" spans="1:11" x14ac:dyDescent="0.3">
      <c r="A355" s="327" t="s">
        <v>1260</v>
      </c>
      <c r="B355" t="s">
        <v>1261</v>
      </c>
      <c r="C355" s="326" t="s">
        <v>3464</v>
      </c>
      <c r="D355" s="327" t="str">
        <f t="shared" si="9"/>
        <v>NACE C - 27.90 Manufacture of other electrical equipment</v>
      </c>
      <c r="K355" t="s">
        <v>5003</v>
      </c>
    </row>
    <row r="356" spans="1:11" x14ac:dyDescent="0.3">
      <c r="A356" s="323" t="s">
        <v>1262</v>
      </c>
      <c r="B356" t="s">
        <v>1263</v>
      </c>
      <c r="C356" s="323" t="s">
        <v>3465</v>
      </c>
      <c r="D356" s="323" t="str">
        <f t="shared" si="9"/>
        <v>NACE C - 28 Manufacture of machinery and equipment n.e.c.</v>
      </c>
      <c r="K356" t="s">
        <v>5004</v>
      </c>
    </row>
    <row r="357" spans="1:11" x14ac:dyDescent="0.3">
      <c r="A357" s="326" t="s">
        <v>1264</v>
      </c>
      <c r="B357" t="s">
        <v>1265</v>
      </c>
      <c r="C357" s="326" t="s">
        <v>3466</v>
      </c>
      <c r="D357" s="326" t="str">
        <f t="shared" si="9"/>
        <v>NACE C - 28.1 Manufacture of general-purpose machinery</v>
      </c>
      <c r="K357" t="s">
        <v>5005</v>
      </c>
    </row>
    <row r="358" spans="1:11" x14ac:dyDescent="0.3">
      <c r="A358" s="327" t="s">
        <v>1266</v>
      </c>
      <c r="B358" t="s">
        <v>1267</v>
      </c>
      <c r="C358" s="326" t="s">
        <v>3467</v>
      </c>
      <c r="D358" s="327" t="str">
        <f t="shared" si="9"/>
        <v>NACE C - 28.11 Manufacture of engines and turbines, except aircraft, vehicle and cycle engines</v>
      </c>
      <c r="K358" t="s">
        <v>4647</v>
      </c>
    </row>
    <row r="359" spans="1:11" x14ac:dyDescent="0.3">
      <c r="A359" s="327" t="s">
        <v>1268</v>
      </c>
      <c r="B359" t="s">
        <v>1269</v>
      </c>
      <c r="C359" s="324" t="s">
        <v>3455</v>
      </c>
      <c r="D359" s="327" t="str">
        <f t="shared" si="9"/>
        <v>NACE C - 28.12 Manufacture of fluid power equipment</v>
      </c>
      <c r="K359" t="s">
        <v>5006</v>
      </c>
    </row>
    <row r="360" spans="1:11" x14ac:dyDescent="0.3">
      <c r="A360" s="327" t="s">
        <v>1270</v>
      </c>
      <c r="B360" t="s">
        <v>1271</v>
      </c>
      <c r="C360" s="323" t="s">
        <v>3469</v>
      </c>
      <c r="D360" s="327" t="str">
        <f t="shared" si="9"/>
        <v>NACE C - 28.13 Manufacture of other pumps and compressors</v>
      </c>
      <c r="K360" t="s">
        <v>5007</v>
      </c>
    </row>
    <row r="361" spans="1:11" x14ac:dyDescent="0.3">
      <c r="A361" s="327" t="s">
        <v>1272</v>
      </c>
      <c r="B361" t="s">
        <v>1273</v>
      </c>
      <c r="C361" s="326" t="s">
        <v>3470</v>
      </c>
      <c r="D361" s="327" t="str">
        <f t="shared" si="9"/>
        <v>NACE C - 28.14 Manufacture of other taps and valves</v>
      </c>
      <c r="K361" t="s">
        <v>5008</v>
      </c>
    </row>
    <row r="362" spans="1:11" x14ac:dyDescent="0.3">
      <c r="A362" s="327" t="s">
        <v>1274</v>
      </c>
      <c r="B362" t="s">
        <v>1275</v>
      </c>
      <c r="C362" s="326" t="s">
        <v>3471</v>
      </c>
      <c r="D362" s="327" t="str">
        <f t="shared" si="9"/>
        <v>NACE C - 28.15 Manufacture of bearings, gears, gearing and driving elements</v>
      </c>
      <c r="K362" t="s">
        <v>5009</v>
      </c>
    </row>
    <row r="363" spans="1:11" x14ac:dyDescent="0.3">
      <c r="A363" s="326" t="s">
        <v>1276</v>
      </c>
      <c r="B363" t="s">
        <v>1277</v>
      </c>
      <c r="C363" s="326" t="s">
        <v>3472</v>
      </c>
      <c r="D363" s="326" t="str">
        <f t="shared" si="9"/>
        <v>NACE C - 28.2 Manufacture of other general-purpose machinery</v>
      </c>
      <c r="K363" t="s">
        <v>5010</v>
      </c>
    </row>
    <row r="364" spans="1:11" x14ac:dyDescent="0.3">
      <c r="A364" s="327" t="s">
        <v>1278</v>
      </c>
      <c r="B364" t="s">
        <v>1279</v>
      </c>
      <c r="C364" s="323" t="s">
        <v>3473</v>
      </c>
      <c r="D364" s="327" t="str">
        <f t="shared" si="9"/>
        <v>NACE C - 28.21 Manufacture of ovens, furnaces and permanent household heating equipment</v>
      </c>
      <c r="K364" t="s">
        <v>5011</v>
      </c>
    </row>
    <row r="365" spans="1:11" x14ac:dyDescent="0.3">
      <c r="A365" s="327" t="s">
        <v>1280</v>
      </c>
      <c r="B365" t="s">
        <v>1281</v>
      </c>
      <c r="C365" s="326" t="s">
        <v>3474</v>
      </c>
      <c r="D365" s="327" t="str">
        <f t="shared" si="9"/>
        <v>NACE C - 28.22 Manufacture of lifting and handling equipment</v>
      </c>
      <c r="K365" t="s">
        <v>5012</v>
      </c>
    </row>
    <row r="366" spans="1:11" x14ac:dyDescent="0.3">
      <c r="A366" s="327" t="s">
        <v>1282</v>
      </c>
      <c r="B366" t="s">
        <v>1283</v>
      </c>
      <c r="C366" s="326" t="s">
        <v>3475</v>
      </c>
      <c r="D366" s="327" t="str">
        <f t="shared" si="9"/>
        <v>NACE C - 28.23 Manufacture of office machinery and equipment, except computers and peripheral equipment</v>
      </c>
      <c r="K366" t="s">
        <v>5013</v>
      </c>
    </row>
    <row r="367" spans="1:11" x14ac:dyDescent="0.3">
      <c r="A367" s="327" t="s">
        <v>1284</v>
      </c>
      <c r="B367" t="s">
        <v>1285</v>
      </c>
      <c r="C367" s="326" t="s">
        <v>3476</v>
      </c>
      <c r="D367" s="327" t="str">
        <f t="shared" si="9"/>
        <v>NACE C - 28.24 Manufacture of power-driven hand tools</v>
      </c>
      <c r="K367" t="s">
        <v>5014</v>
      </c>
    </row>
    <row r="368" spans="1:11" x14ac:dyDescent="0.3">
      <c r="A368" s="327" t="s">
        <v>1286</v>
      </c>
      <c r="B368" t="s">
        <v>1287</v>
      </c>
      <c r="C368" s="326" t="s">
        <v>3477</v>
      </c>
      <c r="D368" s="327" t="str">
        <f t="shared" si="9"/>
        <v>NACE C - 28.25 Manufacture of non-domestic air conditioning equipment</v>
      </c>
      <c r="K368" t="s">
        <v>5015</v>
      </c>
    </row>
    <row r="369" spans="1:11" x14ac:dyDescent="0.3">
      <c r="A369" s="327" t="s">
        <v>1288</v>
      </c>
      <c r="B369" t="s">
        <v>1289</v>
      </c>
      <c r="C369" s="323" t="s">
        <v>3478</v>
      </c>
      <c r="D369" s="327" t="str">
        <f t="shared" si="9"/>
        <v>NACE C - 28.29 Manufacture of other general-purpose machinery n.e.c.</v>
      </c>
      <c r="K369" t="s">
        <v>5016</v>
      </c>
    </row>
    <row r="370" spans="1:11" x14ac:dyDescent="0.3">
      <c r="A370" s="326" t="s">
        <v>1290</v>
      </c>
      <c r="B370" t="s">
        <v>1291</v>
      </c>
      <c r="C370" s="326" t="s">
        <v>3479</v>
      </c>
      <c r="D370" s="326" t="str">
        <f t="shared" si="9"/>
        <v>NACE C - 28.3 Manufacture of agricultural and forestry machinery</v>
      </c>
      <c r="K370" t="s">
        <v>5017</v>
      </c>
    </row>
    <row r="371" spans="1:11" x14ac:dyDescent="0.3">
      <c r="A371" s="327" t="s">
        <v>1292</v>
      </c>
      <c r="B371" t="s">
        <v>1293</v>
      </c>
      <c r="C371" s="323" t="s">
        <v>3480</v>
      </c>
      <c r="D371" s="327" t="str">
        <f t="shared" si="9"/>
        <v>NACE C - 28.30 Manufacture of agricultural and forestry machinery</v>
      </c>
      <c r="K371" t="s">
        <v>5018</v>
      </c>
    </row>
    <row r="372" spans="1:11" x14ac:dyDescent="0.3">
      <c r="A372" s="326" t="s">
        <v>1294</v>
      </c>
      <c r="B372" t="s">
        <v>1295</v>
      </c>
      <c r="C372" s="326" t="s">
        <v>3481</v>
      </c>
      <c r="D372" s="326" t="str">
        <f t="shared" si="9"/>
        <v>NACE C - 28.4 Manufacture of metal forming machinery and machine tools</v>
      </c>
      <c r="K372" t="s">
        <v>5019</v>
      </c>
    </row>
    <row r="373" spans="1:11" x14ac:dyDescent="0.3">
      <c r="A373" s="327" t="s">
        <v>1296</v>
      </c>
      <c r="B373" t="s">
        <v>1297</v>
      </c>
      <c r="C373" s="326" t="s">
        <v>3482</v>
      </c>
      <c r="D373" s="327" t="str">
        <f t="shared" si="9"/>
        <v>NACE C - 28.41 Manufacture of metal forming machinery and machine tools for metal work</v>
      </c>
      <c r="K373" t="s">
        <v>5020</v>
      </c>
    </row>
    <row r="374" spans="1:11" x14ac:dyDescent="0.3">
      <c r="A374" s="327" t="s">
        <v>1298</v>
      </c>
      <c r="B374" t="s">
        <v>1299</v>
      </c>
      <c r="C374" s="324" t="s">
        <v>3468</v>
      </c>
      <c r="D374" s="327" t="str">
        <f t="shared" si="9"/>
        <v>NACE C - 28.42 Manufacture of other machine tools</v>
      </c>
      <c r="K374" t="s">
        <v>5021</v>
      </c>
    </row>
    <row r="375" spans="1:11" x14ac:dyDescent="0.3">
      <c r="A375" s="326" t="s">
        <v>1300</v>
      </c>
      <c r="B375" t="s">
        <v>1301</v>
      </c>
      <c r="C375" s="323" t="s">
        <v>3484</v>
      </c>
      <c r="D375" s="326" t="str">
        <f t="shared" si="9"/>
        <v>NACE C - 28.9 Manufacture of other special-purpose machinery</v>
      </c>
      <c r="K375" t="s">
        <v>5022</v>
      </c>
    </row>
    <row r="376" spans="1:11" x14ac:dyDescent="0.3">
      <c r="A376" s="327" t="s">
        <v>1302</v>
      </c>
      <c r="B376" t="s">
        <v>1303</v>
      </c>
      <c r="C376" s="326" t="s">
        <v>3485</v>
      </c>
      <c r="D376" s="327" t="str">
        <f t="shared" si="9"/>
        <v>NACE C - 28.91 Manufacture of machinery for metallurgy</v>
      </c>
      <c r="K376" t="s">
        <v>5023</v>
      </c>
    </row>
    <row r="377" spans="1:11" x14ac:dyDescent="0.3">
      <c r="A377" s="327" t="s">
        <v>1304</v>
      </c>
      <c r="B377" t="s">
        <v>1305</v>
      </c>
      <c r="C377" s="326" t="s">
        <v>3486</v>
      </c>
      <c r="D377" s="327" t="str">
        <f t="shared" si="9"/>
        <v>NACE C - 28.92 Manufacture of machinery for mining, quarrying and construction</v>
      </c>
      <c r="K377" t="s">
        <v>5024</v>
      </c>
    </row>
    <row r="378" spans="1:11" x14ac:dyDescent="0.3">
      <c r="A378" s="327" t="s">
        <v>1306</v>
      </c>
      <c r="B378" t="s">
        <v>1307</v>
      </c>
      <c r="C378" s="326" t="s">
        <v>3487</v>
      </c>
      <c r="D378" s="327" t="str">
        <f t="shared" si="9"/>
        <v>NACE C - 28.93 Manufacture of machinery for food, beverage and tobacco processing</v>
      </c>
      <c r="K378" t="s">
        <v>5025</v>
      </c>
    </row>
    <row r="379" spans="1:11" x14ac:dyDescent="0.3">
      <c r="A379" s="327" t="s">
        <v>1308</v>
      </c>
      <c r="B379" t="s">
        <v>1309</v>
      </c>
      <c r="C379" s="323" t="s">
        <v>3488</v>
      </c>
      <c r="D379" s="327" t="str">
        <f t="shared" si="9"/>
        <v>NACE C - 28.94 Manufacture of machinery for textile, apparel and leather production</v>
      </c>
      <c r="K379" t="s">
        <v>5026</v>
      </c>
    </row>
    <row r="380" spans="1:11" x14ac:dyDescent="0.3">
      <c r="A380" s="327" t="s">
        <v>1310</v>
      </c>
      <c r="B380" t="s">
        <v>1311</v>
      </c>
      <c r="C380" s="326" t="s">
        <v>3489</v>
      </c>
      <c r="D380" s="327" t="str">
        <f t="shared" si="9"/>
        <v>NACE C - 28.95 Manufacture of machinery for paper and paperboard production</v>
      </c>
      <c r="K380" t="s">
        <v>5027</v>
      </c>
    </row>
    <row r="381" spans="1:11" x14ac:dyDescent="0.3">
      <c r="A381" s="327" t="s">
        <v>1312</v>
      </c>
      <c r="B381" t="s">
        <v>1313</v>
      </c>
      <c r="C381" s="326" t="s">
        <v>3490</v>
      </c>
      <c r="D381" s="327" t="str">
        <f t="shared" si="9"/>
        <v>NACE C - 28.96 Manufacture of plastics and rubber machinery</v>
      </c>
      <c r="K381" t="s">
        <v>5028</v>
      </c>
    </row>
    <row r="382" spans="1:11" x14ac:dyDescent="0.3">
      <c r="A382" s="327" t="s">
        <v>1314</v>
      </c>
      <c r="B382" t="s">
        <v>1315</v>
      </c>
      <c r="C382" s="326" t="s">
        <v>3491</v>
      </c>
      <c r="D382" s="327" t="str">
        <f t="shared" si="9"/>
        <v>NACE C - 28.97 Manufacture of additive manufacturing machinery</v>
      </c>
      <c r="K382" t="s">
        <v>5029</v>
      </c>
    </row>
    <row r="383" spans="1:11" x14ac:dyDescent="0.3">
      <c r="A383" s="327" t="s">
        <v>1316</v>
      </c>
      <c r="B383" t="s">
        <v>1317</v>
      </c>
      <c r="C383" s="326" t="s">
        <v>3492</v>
      </c>
      <c r="D383" s="327" t="str">
        <f t="shared" si="9"/>
        <v>NACE C - 28.99 Manufacture of other special-purpose machinery n.e.c.</v>
      </c>
      <c r="K383" t="s">
        <v>5030</v>
      </c>
    </row>
    <row r="384" spans="1:11" x14ac:dyDescent="0.3">
      <c r="A384" s="323" t="s">
        <v>1318</v>
      </c>
      <c r="B384" t="s">
        <v>1319</v>
      </c>
      <c r="C384" s="323" t="s">
        <v>3493</v>
      </c>
      <c r="D384" s="323" t="str">
        <f t="shared" si="9"/>
        <v>NACE C - 29 Manufacture of motor vehicles, trailers and semi-trailers</v>
      </c>
      <c r="K384" t="s">
        <v>5031</v>
      </c>
    </row>
    <row r="385" spans="1:11" x14ac:dyDescent="0.3">
      <c r="A385" s="326" t="s">
        <v>1320</v>
      </c>
      <c r="B385" t="s">
        <v>1321</v>
      </c>
      <c r="C385" s="326" t="s">
        <v>3494</v>
      </c>
      <c r="D385" s="326" t="str">
        <f t="shared" si="9"/>
        <v>NACE C - 29.1 Manufacture of motor vehicles</v>
      </c>
      <c r="K385" t="s">
        <v>5032</v>
      </c>
    </row>
    <row r="386" spans="1:11" x14ac:dyDescent="0.3">
      <c r="A386" s="327" t="s">
        <v>1322</v>
      </c>
      <c r="B386" t="s">
        <v>1323</v>
      </c>
      <c r="C386" s="326" t="s">
        <v>3495</v>
      </c>
      <c r="D386" s="327" t="str">
        <f t="shared" ref="D386:D449" si="10">_xlfn.CONCAT("NACE ", A386)</f>
        <v>NACE C - 29.10 Manufacture of motor vehicles</v>
      </c>
      <c r="K386" t="s">
        <v>5033</v>
      </c>
    </row>
    <row r="387" spans="1:11" x14ac:dyDescent="0.3">
      <c r="A387" s="326" t="s">
        <v>1324</v>
      </c>
      <c r="B387" t="s">
        <v>1325</v>
      </c>
      <c r="C387" s="326" t="s">
        <v>3496</v>
      </c>
      <c r="D387" s="326" t="str">
        <f t="shared" si="10"/>
        <v>NACE C - 29.2 Manufacture of bodies and coachwork for motor vehicles; manufacture of trailers and semi-trailers</v>
      </c>
      <c r="K387" t="s">
        <v>5034</v>
      </c>
    </row>
    <row r="388" spans="1:11" x14ac:dyDescent="0.3">
      <c r="A388" s="327" t="s">
        <v>1326</v>
      </c>
      <c r="B388" t="s">
        <v>1327</v>
      </c>
      <c r="C388" s="326" t="s">
        <v>3497</v>
      </c>
      <c r="D388" s="327" t="str">
        <f t="shared" si="10"/>
        <v>NACE C - 29.20 Manufacture of bodies and coachwork for motor vehicles; manufacture of trailers and semi-trailers</v>
      </c>
      <c r="K388" t="s">
        <v>5035</v>
      </c>
    </row>
    <row r="389" spans="1:11" x14ac:dyDescent="0.3">
      <c r="A389" s="326" t="s">
        <v>1328</v>
      </c>
      <c r="B389" t="s">
        <v>1329</v>
      </c>
      <c r="C389" s="326" t="s">
        <v>3498</v>
      </c>
      <c r="D389" s="326" t="str">
        <f t="shared" si="10"/>
        <v>NACE C - 29.3 Manufacture of motor vehicle parts and accessories</v>
      </c>
      <c r="K389" t="s">
        <v>5036</v>
      </c>
    </row>
    <row r="390" spans="1:11" x14ac:dyDescent="0.3">
      <c r="A390" s="327" t="s">
        <v>1330</v>
      </c>
      <c r="B390" t="s">
        <v>1331</v>
      </c>
      <c r="C390" s="324" t="s">
        <v>3483</v>
      </c>
      <c r="D390" s="327" t="str">
        <f t="shared" si="10"/>
        <v>NACE C - 29.31 Manufacture of electrical and electronic equipment for motor vehicles</v>
      </c>
      <c r="K390" t="s">
        <v>5037</v>
      </c>
    </row>
    <row r="391" spans="1:11" x14ac:dyDescent="0.3">
      <c r="A391" s="327" t="s">
        <v>1332</v>
      </c>
      <c r="B391" t="s">
        <v>1333</v>
      </c>
      <c r="C391" s="323" t="s">
        <v>3500</v>
      </c>
      <c r="D391" s="327" t="str">
        <f t="shared" si="10"/>
        <v>NACE C - 29.32 Manufacture of other parts and accessories for motor vehicles</v>
      </c>
      <c r="K391" t="s">
        <v>5038</v>
      </c>
    </row>
    <row r="392" spans="1:11" x14ac:dyDescent="0.3">
      <c r="A392" s="323" t="s">
        <v>1334</v>
      </c>
      <c r="B392" t="s">
        <v>1335</v>
      </c>
      <c r="C392" s="326" t="s">
        <v>3501</v>
      </c>
      <c r="D392" s="323" t="str">
        <f t="shared" si="10"/>
        <v>NACE C - 30 Manufacture of other transport equipment</v>
      </c>
      <c r="K392" t="s">
        <v>5039</v>
      </c>
    </row>
    <row r="393" spans="1:11" x14ac:dyDescent="0.3">
      <c r="A393" s="326" t="s">
        <v>1336</v>
      </c>
      <c r="B393" t="s">
        <v>1337</v>
      </c>
      <c r="C393" s="323" t="s">
        <v>3502</v>
      </c>
      <c r="D393" s="326" t="str">
        <f t="shared" si="10"/>
        <v>NACE C - 30.1 Building of ships and boats</v>
      </c>
      <c r="K393" t="s">
        <v>5040</v>
      </c>
    </row>
    <row r="394" spans="1:11" x14ac:dyDescent="0.3">
      <c r="A394" s="327" t="s">
        <v>1338</v>
      </c>
      <c r="B394" t="s">
        <v>1339</v>
      </c>
      <c r="C394" s="326" t="s">
        <v>3503</v>
      </c>
      <c r="D394" s="327" t="str">
        <f t="shared" si="10"/>
        <v>NACE C - 30.11 Building of civilian ships and floating structures</v>
      </c>
      <c r="K394" t="s">
        <v>5041</v>
      </c>
    </row>
    <row r="395" spans="1:11" x14ac:dyDescent="0.3">
      <c r="A395" s="327" t="s">
        <v>1340</v>
      </c>
      <c r="B395" t="s">
        <v>1341</v>
      </c>
      <c r="C395" s="326" t="s">
        <v>3504</v>
      </c>
      <c r="D395" s="327" t="str">
        <f t="shared" si="10"/>
        <v>NACE C - 30.12 Building of pleasure and sporting boats</v>
      </c>
      <c r="K395" t="s">
        <v>5042</v>
      </c>
    </row>
    <row r="396" spans="1:11" x14ac:dyDescent="0.3">
      <c r="A396" s="327" t="s">
        <v>1342</v>
      </c>
      <c r="B396" t="s">
        <v>1343</v>
      </c>
      <c r="C396" s="324" t="s">
        <v>3499</v>
      </c>
      <c r="D396" s="327" t="str">
        <f t="shared" si="10"/>
        <v>NACE C - 30.13 Building of military ships and vessels</v>
      </c>
      <c r="K396" t="s">
        <v>5043</v>
      </c>
    </row>
    <row r="397" spans="1:11" x14ac:dyDescent="0.3">
      <c r="A397" s="326" t="s">
        <v>1344</v>
      </c>
      <c r="B397" t="s">
        <v>1345</v>
      </c>
      <c r="C397" s="323" t="s">
        <v>3506</v>
      </c>
      <c r="D397" s="326" t="str">
        <f t="shared" si="10"/>
        <v>NACE C - 30.2 Manufacture of railway locomotives and rolling stock</v>
      </c>
      <c r="K397" t="s">
        <v>5044</v>
      </c>
    </row>
    <row r="398" spans="1:11" x14ac:dyDescent="0.3">
      <c r="A398" s="327" t="s">
        <v>1346</v>
      </c>
      <c r="B398" t="s">
        <v>1347</v>
      </c>
      <c r="C398" s="326" t="s">
        <v>3507</v>
      </c>
      <c r="D398" s="327" t="str">
        <f t="shared" si="10"/>
        <v>NACE C - 30.20 Manufacture of railway locomotives and rolling stock</v>
      </c>
      <c r="K398" t="s">
        <v>5045</v>
      </c>
    </row>
    <row r="399" spans="1:11" x14ac:dyDescent="0.3">
      <c r="A399" s="326" t="s">
        <v>1348</v>
      </c>
      <c r="B399" t="s">
        <v>1349</v>
      </c>
      <c r="C399" s="324" t="s">
        <v>3505</v>
      </c>
      <c r="D399" s="326" t="str">
        <f t="shared" si="10"/>
        <v>NACE C - 30.3 Manufacture of air and spacecraft and related machinery</v>
      </c>
      <c r="K399" t="s">
        <v>5046</v>
      </c>
    </row>
    <row r="400" spans="1:11" x14ac:dyDescent="0.3">
      <c r="A400" s="327" t="s">
        <v>1350</v>
      </c>
      <c r="B400" t="s">
        <v>1351</v>
      </c>
      <c r="D400" s="327" t="str">
        <f t="shared" si="10"/>
        <v>NACE C - 30.31 Manufacture of civilian air and spacecraft and related machinery</v>
      </c>
      <c r="K400" t="s">
        <v>5047</v>
      </c>
    </row>
    <row r="401" spans="1:11" x14ac:dyDescent="0.3">
      <c r="A401" s="327" t="s">
        <v>1352</v>
      </c>
      <c r="B401" t="s">
        <v>1353</v>
      </c>
      <c r="C401" s="327"/>
      <c r="D401" s="327" t="str">
        <f t="shared" si="10"/>
        <v>NACE C - 30.32 Manufacture of military air and spacecraft and related machinery</v>
      </c>
      <c r="K401" t="s">
        <v>5048</v>
      </c>
    </row>
    <row r="402" spans="1:11" x14ac:dyDescent="0.3">
      <c r="A402" s="326" t="s">
        <v>1354</v>
      </c>
      <c r="B402" t="s">
        <v>1355</v>
      </c>
      <c r="C402" s="327"/>
      <c r="D402" s="326" t="str">
        <f t="shared" si="10"/>
        <v>NACE C - 30.4 Manufacture of military fighting vehicles</v>
      </c>
      <c r="K402" t="s">
        <v>5049</v>
      </c>
    </row>
    <row r="403" spans="1:11" x14ac:dyDescent="0.3">
      <c r="A403" s="327" t="s">
        <v>1356</v>
      </c>
      <c r="B403" t="s">
        <v>1357</v>
      </c>
      <c r="C403" s="327"/>
      <c r="D403" s="327" t="str">
        <f t="shared" si="10"/>
        <v>NACE C - 30.40 Manufacture of military fighting vehicles</v>
      </c>
      <c r="K403" t="s">
        <v>5050</v>
      </c>
    </row>
    <row r="404" spans="1:11" x14ac:dyDescent="0.3">
      <c r="A404" s="326" t="s">
        <v>1358</v>
      </c>
      <c r="B404" t="s">
        <v>1359</v>
      </c>
      <c r="C404" s="327"/>
      <c r="D404" s="326" t="str">
        <f t="shared" si="10"/>
        <v>NACE C - 30.9 Manufacture of transport equipment n.e.c.</v>
      </c>
      <c r="K404" t="s">
        <v>5051</v>
      </c>
    </row>
    <row r="405" spans="1:11" x14ac:dyDescent="0.3">
      <c r="A405" s="327" t="s">
        <v>1360</v>
      </c>
      <c r="B405" t="s">
        <v>1361</v>
      </c>
      <c r="C405" s="327"/>
      <c r="D405" s="327" t="str">
        <f t="shared" si="10"/>
        <v>NACE C - 30.91 Manufacture of motorcycles</v>
      </c>
      <c r="K405" t="s">
        <v>5052</v>
      </c>
    </row>
    <row r="406" spans="1:11" x14ac:dyDescent="0.3">
      <c r="A406" s="327" t="s">
        <v>1362</v>
      </c>
      <c r="B406" t="s">
        <v>1363</v>
      </c>
      <c r="C406" s="327"/>
      <c r="D406" s="327" t="str">
        <f t="shared" si="10"/>
        <v>NACE C - 30.92 Manufacture of bicycles and invalid carriages</v>
      </c>
      <c r="K406" t="s">
        <v>5053</v>
      </c>
    </row>
    <row r="407" spans="1:11" x14ac:dyDescent="0.3">
      <c r="A407" s="327" t="s">
        <v>1364</v>
      </c>
      <c r="B407" t="s">
        <v>1365</v>
      </c>
      <c r="C407" s="327"/>
      <c r="D407" s="327" t="str">
        <f t="shared" si="10"/>
        <v>NACE C - 30.99 Manufacture of other transport equipment n.e.c.</v>
      </c>
      <c r="K407" t="s">
        <v>5054</v>
      </c>
    </row>
    <row r="408" spans="1:11" x14ac:dyDescent="0.3">
      <c r="A408" s="323" t="s">
        <v>1366</v>
      </c>
      <c r="B408" t="s">
        <v>1367</v>
      </c>
      <c r="C408" s="327"/>
      <c r="D408" s="323" t="str">
        <f t="shared" si="10"/>
        <v>NACE C - 31 Manufacture of furniture</v>
      </c>
      <c r="K408" t="s">
        <v>5055</v>
      </c>
    </row>
    <row r="409" spans="1:11" x14ac:dyDescent="0.3">
      <c r="A409" s="326" t="s">
        <v>1368</v>
      </c>
      <c r="B409" t="s">
        <v>1369</v>
      </c>
      <c r="C409" s="327"/>
      <c r="D409" s="326" t="str">
        <f t="shared" si="10"/>
        <v>NACE C - 31.0 Manufacture of furniture</v>
      </c>
      <c r="K409" t="s">
        <v>5056</v>
      </c>
    </row>
    <row r="410" spans="1:11" x14ac:dyDescent="0.3">
      <c r="A410" s="327" t="s">
        <v>1370</v>
      </c>
      <c r="B410" t="s">
        <v>1371</v>
      </c>
      <c r="C410" s="327"/>
      <c r="D410" s="327" t="str">
        <f t="shared" si="10"/>
        <v>NACE C - 31.00 Manufacture of furniture</v>
      </c>
      <c r="K410" t="s">
        <v>5057</v>
      </c>
    </row>
    <row r="411" spans="1:11" x14ac:dyDescent="0.3">
      <c r="A411" s="323" t="s">
        <v>1372</v>
      </c>
      <c r="B411" t="s">
        <v>1373</v>
      </c>
      <c r="C411" s="327"/>
      <c r="D411" s="323" t="str">
        <f t="shared" si="10"/>
        <v>NACE C - 32 Other manufacturing</v>
      </c>
      <c r="K411" t="s">
        <v>5058</v>
      </c>
    </row>
    <row r="412" spans="1:11" x14ac:dyDescent="0.3">
      <c r="A412" s="326" t="s">
        <v>1374</v>
      </c>
      <c r="B412" t="s">
        <v>1375</v>
      </c>
      <c r="C412" s="327"/>
      <c r="D412" s="326" t="str">
        <f t="shared" si="10"/>
        <v>NACE C - 32.1 Manufacture of jewellery, bijouterie and related articles</v>
      </c>
      <c r="K412" t="s">
        <v>5059</v>
      </c>
    </row>
    <row r="413" spans="1:11" x14ac:dyDescent="0.3">
      <c r="A413" s="327" t="s">
        <v>1376</v>
      </c>
      <c r="B413" t="s">
        <v>1377</v>
      </c>
      <c r="C413" s="327"/>
      <c r="D413" s="327" t="str">
        <f t="shared" si="10"/>
        <v>NACE C - 32.11 Striking of coins</v>
      </c>
      <c r="K413" t="s">
        <v>5060</v>
      </c>
    </row>
    <row r="414" spans="1:11" x14ac:dyDescent="0.3">
      <c r="A414" s="327" t="s">
        <v>1378</v>
      </c>
      <c r="B414" t="s">
        <v>1379</v>
      </c>
      <c r="C414" s="327"/>
      <c r="D414" s="327" t="str">
        <f t="shared" si="10"/>
        <v>NACE C - 32.12 Manufacture of jewellery and related articles</v>
      </c>
      <c r="K414" t="s">
        <v>5061</v>
      </c>
    </row>
    <row r="415" spans="1:11" x14ac:dyDescent="0.3">
      <c r="A415" s="327" t="s">
        <v>1380</v>
      </c>
      <c r="B415" t="s">
        <v>1381</v>
      </c>
      <c r="C415" s="327"/>
      <c r="D415" s="327" t="str">
        <f t="shared" si="10"/>
        <v>NACE C - 32.13 Manufacture of imitation jewellery and related articles</v>
      </c>
      <c r="K415" t="s">
        <v>5062</v>
      </c>
    </row>
    <row r="416" spans="1:11" x14ac:dyDescent="0.3">
      <c r="A416" s="326" t="s">
        <v>1382</v>
      </c>
      <c r="B416" t="s">
        <v>1383</v>
      </c>
      <c r="C416" s="327"/>
      <c r="D416" s="326" t="str">
        <f t="shared" si="10"/>
        <v>NACE C - 32.2 Manufacture of musical instruments</v>
      </c>
      <c r="K416" t="s">
        <v>5063</v>
      </c>
    </row>
    <row r="417" spans="1:11" x14ac:dyDescent="0.3">
      <c r="A417" s="327" t="s">
        <v>1384</v>
      </c>
      <c r="B417" t="s">
        <v>1385</v>
      </c>
      <c r="C417" s="327"/>
      <c r="D417" s="327" t="str">
        <f t="shared" si="10"/>
        <v>NACE C - 32.20 Manufacture of musical instruments</v>
      </c>
      <c r="K417" t="s">
        <v>5064</v>
      </c>
    </row>
    <row r="418" spans="1:11" x14ac:dyDescent="0.3">
      <c r="A418" s="326" t="s">
        <v>1386</v>
      </c>
      <c r="B418" t="s">
        <v>1387</v>
      </c>
      <c r="C418" s="327"/>
      <c r="D418" s="326" t="str">
        <f t="shared" si="10"/>
        <v>NACE C - 32.3 Manufacture of sports goods</v>
      </c>
      <c r="K418" t="s">
        <v>5065</v>
      </c>
    </row>
    <row r="419" spans="1:11" x14ac:dyDescent="0.3">
      <c r="A419" s="327" t="s">
        <v>1388</v>
      </c>
      <c r="B419" t="s">
        <v>1389</v>
      </c>
      <c r="C419" s="327"/>
      <c r="D419" s="327" t="str">
        <f t="shared" si="10"/>
        <v>NACE C - 32.30 Manufacture of sports goods</v>
      </c>
      <c r="K419" t="s">
        <v>5066</v>
      </c>
    </row>
    <row r="420" spans="1:11" x14ac:dyDescent="0.3">
      <c r="A420" s="326" t="s">
        <v>1390</v>
      </c>
      <c r="B420" t="s">
        <v>1391</v>
      </c>
      <c r="C420" s="327"/>
      <c r="D420" s="326" t="str">
        <f t="shared" si="10"/>
        <v>NACE C - 32.4 Manufacture of games and toys</v>
      </c>
      <c r="K420" t="s">
        <v>5067</v>
      </c>
    </row>
    <row r="421" spans="1:11" x14ac:dyDescent="0.3">
      <c r="A421" s="327" t="s">
        <v>1392</v>
      </c>
      <c r="B421" t="s">
        <v>1393</v>
      </c>
      <c r="C421" s="327"/>
      <c r="D421" s="327" t="str">
        <f t="shared" si="10"/>
        <v>NACE C - 32.40 Manufacture of games and toys</v>
      </c>
      <c r="K421" t="s">
        <v>5068</v>
      </c>
    </row>
    <row r="422" spans="1:11" x14ac:dyDescent="0.3">
      <c r="A422" s="326" t="s">
        <v>1394</v>
      </c>
      <c r="B422" t="s">
        <v>1395</v>
      </c>
      <c r="C422" s="327"/>
      <c r="D422" s="326" t="str">
        <f t="shared" si="10"/>
        <v>NACE C - 32.5 Manufacture of medical and dental instruments and supplies</v>
      </c>
      <c r="K422" t="s">
        <v>5069</v>
      </c>
    </row>
    <row r="423" spans="1:11" x14ac:dyDescent="0.3">
      <c r="A423" s="327" t="s">
        <v>1396</v>
      </c>
      <c r="B423" t="s">
        <v>1397</v>
      </c>
      <c r="C423" s="327"/>
      <c r="D423" s="327" t="str">
        <f t="shared" si="10"/>
        <v>NACE C - 32.50 Manufacture of medical and dental instruments and supplies</v>
      </c>
      <c r="K423" t="s">
        <v>5070</v>
      </c>
    </row>
    <row r="424" spans="1:11" x14ac:dyDescent="0.3">
      <c r="A424" s="326" t="s">
        <v>1398</v>
      </c>
      <c r="B424" t="s">
        <v>1399</v>
      </c>
      <c r="C424" s="327"/>
      <c r="D424" s="326" t="str">
        <f t="shared" si="10"/>
        <v>NACE C - 32.9 Manufacturing n.e.c.</v>
      </c>
      <c r="K424" t="s">
        <v>5071</v>
      </c>
    </row>
    <row r="425" spans="1:11" x14ac:dyDescent="0.3">
      <c r="A425" s="327" t="s">
        <v>1400</v>
      </c>
      <c r="B425" t="s">
        <v>1401</v>
      </c>
      <c r="C425" s="327"/>
      <c r="D425" s="327" t="str">
        <f t="shared" si="10"/>
        <v>NACE C - 32.91 Manufacture of brooms and brushes</v>
      </c>
      <c r="K425" t="s">
        <v>5072</v>
      </c>
    </row>
    <row r="426" spans="1:11" x14ac:dyDescent="0.3">
      <c r="A426" s="327" t="s">
        <v>1402</v>
      </c>
      <c r="B426" t="s">
        <v>1403</v>
      </c>
      <c r="C426" s="327"/>
      <c r="D426" s="327" t="str">
        <f t="shared" si="10"/>
        <v>NACE C - 32.99 Other manufacturing n.e.c.</v>
      </c>
      <c r="K426" t="s">
        <v>5073</v>
      </c>
    </row>
    <row r="427" spans="1:11" x14ac:dyDescent="0.3">
      <c r="A427" s="323" t="s">
        <v>1404</v>
      </c>
      <c r="B427" t="s">
        <v>1405</v>
      </c>
      <c r="C427" s="327"/>
      <c r="D427" s="323" t="str">
        <f t="shared" si="10"/>
        <v>NACE C - 33 Repair, maintenance and installation of machinery and equipment</v>
      </c>
      <c r="K427" t="s">
        <v>5074</v>
      </c>
    </row>
    <row r="428" spans="1:11" x14ac:dyDescent="0.3">
      <c r="A428" s="326" t="s">
        <v>1406</v>
      </c>
      <c r="B428" t="s">
        <v>1407</v>
      </c>
      <c r="C428" s="327"/>
      <c r="D428" s="326" t="str">
        <f t="shared" si="10"/>
        <v>NACE C - 33.1 Repair and maintenance of fabricated metal products, machinery and equipment</v>
      </c>
      <c r="K428" t="s">
        <v>5075</v>
      </c>
    </row>
    <row r="429" spans="1:11" x14ac:dyDescent="0.3">
      <c r="A429" s="327" t="s">
        <v>1408</v>
      </c>
      <c r="B429" t="s">
        <v>1409</v>
      </c>
      <c r="C429" s="327"/>
      <c r="D429" s="327" t="str">
        <f t="shared" si="10"/>
        <v>NACE C - 33.11 Repair and maintenance of fabricated metal products</v>
      </c>
      <c r="K429" t="s">
        <v>5076</v>
      </c>
    </row>
    <row r="430" spans="1:11" x14ac:dyDescent="0.3">
      <c r="A430" s="327" t="s">
        <v>1410</v>
      </c>
      <c r="B430" t="s">
        <v>1411</v>
      </c>
      <c r="C430" s="327"/>
      <c r="D430" s="327" t="str">
        <f t="shared" si="10"/>
        <v>NACE C - 33.12 Repair and maintenance of machinery</v>
      </c>
      <c r="K430" t="s">
        <v>5077</v>
      </c>
    </row>
    <row r="431" spans="1:11" x14ac:dyDescent="0.3">
      <c r="A431" s="327" t="s">
        <v>1412</v>
      </c>
      <c r="B431" t="s">
        <v>1413</v>
      </c>
      <c r="C431" s="327"/>
      <c r="D431" s="327" t="str">
        <f t="shared" si="10"/>
        <v>NACE C - 33.13 Repair and maintenance of electronic and optical equipment</v>
      </c>
      <c r="K431" t="s">
        <v>5078</v>
      </c>
    </row>
    <row r="432" spans="1:11" x14ac:dyDescent="0.3">
      <c r="A432" s="327" t="s">
        <v>1414</v>
      </c>
      <c r="B432" t="s">
        <v>1415</v>
      </c>
      <c r="C432" s="327"/>
      <c r="D432" s="327" t="str">
        <f t="shared" si="10"/>
        <v>NACE C - 33.14 Repair and maintenance of electrical equipment</v>
      </c>
      <c r="K432" t="s">
        <v>5079</v>
      </c>
    </row>
    <row r="433" spans="1:11" x14ac:dyDescent="0.3">
      <c r="A433" s="327" t="s">
        <v>1416</v>
      </c>
      <c r="B433" t="s">
        <v>1417</v>
      </c>
      <c r="C433" s="327"/>
      <c r="D433" s="327" t="str">
        <f t="shared" si="10"/>
        <v>NACE C - 33.15 Repair and maintenance of civilian ships and boats</v>
      </c>
      <c r="K433" t="s">
        <v>5080</v>
      </c>
    </row>
    <row r="434" spans="1:11" x14ac:dyDescent="0.3">
      <c r="A434" s="327" t="s">
        <v>1418</v>
      </c>
      <c r="B434" t="s">
        <v>1419</v>
      </c>
      <c r="C434" s="327"/>
      <c r="D434" s="327" t="str">
        <f t="shared" si="10"/>
        <v>NACE C - 33.16 Repair and maintenance of civilian air and spacecraft</v>
      </c>
      <c r="K434" t="s">
        <v>5081</v>
      </c>
    </row>
    <row r="435" spans="1:11" x14ac:dyDescent="0.3">
      <c r="A435" s="327" t="s">
        <v>1420</v>
      </c>
      <c r="B435" t="s">
        <v>1421</v>
      </c>
      <c r="C435" s="327"/>
      <c r="D435" s="327" t="str">
        <f t="shared" si="10"/>
        <v>NACE C - 33.17 Repair and maintenance of other civilian transport equipment</v>
      </c>
      <c r="K435" t="s">
        <v>5082</v>
      </c>
    </row>
    <row r="436" spans="1:11" x14ac:dyDescent="0.3">
      <c r="A436" s="327" t="s">
        <v>1422</v>
      </c>
      <c r="B436" t="s">
        <v>1423</v>
      </c>
      <c r="C436" s="327"/>
      <c r="D436" s="327" t="str">
        <f t="shared" si="10"/>
        <v>NACE C - 33.18 Repair and maintenance of military fighting vehicles, ships, boats, air and spacecraft</v>
      </c>
      <c r="K436" t="s">
        <v>5083</v>
      </c>
    </row>
    <row r="437" spans="1:11" x14ac:dyDescent="0.3">
      <c r="A437" s="327" t="s">
        <v>1424</v>
      </c>
      <c r="B437" t="s">
        <v>1425</v>
      </c>
      <c r="C437" s="327"/>
      <c r="D437" s="327" t="str">
        <f t="shared" si="10"/>
        <v>NACE C - 33.19 Repair and maintenance of other equipment</v>
      </c>
      <c r="K437" t="s">
        <v>5084</v>
      </c>
    </row>
    <row r="438" spans="1:11" x14ac:dyDescent="0.3">
      <c r="A438" s="326" t="s">
        <v>1426</v>
      </c>
      <c r="B438" t="s">
        <v>1427</v>
      </c>
      <c r="C438" s="327"/>
      <c r="D438" s="326" t="str">
        <f t="shared" si="10"/>
        <v>NACE C - 33.2 Installation of industrial machinery and equipment</v>
      </c>
      <c r="K438" t="s">
        <v>5085</v>
      </c>
    </row>
    <row r="439" spans="1:11" x14ac:dyDescent="0.3">
      <c r="A439" s="327" t="s">
        <v>1428</v>
      </c>
      <c r="B439" t="s">
        <v>1429</v>
      </c>
      <c r="C439" s="327"/>
      <c r="D439" s="327" t="str">
        <f t="shared" si="10"/>
        <v>NACE C - 33.20 Installation of industrial machinery and equipment</v>
      </c>
      <c r="K439" t="s">
        <v>5086</v>
      </c>
    </row>
    <row r="440" spans="1:11" x14ac:dyDescent="0.3">
      <c r="A440" s="324" t="s">
        <v>1430</v>
      </c>
      <c r="B440" t="s">
        <v>1431</v>
      </c>
      <c r="C440" s="327"/>
      <c r="D440" s="324" t="str">
        <f t="shared" si="10"/>
        <v>NACE D - ELECTRICITY, GAS, STEAM AND AIR CONDITIONING SUPPLY</v>
      </c>
      <c r="K440" t="s">
        <v>5087</v>
      </c>
    </row>
    <row r="441" spans="1:11" x14ac:dyDescent="0.3">
      <c r="A441" s="323" t="s">
        <v>1432</v>
      </c>
      <c r="B441" t="s">
        <v>1433</v>
      </c>
      <c r="C441" s="327"/>
      <c r="D441" s="323" t="str">
        <f t="shared" si="10"/>
        <v>NACE D - 35 Electricity, gas, steam and air conditioning supply</v>
      </c>
      <c r="K441" t="s">
        <v>5088</v>
      </c>
    </row>
    <row r="442" spans="1:11" x14ac:dyDescent="0.3">
      <c r="A442" s="326" t="s">
        <v>1434</v>
      </c>
      <c r="B442" t="s">
        <v>1435</v>
      </c>
      <c r="C442" s="327"/>
      <c r="D442" s="326" t="str">
        <f t="shared" si="10"/>
        <v>NACE D - 35.1 Electric power generation, transmission and distribution</v>
      </c>
      <c r="K442" t="s">
        <v>5089</v>
      </c>
    </row>
    <row r="443" spans="1:11" x14ac:dyDescent="0.3">
      <c r="A443" s="327" t="s">
        <v>1436</v>
      </c>
      <c r="B443" t="s">
        <v>1437</v>
      </c>
      <c r="C443" s="327"/>
      <c r="D443" s="327" t="str">
        <f t="shared" si="10"/>
        <v>NACE D - 35.11 Production of electricity from non-renewable sources</v>
      </c>
      <c r="K443" t="s">
        <v>5090</v>
      </c>
    </row>
    <row r="444" spans="1:11" x14ac:dyDescent="0.3">
      <c r="A444" s="327" t="s">
        <v>1438</v>
      </c>
      <c r="B444" t="s">
        <v>1439</v>
      </c>
      <c r="C444" s="327"/>
      <c r="D444" s="327" t="str">
        <f t="shared" si="10"/>
        <v>NACE D - 35.12 Production of electricity from renewable sources</v>
      </c>
      <c r="K444" t="s">
        <v>5091</v>
      </c>
    </row>
    <row r="445" spans="1:11" x14ac:dyDescent="0.3">
      <c r="A445" s="327" t="s">
        <v>1440</v>
      </c>
      <c r="B445" t="s">
        <v>1441</v>
      </c>
      <c r="C445" s="327"/>
      <c r="D445" s="327" t="str">
        <f t="shared" si="10"/>
        <v>NACE D - 35.13 Transmission of electricity</v>
      </c>
      <c r="K445" t="s">
        <v>5092</v>
      </c>
    </row>
    <row r="446" spans="1:11" x14ac:dyDescent="0.3">
      <c r="A446" s="327" t="s">
        <v>1442</v>
      </c>
      <c r="B446" t="s">
        <v>1443</v>
      </c>
      <c r="C446" s="327"/>
      <c r="D446" s="327" t="str">
        <f t="shared" si="10"/>
        <v>NACE D - 35.14 Distribution of electricity</v>
      </c>
      <c r="K446" t="s">
        <v>5093</v>
      </c>
    </row>
    <row r="447" spans="1:11" x14ac:dyDescent="0.3">
      <c r="A447" s="327" t="s">
        <v>1444</v>
      </c>
      <c r="B447" t="s">
        <v>1445</v>
      </c>
      <c r="C447" s="327"/>
      <c r="D447" s="327" t="str">
        <f t="shared" si="10"/>
        <v>NACE D - 35.15 Trade of electricity</v>
      </c>
      <c r="K447" t="s">
        <v>5094</v>
      </c>
    </row>
    <row r="448" spans="1:11" x14ac:dyDescent="0.3">
      <c r="A448" s="327" t="s">
        <v>1446</v>
      </c>
      <c r="B448" t="s">
        <v>1447</v>
      </c>
      <c r="C448" s="327"/>
      <c r="D448" s="327" t="str">
        <f t="shared" si="10"/>
        <v>NACE D - 35.16 Storage of electricity</v>
      </c>
      <c r="K448" t="s">
        <v>5095</v>
      </c>
    </row>
    <row r="449" spans="1:11" x14ac:dyDescent="0.3">
      <c r="A449" s="326" t="s">
        <v>1448</v>
      </c>
      <c r="B449" t="s">
        <v>1449</v>
      </c>
      <c r="C449" s="327"/>
      <c r="D449" s="326" t="str">
        <f t="shared" si="10"/>
        <v>NACE D - 35.2 Manufacture of gas, and distribution of gaseous fuels through mains</v>
      </c>
      <c r="K449" t="s">
        <v>5096</v>
      </c>
    </row>
    <row r="450" spans="1:11" x14ac:dyDescent="0.3">
      <c r="A450" s="327" t="s">
        <v>1450</v>
      </c>
      <c r="B450" t="s">
        <v>1451</v>
      </c>
      <c r="C450" s="327"/>
      <c r="D450" s="327" t="str">
        <f t="shared" ref="D450:D513" si="11">_xlfn.CONCAT("NACE ", A450)</f>
        <v>NACE D - 35.21 Manufacture of gas</v>
      </c>
      <c r="K450" t="s">
        <v>5097</v>
      </c>
    </row>
    <row r="451" spans="1:11" x14ac:dyDescent="0.3">
      <c r="A451" s="327" t="s">
        <v>1452</v>
      </c>
      <c r="B451" t="s">
        <v>1453</v>
      </c>
      <c r="C451" s="327"/>
      <c r="D451" s="327" t="str">
        <f t="shared" si="11"/>
        <v>NACE D - 35.22 Distribution of gaseous fuels through mains</v>
      </c>
      <c r="K451" t="s">
        <v>5098</v>
      </c>
    </row>
    <row r="452" spans="1:11" x14ac:dyDescent="0.3">
      <c r="A452" s="327" t="s">
        <v>1454</v>
      </c>
      <c r="B452" t="s">
        <v>1455</v>
      </c>
      <c r="C452" s="327"/>
      <c r="D452" s="327" t="str">
        <f t="shared" si="11"/>
        <v>NACE D - 35.23 Trade of gas through mains</v>
      </c>
      <c r="K452" t="s">
        <v>5099</v>
      </c>
    </row>
    <row r="453" spans="1:11" x14ac:dyDescent="0.3">
      <c r="A453" s="327" t="s">
        <v>1456</v>
      </c>
      <c r="B453" t="s">
        <v>1457</v>
      </c>
      <c r="C453" s="327"/>
      <c r="D453" s="327" t="str">
        <f t="shared" si="11"/>
        <v>NACE D - 35.24 Storage of gas as part of network supply services</v>
      </c>
      <c r="K453" t="s">
        <v>5100</v>
      </c>
    </row>
    <row r="454" spans="1:11" x14ac:dyDescent="0.3">
      <c r="A454" s="326" t="s">
        <v>1458</v>
      </c>
      <c r="B454" t="s">
        <v>1459</v>
      </c>
      <c r="C454" s="327"/>
      <c r="D454" s="326" t="str">
        <f t="shared" si="11"/>
        <v>NACE D - 35.3 Steam and air conditioning supply</v>
      </c>
      <c r="K454" t="s">
        <v>5101</v>
      </c>
    </row>
    <row r="455" spans="1:11" x14ac:dyDescent="0.3">
      <c r="A455" s="327" t="s">
        <v>1460</v>
      </c>
      <c r="B455" t="s">
        <v>1461</v>
      </c>
      <c r="C455" s="327"/>
      <c r="D455" s="327" t="str">
        <f t="shared" si="11"/>
        <v>NACE D - 35.30 Steam and air conditioning supply</v>
      </c>
      <c r="K455" t="s">
        <v>5102</v>
      </c>
    </row>
    <row r="456" spans="1:11" x14ac:dyDescent="0.3">
      <c r="A456" s="326" t="s">
        <v>1462</v>
      </c>
      <c r="B456" t="s">
        <v>1463</v>
      </c>
      <c r="C456" s="327"/>
      <c r="D456" s="326" t="str">
        <f t="shared" si="11"/>
        <v>NACE D - 35.4 Activities of brokers and agents for electric power and natural gas</v>
      </c>
      <c r="K456" t="s">
        <v>5103</v>
      </c>
    </row>
    <row r="457" spans="1:11" x14ac:dyDescent="0.3">
      <c r="A457" s="327" t="s">
        <v>1464</v>
      </c>
      <c r="B457" t="s">
        <v>1465</v>
      </c>
      <c r="C457" s="327"/>
      <c r="D457" s="327" t="str">
        <f t="shared" si="11"/>
        <v>NACE D - 35.40 Activities of brokers and agents for electric power and natural gas</v>
      </c>
      <c r="K457" t="s">
        <v>5104</v>
      </c>
    </row>
    <row r="458" spans="1:11" x14ac:dyDescent="0.3">
      <c r="A458" s="324" t="s">
        <v>1466</v>
      </c>
      <c r="B458" t="s">
        <v>1467</v>
      </c>
      <c r="C458" s="327"/>
      <c r="D458" s="324" t="str">
        <f t="shared" si="11"/>
        <v>NACE E - WATER SUPPLY; SEWERAGE, WASTE MANAGEMENT AND REMEDIATION ACTIVITIES</v>
      </c>
      <c r="K458" t="s">
        <v>5105</v>
      </c>
    </row>
    <row r="459" spans="1:11" x14ac:dyDescent="0.3">
      <c r="A459" s="323" t="s">
        <v>1468</v>
      </c>
      <c r="B459" t="s">
        <v>1469</v>
      </c>
      <c r="C459" s="327"/>
      <c r="D459" s="323" t="str">
        <f t="shared" si="11"/>
        <v>NACE E - 36 Water collection, treatment and supply</v>
      </c>
      <c r="K459" t="s">
        <v>5106</v>
      </c>
    </row>
    <row r="460" spans="1:11" x14ac:dyDescent="0.3">
      <c r="A460" s="326" t="s">
        <v>1470</v>
      </c>
      <c r="B460" t="s">
        <v>1471</v>
      </c>
      <c r="C460" s="327"/>
      <c r="D460" s="326" t="str">
        <f t="shared" si="11"/>
        <v>NACE E - 36.0 Water collection, treatment and supply</v>
      </c>
      <c r="K460" t="s">
        <v>5107</v>
      </c>
    </row>
    <row r="461" spans="1:11" x14ac:dyDescent="0.3">
      <c r="A461" s="327" t="s">
        <v>1472</v>
      </c>
      <c r="B461" t="s">
        <v>1473</v>
      </c>
      <c r="C461" s="327"/>
      <c r="D461" s="327" t="str">
        <f t="shared" si="11"/>
        <v>NACE E - 36.00 Water collection, treatment and supply</v>
      </c>
      <c r="K461" t="s">
        <v>5108</v>
      </c>
    </row>
    <row r="462" spans="1:11" x14ac:dyDescent="0.3">
      <c r="A462" s="323" t="s">
        <v>1474</v>
      </c>
      <c r="B462" t="s">
        <v>1475</v>
      </c>
      <c r="C462" s="327"/>
      <c r="D462" s="323" t="str">
        <f t="shared" si="11"/>
        <v>NACE E - 37 Sewerage</v>
      </c>
      <c r="K462" t="s">
        <v>5109</v>
      </c>
    </row>
    <row r="463" spans="1:11" x14ac:dyDescent="0.3">
      <c r="A463" s="326" t="s">
        <v>1476</v>
      </c>
      <c r="B463" t="s">
        <v>1477</v>
      </c>
      <c r="C463" s="327"/>
      <c r="D463" s="326" t="str">
        <f t="shared" si="11"/>
        <v>NACE E - 37.0 Sewerage</v>
      </c>
      <c r="K463" t="s">
        <v>5110</v>
      </c>
    </row>
    <row r="464" spans="1:11" x14ac:dyDescent="0.3">
      <c r="A464" s="327" t="s">
        <v>1478</v>
      </c>
      <c r="B464" t="s">
        <v>1479</v>
      </c>
      <c r="C464" s="327"/>
      <c r="D464" s="327" t="str">
        <f t="shared" si="11"/>
        <v>NACE E - 37.00 Sewerage</v>
      </c>
      <c r="K464" t="s">
        <v>5111</v>
      </c>
    </row>
    <row r="465" spans="1:11" x14ac:dyDescent="0.3">
      <c r="A465" s="323" t="s">
        <v>1480</v>
      </c>
      <c r="B465" t="s">
        <v>1481</v>
      </c>
      <c r="C465" s="327"/>
      <c r="D465" s="323" t="str">
        <f t="shared" si="11"/>
        <v>NACE E - 38 Waste collection, recovery and disposal activities</v>
      </c>
      <c r="K465" t="s">
        <v>5112</v>
      </c>
    </row>
    <row r="466" spans="1:11" x14ac:dyDescent="0.3">
      <c r="A466" s="326" t="s">
        <v>1482</v>
      </c>
      <c r="B466" t="s">
        <v>1483</v>
      </c>
      <c r="C466" s="327"/>
      <c r="D466" s="326" t="str">
        <f t="shared" si="11"/>
        <v>NACE E - 38.1 Waste collection</v>
      </c>
      <c r="K466" t="s">
        <v>5113</v>
      </c>
    </row>
    <row r="467" spans="1:11" x14ac:dyDescent="0.3">
      <c r="A467" s="327" t="s">
        <v>1484</v>
      </c>
      <c r="B467" t="s">
        <v>1485</v>
      </c>
      <c r="C467" s="327"/>
      <c r="D467" s="327" t="str">
        <f t="shared" si="11"/>
        <v>NACE E - 38.11 Collection of non-hazardous waste</v>
      </c>
      <c r="K467" t="s">
        <v>5114</v>
      </c>
    </row>
    <row r="468" spans="1:11" x14ac:dyDescent="0.3">
      <c r="A468" s="327" t="s">
        <v>1486</v>
      </c>
      <c r="B468" t="s">
        <v>1487</v>
      </c>
      <c r="C468" s="327"/>
      <c r="D468" s="327" t="str">
        <f t="shared" si="11"/>
        <v>NACE E - 38.12 Collection of hazardous waste</v>
      </c>
      <c r="K468" t="s">
        <v>5115</v>
      </c>
    </row>
    <row r="469" spans="1:11" x14ac:dyDescent="0.3">
      <c r="A469" s="326" t="s">
        <v>1488</v>
      </c>
      <c r="B469" t="s">
        <v>1489</v>
      </c>
      <c r="C469" s="327"/>
      <c r="D469" s="326" t="str">
        <f t="shared" si="11"/>
        <v>NACE E - 38.2 Waste recovery</v>
      </c>
      <c r="K469" t="s">
        <v>5116</v>
      </c>
    </row>
    <row r="470" spans="1:11" x14ac:dyDescent="0.3">
      <c r="A470" s="327" t="s">
        <v>1490</v>
      </c>
      <c r="B470" t="s">
        <v>1491</v>
      </c>
      <c r="C470" s="327"/>
      <c r="D470" s="327" t="str">
        <f t="shared" si="11"/>
        <v>NACE E - 38.21 Materials recovery</v>
      </c>
      <c r="K470" t="s">
        <v>5117</v>
      </c>
    </row>
    <row r="471" spans="1:11" x14ac:dyDescent="0.3">
      <c r="A471" s="327" t="s">
        <v>1492</v>
      </c>
      <c r="B471" t="s">
        <v>1493</v>
      </c>
      <c r="C471" s="327"/>
      <c r="D471" s="327" t="str">
        <f t="shared" si="11"/>
        <v>NACE E - 38.22 Energy recovery</v>
      </c>
      <c r="K471" t="s">
        <v>5118</v>
      </c>
    </row>
    <row r="472" spans="1:11" x14ac:dyDescent="0.3">
      <c r="A472" s="327" t="s">
        <v>1494</v>
      </c>
      <c r="B472" t="s">
        <v>1495</v>
      </c>
      <c r="C472" s="327"/>
      <c r="D472" s="327" t="str">
        <f t="shared" si="11"/>
        <v>NACE E - 38.23 Other waste recovery</v>
      </c>
      <c r="K472" t="s">
        <v>5119</v>
      </c>
    </row>
    <row r="473" spans="1:11" x14ac:dyDescent="0.3">
      <c r="A473" s="326" t="s">
        <v>1496</v>
      </c>
      <c r="B473" t="s">
        <v>1497</v>
      </c>
      <c r="C473" s="327"/>
      <c r="D473" s="326" t="str">
        <f t="shared" si="11"/>
        <v>NACE E - 38.3 Waste disposal without recovery</v>
      </c>
      <c r="K473" t="s">
        <v>5120</v>
      </c>
    </row>
    <row r="474" spans="1:11" x14ac:dyDescent="0.3">
      <c r="A474" s="327" t="s">
        <v>1498</v>
      </c>
      <c r="B474" t="s">
        <v>1499</v>
      </c>
      <c r="C474" s="327"/>
      <c r="D474" s="327" t="str">
        <f t="shared" si="11"/>
        <v>NACE E - 38.31 Incineration without energy recovery</v>
      </c>
      <c r="K474" t="s">
        <v>5121</v>
      </c>
    </row>
    <row r="475" spans="1:11" x14ac:dyDescent="0.3">
      <c r="A475" s="327" t="s">
        <v>1500</v>
      </c>
      <c r="B475" t="s">
        <v>1501</v>
      </c>
      <c r="C475" s="327"/>
      <c r="D475" s="327" t="str">
        <f t="shared" si="11"/>
        <v>NACE E - 38.32 Landfilling or permanent storage</v>
      </c>
      <c r="K475" t="s">
        <v>5122</v>
      </c>
    </row>
    <row r="476" spans="1:11" x14ac:dyDescent="0.3">
      <c r="A476" s="327" t="s">
        <v>1502</v>
      </c>
      <c r="B476" t="s">
        <v>1503</v>
      </c>
      <c r="C476" s="327"/>
      <c r="D476" s="327" t="str">
        <f t="shared" si="11"/>
        <v>NACE E - 38.33 Other waste disposal</v>
      </c>
      <c r="K476" t="s">
        <v>5123</v>
      </c>
    </row>
    <row r="477" spans="1:11" x14ac:dyDescent="0.3">
      <c r="A477" s="323" t="s">
        <v>1504</v>
      </c>
      <c r="B477" t="s">
        <v>1505</v>
      </c>
      <c r="C477" s="327"/>
      <c r="D477" s="323" t="str">
        <f t="shared" si="11"/>
        <v>NACE E - 39 Remediation activities and other waste management service activities</v>
      </c>
      <c r="K477" t="s">
        <v>5124</v>
      </c>
    </row>
    <row r="478" spans="1:11" x14ac:dyDescent="0.3">
      <c r="A478" s="326" t="s">
        <v>1506</v>
      </c>
      <c r="B478" t="s">
        <v>1507</v>
      </c>
      <c r="C478" s="327"/>
      <c r="D478" s="326" t="str">
        <f t="shared" si="11"/>
        <v>NACE E - 39.0 Remediation activities and other waste management service activities</v>
      </c>
      <c r="K478" t="s">
        <v>5125</v>
      </c>
    </row>
    <row r="479" spans="1:11" x14ac:dyDescent="0.3">
      <c r="A479" s="327" t="s">
        <v>1508</v>
      </c>
      <c r="B479" t="s">
        <v>1509</v>
      </c>
      <c r="C479" s="327"/>
      <c r="D479" s="327" t="str">
        <f t="shared" si="11"/>
        <v>NACE E - 39.00 Remediation activities and other waste management service activities</v>
      </c>
      <c r="K479" t="s">
        <v>5126</v>
      </c>
    </row>
    <row r="480" spans="1:11" x14ac:dyDescent="0.3">
      <c r="A480" s="324" t="s">
        <v>1510</v>
      </c>
      <c r="B480" t="s">
        <v>1511</v>
      </c>
      <c r="C480" s="327"/>
      <c r="D480" s="324" t="str">
        <f t="shared" si="11"/>
        <v>NACE F - CONSTRUCTION</v>
      </c>
      <c r="K480" t="s">
        <v>5127</v>
      </c>
    </row>
    <row r="481" spans="1:11" x14ac:dyDescent="0.3">
      <c r="A481" s="323" t="s">
        <v>1512</v>
      </c>
      <c r="B481" t="s">
        <v>1513</v>
      </c>
      <c r="C481" s="327"/>
      <c r="D481" s="323" t="str">
        <f t="shared" si="11"/>
        <v>NACE F - 41 Construction of residential and non-residential buildings</v>
      </c>
      <c r="K481" t="s">
        <v>5128</v>
      </c>
    </row>
    <row r="482" spans="1:11" x14ac:dyDescent="0.3">
      <c r="A482" s="326" t="s">
        <v>1514</v>
      </c>
      <c r="B482" t="s">
        <v>1515</v>
      </c>
      <c r="C482" s="327"/>
      <c r="D482" s="326" t="str">
        <f t="shared" si="11"/>
        <v>NACE F - 41.0 Construction of residential and non-residential buildings</v>
      </c>
      <c r="K482" t="s">
        <v>5129</v>
      </c>
    </row>
    <row r="483" spans="1:11" x14ac:dyDescent="0.3">
      <c r="A483" s="327" t="s">
        <v>1516</v>
      </c>
      <c r="B483" t="s">
        <v>1517</v>
      </c>
      <c r="C483" s="327"/>
      <c r="D483" s="327" t="str">
        <f t="shared" si="11"/>
        <v>NACE F - 41.00 Construction of residential and non-residential buildings</v>
      </c>
      <c r="K483" t="s">
        <v>5130</v>
      </c>
    </row>
    <row r="484" spans="1:11" x14ac:dyDescent="0.3">
      <c r="A484" s="323" t="s">
        <v>1518</v>
      </c>
      <c r="B484" t="s">
        <v>1519</v>
      </c>
      <c r="C484" s="327"/>
      <c r="D484" s="323" t="str">
        <f t="shared" si="11"/>
        <v>NACE F - 42 Civil engineering</v>
      </c>
      <c r="K484" t="s">
        <v>5131</v>
      </c>
    </row>
    <row r="485" spans="1:11" x14ac:dyDescent="0.3">
      <c r="A485" s="326" t="s">
        <v>1520</v>
      </c>
      <c r="B485" t="s">
        <v>1521</v>
      </c>
      <c r="C485" s="327"/>
      <c r="D485" s="326" t="str">
        <f t="shared" si="11"/>
        <v>NACE F - 42.1 Construction of roads and railways</v>
      </c>
      <c r="K485" t="s">
        <v>5132</v>
      </c>
    </row>
    <row r="486" spans="1:11" x14ac:dyDescent="0.3">
      <c r="A486" s="327" t="s">
        <v>1522</v>
      </c>
      <c r="B486" t="s">
        <v>1523</v>
      </c>
      <c r="C486" s="327"/>
      <c r="D486" s="327" t="str">
        <f t="shared" si="11"/>
        <v>NACE F - 42.11 Construction of roads and motorways</v>
      </c>
      <c r="K486" t="s">
        <v>5133</v>
      </c>
    </row>
    <row r="487" spans="1:11" x14ac:dyDescent="0.3">
      <c r="A487" s="327" t="s">
        <v>1524</v>
      </c>
      <c r="B487" t="s">
        <v>1525</v>
      </c>
      <c r="C487" s="327"/>
      <c r="D487" s="327" t="str">
        <f t="shared" si="11"/>
        <v>NACE F - 42.12 Construction of railways and underground railways</v>
      </c>
      <c r="K487" t="s">
        <v>5134</v>
      </c>
    </row>
    <row r="488" spans="1:11" x14ac:dyDescent="0.3">
      <c r="A488" s="327" t="s">
        <v>1526</v>
      </c>
      <c r="B488" t="s">
        <v>1527</v>
      </c>
      <c r="C488" s="327"/>
      <c r="D488" s="327" t="str">
        <f t="shared" si="11"/>
        <v>NACE F - 42.13 Construction of bridges and tunnels</v>
      </c>
      <c r="K488" t="s">
        <v>5135</v>
      </c>
    </row>
    <row r="489" spans="1:11" x14ac:dyDescent="0.3">
      <c r="A489" s="326" t="s">
        <v>1528</v>
      </c>
      <c r="B489" t="s">
        <v>1529</v>
      </c>
      <c r="C489" s="327"/>
      <c r="D489" s="326" t="str">
        <f t="shared" si="11"/>
        <v>NACE F - 42.2 Construction of utility projects</v>
      </c>
      <c r="K489" t="s">
        <v>5136</v>
      </c>
    </row>
    <row r="490" spans="1:11" x14ac:dyDescent="0.3">
      <c r="A490" s="327" t="s">
        <v>1530</v>
      </c>
      <c r="B490" t="s">
        <v>1531</v>
      </c>
      <c r="C490" s="327"/>
      <c r="D490" s="327" t="str">
        <f t="shared" si="11"/>
        <v>NACE F - 42.21 Construction of utility projects for fluids</v>
      </c>
      <c r="K490" t="s">
        <v>5137</v>
      </c>
    </row>
    <row r="491" spans="1:11" x14ac:dyDescent="0.3">
      <c r="A491" s="327" t="s">
        <v>1532</v>
      </c>
      <c r="B491" t="s">
        <v>1533</v>
      </c>
      <c r="C491" s="327"/>
      <c r="D491" s="327" t="str">
        <f t="shared" si="11"/>
        <v>NACE F - 42.22 Construction of utility projects for electricity and telecommunications</v>
      </c>
      <c r="K491" t="s">
        <v>5138</v>
      </c>
    </row>
    <row r="492" spans="1:11" x14ac:dyDescent="0.3">
      <c r="A492" s="326" t="s">
        <v>1534</v>
      </c>
      <c r="B492" t="s">
        <v>1535</v>
      </c>
      <c r="C492" s="327"/>
      <c r="D492" s="326" t="str">
        <f t="shared" si="11"/>
        <v>NACE F - 42.9 Construction of other civil engineering projects</v>
      </c>
      <c r="K492" t="s">
        <v>5139</v>
      </c>
    </row>
    <row r="493" spans="1:11" x14ac:dyDescent="0.3">
      <c r="A493" s="327" t="s">
        <v>1536</v>
      </c>
      <c r="B493" t="s">
        <v>1537</v>
      </c>
      <c r="C493" s="327"/>
      <c r="D493" s="327" t="str">
        <f t="shared" si="11"/>
        <v>NACE F - 42.91 Construction of water projects</v>
      </c>
      <c r="K493" t="s">
        <v>5140</v>
      </c>
    </row>
    <row r="494" spans="1:11" x14ac:dyDescent="0.3">
      <c r="A494" s="327" t="s">
        <v>1538</v>
      </c>
      <c r="B494" t="s">
        <v>1539</v>
      </c>
      <c r="C494" s="327"/>
      <c r="D494" s="327" t="str">
        <f t="shared" si="11"/>
        <v>NACE F - 42.99 Construction of other civil engineering projects n.e.c.</v>
      </c>
      <c r="K494" t="s">
        <v>5141</v>
      </c>
    </row>
    <row r="495" spans="1:11" x14ac:dyDescent="0.3">
      <c r="A495" s="323" t="s">
        <v>1540</v>
      </c>
      <c r="B495" t="s">
        <v>1541</v>
      </c>
      <c r="C495" s="327"/>
      <c r="D495" s="323" t="str">
        <f t="shared" si="11"/>
        <v>NACE F - 43 Specialised construction activities</v>
      </c>
      <c r="K495" t="s">
        <v>5142</v>
      </c>
    </row>
    <row r="496" spans="1:11" x14ac:dyDescent="0.3">
      <c r="A496" s="326" t="s">
        <v>1542</v>
      </c>
      <c r="B496" t="s">
        <v>1543</v>
      </c>
      <c r="C496" s="327"/>
      <c r="D496" s="326" t="str">
        <f t="shared" si="11"/>
        <v>NACE F - 43.1 Demolition and site preparation</v>
      </c>
      <c r="K496" t="s">
        <v>5143</v>
      </c>
    </row>
    <row r="497" spans="1:11" x14ac:dyDescent="0.3">
      <c r="A497" s="327" t="s">
        <v>1544</v>
      </c>
      <c r="B497" t="s">
        <v>1545</v>
      </c>
      <c r="C497" s="327"/>
      <c r="D497" s="327" t="str">
        <f t="shared" si="11"/>
        <v>NACE F - 43.11 Demolition</v>
      </c>
      <c r="K497" t="s">
        <v>5144</v>
      </c>
    </row>
    <row r="498" spans="1:11" x14ac:dyDescent="0.3">
      <c r="A498" s="327" t="s">
        <v>1546</v>
      </c>
      <c r="B498" t="s">
        <v>1547</v>
      </c>
      <c r="C498" s="327"/>
      <c r="D498" s="327" t="str">
        <f t="shared" si="11"/>
        <v>NACE F - 43.12 Site preparation</v>
      </c>
      <c r="K498" t="s">
        <v>5145</v>
      </c>
    </row>
    <row r="499" spans="1:11" x14ac:dyDescent="0.3">
      <c r="A499" s="327" t="s">
        <v>1548</v>
      </c>
      <c r="B499" t="s">
        <v>1549</v>
      </c>
      <c r="C499" s="327"/>
      <c r="D499" s="327" t="str">
        <f t="shared" si="11"/>
        <v>NACE F - 43.13 Test drilling and boring</v>
      </c>
      <c r="K499" t="s">
        <v>5146</v>
      </c>
    </row>
    <row r="500" spans="1:11" x14ac:dyDescent="0.3">
      <c r="A500" s="326" t="s">
        <v>1550</v>
      </c>
      <c r="B500" t="s">
        <v>1551</v>
      </c>
      <c r="C500" s="327"/>
      <c r="D500" s="326" t="str">
        <f t="shared" si="11"/>
        <v>NACE F - 43.2 Electrical, plumbing and other construction installation activities</v>
      </c>
      <c r="K500" t="s">
        <v>5147</v>
      </c>
    </row>
    <row r="501" spans="1:11" x14ac:dyDescent="0.3">
      <c r="A501" s="327" t="s">
        <v>1552</v>
      </c>
      <c r="B501" t="s">
        <v>1553</v>
      </c>
      <c r="C501" s="327"/>
      <c r="D501" s="327" t="str">
        <f t="shared" si="11"/>
        <v>NACE F - 43.21 Electrical installation</v>
      </c>
      <c r="K501" t="s">
        <v>5148</v>
      </c>
    </row>
    <row r="502" spans="1:11" x14ac:dyDescent="0.3">
      <c r="A502" s="327" t="s">
        <v>1554</v>
      </c>
      <c r="B502" t="s">
        <v>1555</v>
      </c>
      <c r="C502" s="327"/>
      <c r="D502" s="327" t="str">
        <f t="shared" si="11"/>
        <v>NACE F - 43.22 Plumbing, heat and air-conditioning installation</v>
      </c>
      <c r="K502" t="s">
        <v>5149</v>
      </c>
    </row>
    <row r="503" spans="1:11" x14ac:dyDescent="0.3">
      <c r="A503" s="327" t="s">
        <v>1556</v>
      </c>
      <c r="B503" t="s">
        <v>1557</v>
      </c>
      <c r="C503" s="327"/>
      <c r="D503" s="327" t="str">
        <f t="shared" si="11"/>
        <v>NACE F - 43.23 Installation of insulation</v>
      </c>
      <c r="K503" t="s">
        <v>5150</v>
      </c>
    </row>
    <row r="504" spans="1:11" x14ac:dyDescent="0.3">
      <c r="A504" s="327" t="s">
        <v>1558</v>
      </c>
      <c r="B504" t="s">
        <v>1559</v>
      </c>
      <c r="C504" s="327"/>
      <c r="D504" s="327" t="str">
        <f t="shared" si="11"/>
        <v>NACE F - 43.24 Other construction installation</v>
      </c>
      <c r="K504" t="s">
        <v>5151</v>
      </c>
    </row>
    <row r="505" spans="1:11" x14ac:dyDescent="0.3">
      <c r="A505" s="326" t="s">
        <v>1560</v>
      </c>
      <c r="B505" t="s">
        <v>1561</v>
      </c>
      <c r="C505" s="327"/>
      <c r="D505" s="326" t="str">
        <f t="shared" si="11"/>
        <v>NACE F - 43.3 Building completion and finishing</v>
      </c>
      <c r="K505" t="s">
        <v>5152</v>
      </c>
    </row>
    <row r="506" spans="1:11" x14ac:dyDescent="0.3">
      <c r="A506" s="327" t="s">
        <v>1562</v>
      </c>
      <c r="B506" t="s">
        <v>1563</v>
      </c>
      <c r="C506" s="327"/>
      <c r="D506" s="327" t="str">
        <f t="shared" si="11"/>
        <v>NACE F - 43.31 Plastering</v>
      </c>
      <c r="K506" t="s">
        <v>5153</v>
      </c>
    </row>
    <row r="507" spans="1:11" x14ac:dyDescent="0.3">
      <c r="A507" s="327" t="s">
        <v>1564</v>
      </c>
      <c r="B507" t="s">
        <v>1565</v>
      </c>
      <c r="C507" s="327"/>
      <c r="D507" s="327" t="str">
        <f t="shared" si="11"/>
        <v>NACE F - 43.32 Joinery installation</v>
      </c>
      <c r="K507" t="s">
        <v>5154</v>
      </c>
    </row>
    <row r="508" spans="1:11" x14ac:dyDescent="0.3">
      <c r="A508" s="327" t="s">
        <v>1566</v>
      </c>
      <c r="B508" t="s">
        <v>1567</v>
      </c>
      <c r="C508" s="327"/>
      <c r="D508" s="327" t="str">
        <f t="shared" si="11"/>
        <v>NACE F - 43.33 Floor and wall covering</v>
      </c>
      <c r="K508" t="s">
        <v>5155</v>
      </c>
    </row>
    <row r="509" spans="1:11" x14ac:dyDescent="0.3">
      <c r="A509" s="327" t="s">
        <v>1568</v>
      </c>
      <c r="B509" t="s">
        <v>1569</v>
      </c>
      <c r="C509" s="327"/>
      <c r="D509" s="327" t="str">
        <f t="shared" si="11"/>
        <v>NACE F - 43.34 Painting and glazing</v>
      </c>
      <c r="K509" t="s">
        <v>5156</v>
      </c>
    </row>
    <row r="510" spans="1:11" x14ac:dyDescent="0.3">
      <c r="A510" s="327" t="s">
        <v>1570</v>
      </c>
      <c r="B510" t="s">
        <v>1571</v>
      </c>
      <c r="C510" s="327"/>
      <c r="D510" s="327" t="str">
        <f t="shared" si="11"/>
        <v>NACE F - 43.35 Other building completion and finishing</v>
      </c>
      <c r="K510" t="s">
        <v>5157</v>
      </c>
    </row>
    <row r="511" spans="1:11" x14ac:dyDescent="0.3">
      <c r="A511" s="326" t="s">
        <v>1572</v>
      </c>
      <c r="B511" t="s">
        <v>1573</v>
      </c>
      <c r="C511" s="327"/>
      <c r="D511" s="326" t="str">
        <f t="shared" si="11"/>
        <v>NACE F - 43.4 Specialised construction activities in construction of buildings</v>
      </c>
      <c r="K511" t="s">
        <v>5158</v>
      </c>
    </row>
    <row r="512" spans="1:11" x14ac:dyDescent="0.3">
      <c r="A512" s="327" t="s">
        <v>1574</v>
      </c>
      <c r="B512" t="s">
        <v>1575</v>
      </c>
      <c r="C512" s="327"/>
      <c r="D512" s="327" t="str">
        <f t="shared" si="11"/>
        <v>NACE F - 43.41 Roofing activities</v>
      </c>
      <c r="K512" t="s">
        <v>5159</v>
      </c>
    </row>
    <row r="513" spans="1:11" x14ac:dyDescent="0.3">
      <c r="A513" s="327" t="s">
        <v>1576</v>
      </c>
      <c r="B513" t="s">
        <v>1577</v>
      </c>
      <c r="C513" s="327"/>
      <c r="D513" s="327" t="str">
        <f t="shared" si="11"/>
        <v>NACE F - 43.42 Other specialised construction activities in construction of buildings</v>
      </c>
      <c r="K513" t="s">
        <v>5160</v>
      </c>
    </row>
    <row r="514" spans="1:11" x14ac:dyDescent="0.3">
      <c r="A514" s="326" t="s">
        <v>1578</v>
      </c>
      <c r="B514" t="s">
        <v>1579</v>
      </c>
      <c r="C514" s="327"/>
      <c r="D514" s="326" t="str">
        <f t="shared" ref="D514:D577" si="12">_xlfn.CONCAT("NACE ", A514)</f>
        <v>NACE F - 43.5 Specialised construction activities in civil engineering</v>
      </c>
      <c r="K514" t="s">
        <v>5161</v>
      </c>
    </row>
    <row r="515" spans="1:11" x14ac:dyDescent="0.3">
      <c r="A515" s="327" t="s">
        <v>1580</v>
      </c>
      <c r="B515" t="s">
        <v>1581</v>
      </c>
      <c r="C515" s="327"/>
      <c r="D515" s="327" t="str">
        <f t="shared" si="12"/>
        <v>NACE F - 43.50 Specialised construction activities in civil engineering</v>
      </c>
      <c r="K515" t="s">
        <v>5162</v>
      </c>
    </row>
    <row r="516" spans="1:11" x14ac:dyDescent="0.3">
      <c r="A516" s="326" t="s">
        <v>1582</v>
      </c>
      <c r="B516" t="s">
        <v>1583</v>
      </c>
      <c r="C516" s="327"/>
      <c r="D516" s="326" t="str">
        <f t="shared" si="12"/>
        <v>NACE F - 43.6 Intermediation service activities for specialised construction services</v>
      </c>
      <c r="K516" t="s">
        <v>5163</v>
      </c>
    </row>
    <row r="517" spans="1:11" x14ac:dyDescent="0.3">
      <c r="A517" s="327" t="s">
        <v>1584</v>
      </c>
      <c r="B517" t="s">
        <v>1585</v>
      </c>
      <c r="C517" s="327"/>
      <c r="D517" s="327" t="str">
        <f t="shared" si="12"/>
        <v>NACE F - 43.60 Intermediation service activities for specialised construction services</v>
      </c>
      <c r="K517" t="s">
        <v>5164</v>
      </c>
    </row>
    <row r="518" spans="1:11" x14ac:dyDescent="0.3">
      <c r="A518" s="326" t="s">
        <v>1586</v>
      </c>
      <c r="B518" t="s">
        <v>1587</v>
      </c>
      <c r="C518" s="327"/>
      <c r="D518" s="326" t="str">
        <f t="shared" si="12"/>
        <v>NACE F - 43.9 Other specialised construction activities</v>
      </c>
      <c r="K518" t="s">
        <v>5165</v>
      </c>
    </row>
    <row r="519" spans="1:11" x14ac:dyDescent="0.3">
      <c r="A519" s="327" t="s">
        <v>1588</v>
      </c>
      <c r="B519" t="s">
        <v>1589</v>
      </c>
      <c r="C519" s="327"/>
      <c r="D519" s="327" t="str">
        <f t="shared" si="12"/>
        <v>NACE F - 43.91 Masonry and bricklaying activities</v>
      </c>
      <c r="K519" t="s">
        <v>5166</v>
      </c>
    </row>
    <row r="520" spans="1:11" x14ac:dyDescent="0.3">
      <c r="A520" s="327" t="s">
        <v>1590</v>
      </c>
      <c r="B520" t="s">
        <v>1591</v>
      </c>
      <c r="C520" s="327"/>
      <c r="D520" s="327" t="str">
        <f t="shared" si="12"/>
        <v>NACE F - 43.99 Other specialised construction activities n.e.c.</v>
      </c>
      <c r="K520" t="s">
        <v>5167</v>
      </c>
    </row>
    <row r="521" spans="1:11" x14ac:dyDescent="0.3">
      <c r="A521" s="324" t="s">
        <v>1592</v>
      </c>
      <c r="B521" t="s">
        <v>1593</v>
      </c>
      <c r="C521" s="327"/>
      <c r="D521" s="324" t="str">
        <f t="shared" si="12"/>
        <v>NACE G - WHOLESALE AND RETAIL TRADE</v>
      </c>
      <c r="K521" t="s">
        <v>5168</v>
      </c>
    </row>
    <row r="522" spans="1:11" x14ac:dyDescent="0.3">
      <c r="A522" s="323" t="s">
        <v>1594</v>
      </c>
      <c r="B522" t="s">
        <v>1595</v>
      </c>
      <c r="C522" s="327"/>
      <c r="D522" s="323" t="str">
        <f t="shared" si="12"/>
        <v>NACE G - 46 Wholesale trade</v>
      </c>
      <c r="K522" t="s">
        <v>5169</v>
      </c>
    </row>
    <row r="523" spans="1:11" x14ac:dyDescent="0.3">
      <c r="A523" s="326" t="s">
        <v>1596</v>
      </c>
      <c r="B523" t="s">
        <v>1597</v>
      </c>
      <c r="C523" s="327"/>
      <c r="D523" s="326" t="str">
        <f t="shared" si="12"/>
        <v>NACE G - 46.1 Wholesale on a fee or contract basis</v>
      </c>
      <c r="K523" t="s">
        <v>5170</v>
      </c>
    </row>
    <row r="524" spans="1:11" x14ac:dyDescent="0.3">
      <c r="A524" s="327" t="s">
        <v>1598</v>
      </c>
      <c r="B524" t="s">
        <v>1599</v>
      </c>
      <c r="C524" s="327"/>
      <c r="D524" s="327" t="str">
        <f t="shared" si="12"/>
        <v>NACE G - 46.11 Activities of agents involved in the wholesale of agricultural raw materials, live animals, textile raw materials and semi-finished goods</v>
      </c>
      <c r="K524" t="s">
        <v>5171</v>
      </c>
    </row>
    <row r="525" spans="1:11" x14ac:dyDescent="0.3">
      <c r="A525" s="327" t="s">
        <v>1600</v>
      </c>
      <c r="B525" t="s">
        <v>1601</v>
      </c>
      <c r="C525" s="327"/>
      <c r="D525" s="327" t="str">
        <f t="shared" si="12"/>
        <v>NACE G - 46.12 Activities of agents involved in the wholesale of fuels, ores, metals and industrial chemicals</v>
      </c>
      <c r="K525" t="s">
        <v>5172</v>
      </c>
    </row>
    <row r="526" spans="1:11" x14ac:dyDescent="0.3">
      <c r="A526" s="327" t="s">
        <v>1602</v>
      </c>
      <c r="B526" t="s">
        <v>1603</v>
      </c>
      <c r="C526" s="327"/>
      <c r="D526" s="327" t="str">
        <f t="shared" si="12"/>
        <v>NACE G - 46.13 Activities of agents involved in the wholesale of timber and building materials</v>
      </c>
      <c r="K526" t="s">
        <v>5173</v>
      </c>
    </row>
    <row r="527" spans="1:11" x14ac:dyDescent="0.3">
      <c r="A527" s="327" t="s">
        <v>1604</v>
      </c>
      <c r="B527" t="s">
        <v>1605</v>
      </c>
      <c r="C527" s="327"/>
      <c r="D527" s="327" t="str">
        <f t="shared" si="12"/>
        <v>NACE G - 46.14 Activities of agents involved in the wholesale of machinery, industrial equipment, ships and aircraft</v>
      </c>
      <c r="K527" t="s">
        <v>5174</v>
      </c>
    </row>
    <row r="528" spans="1:11" x14ac:dyDescent="0.3">
      <c r="A528" s="327" t="s">
        <v>1606</v>
      </c>
      <c r="B528" t="s">
        <v>1607</v>
      </c>
      <c r="C528" s="327"/>
      <c r="D528" s="327" t="str">
        <f t="shared" si="12"/>
        <v>NACE G - 46.15 Activities of agents involved in the wholesale of furniture, household goods, hardware and ironmongery</v>
      </c>
      <c r="K528" t="s">
        <v>5175</v>
      </c>
    </row>
    <row r="529" spans="1:11" x14ac:dyDescent="0.3">
      <c r="A529" s="327" t="s">
        <v>1608</v>
      </c>
      <c r="B529" t="s">
        <v>1609</v>
      </c>
      <c r="C529" s="327"/>
      <c r="D529" s="327" t="str">
        <f t="shared" si="12"/>
        <v>NACE G - 46.16 Activities of agents involved in the wholesale of textiles, clothing, fur, footwear and leather goods</v>
      </c>
      <c r="K529" t="s">
        <v>5176</v>
      </c>
    </row>
    <row r="530" spans="1:11" x14ac:dyDescent="0.3">
      <c r="A530" s="327" t="s">
        <v>1610</v>
      </c>
      <c r="B530" t="s">
        <v>1611</v>
      </c>
      <c r="C530" s="327"/>
      <c r="D530" s="327" t="str">
        <f t="shared" si="12"/>
        <v>NACE G - 46.17 Activities of agents involved in the wholesale of food, beverages and tobacco</v>
      </c>
      <c r="K530" t="s">
        <v>5177</v>
      </c>
    </row>
    <row r="531" spans="1:11" x14ac:dyDescent="0.3">
      <c r="A531" s="327" t="s">
        <v>1612</v>
      </c>
      <c r="B531" t="s">
        <v>1613</v>
      </c>
      <c r="C531" s="327"/>
      <c r="D531" s="327" t="str">
        <f t="shared" si="12"/>
        <v>NACE G - 46.18 Activities of agents involved in the wholesale of other particular products</v>
      </c>
      <c r="K531" t="s">
        <v>5178</v>
      </c>
    </row>
    <row r="532" spans="1:11" x14ac:dyDescent="0.3">
      <c r="A532" s="327" t="s">
        <v>1614</v>
      </c>
      <c r="B532" t="s">
        <v>1615</v>
      </c>
      <c r="C532" s="327"/>
      <c r="D532" s="327" t="str">
        <f t="shared" si="12"/>
        <v>NACE G - 46.19 Activities of agents involved in non-specialised wholesale</v>
      </c>
      <c r="K532" t="s">
        <v>5179</v>
      </c>
    </row>
    <row r="533" spans="1:11" x14ac:dyDescent="0.3">
      <c r="A533" s="326" t="s">
        <v>1616</v>
      </c>
      <c r="B533" t="s">
        <v>1617</v>
      </c>
      <c r="C533" s="327"/>
      <c r="D533" s="326" t="str">
        <f t="shared" si="12"/>
        <v>NACE G - 46.2 Wholesale of agricultural raw materials and live animals</v>
      </c>
      <c r="K533" t="s">
        <v>5180</v>
      </c>
    </row>
    <row r="534" spans="1:11" x14ac:dyDescent="0.3">
      <c r="A534" s="327" t="s">
        <v>1618</v>
      </c>
      <c r="B534" t="s">
        <v>1619</v>
      </c>
      <c r="C534" s="327"/>
      <c r="D534" s="327" t="str">
        <f t="shared" si="12"/>
        <v>NACE G - 46.21 Wholesale of grain, unmanufactured tobacco, seeds and animal feeds</v>
      </c>
      <c r="K534" t="s">
        <v>5181</v>
      </c>
    </row>
    <row r="535" spans="1:11" x14ac:dyDescent="0.3">
      <c r="A535" s="327" t="s">
        <v>1620</v>
      </c>
      <c r="B535" t="s">
        <v>1621</v>
      </c>
      <c r="C535" s="327"/>
      <c r="D535" s="327" t="str">
        <f t="shared" si="12"/>
        <v>NACE G - 46.22 Wholesale of flowers and plants</v>
      </c>
      <c r="K535" t="s">
        <v>5182</v>
      </c>
    </row>
    <row r="536" spans="1:11" x14ac:dyDescent="0.3">
      <c r="A536" s="327" t="s">
        <v>1622</v>
      </c>
      <c r="B536" t="s">
        <v>1623</v>
      </c>
      <c r="C536" s="327"/>
      <c r="D536" s="327" t="str">
        <f t="shared" si="12"/>
        <v>NACE G - 46.23 Wholesale of live animals</v>
      </c>
      <c r="K536" t="s">
        <v>5183</v>
      </c>
    </row>
    <row r="537" spans="1:11" x14ac:dyDescent="0.3">
      <c r="A537" s="327" t="s">
        <v>1624</v>
      </c>
      <c r="B537" t="s">
        <v>1625</v>
      </c>
      <c r="C537" s="327"/>
      <c r="D537" s="327" t="str">
        <f t="shared" si="12"/>
        <v>NACE G - 46.24 Wholesale of hides, skins and leather</v>
      </c>
      <c r="K537" t="s">
        <v>5184</v>
      </c>
    </row>
    <row r="538" spans="1:11" x14ac:dyDescent="0.3">
      <c r="A538" s="326" t="s">
        <v>1626</v>
      </c>
      <c r="B538" t="s">
        <v>1627</v>
      </c>
      <c r="C538" s="327"/>
      <c r="D538" s="326" t="str">
        <f t="shared" si="12"/>
        <v>NACE G - 46.3 Wholesale of food, beverages and tobacco</v>
      </c>
      <c r="K538" t="s">
        <v>5185</v>
      </c>
    </row>
    <row r="539" spans="1:11" x14ac:dyDescent="0.3">
      <c r="A539" s="327" t="s">
        <v>1628</v>
      </c>
      <c r="B539" t="s">
        <v>1629</v>
      </c>
      <c r="C539" s="327"/>
      <c r="D539" s="327" t="str">
        <f t="shared" si="12"/>
        <v>NACE G - 46.31 Wholesale of fruit and vegetables</v>
      </c>
      <c r="K539" t="s">
        <v>5186</v>
      </c>
    </row>
    <row r="540" spans="1:11" x14ac:dyDescent="0.3">
      <c r="A540" s="327" t="s">
        <v>1630</v>
      </c>
      <c r="B540" t="s">
        <v>1631</v>
      </c>
      <c r="C540" s="327"/>
      <c r="D540" s="327" t="str">
        <f t="shared" si="12"/>
        <v>NACE G - 46.32 Wholesale of meat, meat products, fish and fish products</v>
      </c>
      <c r="K540" t="s">
        <v>5187</v>
      </c>
    </row>
    <row r="541" spans="1:11" x14ac:dyDescent="0.3">
      <c r="A541" s="327" t="s">
        <v>1632</v>
      </c>
      <c r="B541" t="s">
        <v>1633</v>
      </c>
      <c r="C541" s="327"/>
      <c r="D541" s="327" t="str">
        <f t="shared" si="12"/>
        <v>NACE G - 46.33 Wholesale of dairy products, eggs and edible oils and fats</v>
      </c>
      <c r="K541" t="s">
        <v>5188</v>
      </c>
    </row>
    <row r="542" spans="1:11" x14ac:dyDescent="0.3">
      <c r="A542" s="327" t="s">
        <v>1634</v>
      </c>
      <c r="B542" t="s">
        <v>1635</v>
      </c>
      <c r="C542" s="327"/>
      <c r="D542" s="327" t="str">
        <f t="shared" si="12"/>
        <v>NACE G - 46.34 Wholesale of beverages</v>
      </c>
      <c r="K542" t="s">
        <v>5189</v>
      </c>
    </row>
    <row r="543" spans="1:11" x14ac:dyDescent="0.3">
      <c r="A543" s="327" t="s">
        <v>1636</v>
      </c>
      <c r="B543" t="s">
        <v>1637</v>
      </c>
      <c r="C543" s="327"/>
      <c r="D543" s="327" t="str">
        <f t="shared" si="12"/>
        <v>NACE G - 46.35 Wholesale of tobacco products</v>
      </c>
      <c r="K543" t="s">
        <v>5190</v>
      </c>
    </row>
    <row r="544" spans="1:11" x14ac:dyDescent="0.3">
      <c r="A544" s="327" t="s">
        <v>1638</v>
      </c>
      <c r="B544" t="s">
        <v>1639</v>
      </c>
      <c r="C544" s="327"/>
      <c r="D544" s="327" t="str">
        <f t="shared" si="12"/>
        <v>NACE G - 46.36 Wholesale of sugar, chocolate and sugar confectionery</v>
      </c>
      <c r="K544" t="s">
        <v>5191</v>
      </c>
    </row>
    <row r="545" spans="1:11" x14ac:dyDescent="0.3">
      <c r="A545" s="327" t="s">
        <v>1640</v>
      </c>
      <c r="B545" t="s">
        <v>1641</v>
      </c>
      <c r="C545" s="327"/>
      <c r="D545" s="327" t="str">
        <f t="shared" si="12"/>
        <v>NACE G - 46.37 Wholesale of coffee, tea, cocoa and spices</v>
      </c>
      <c r="K545" t="s">
        <v>5192</v>
      </c>
    </row>
    <row r="546" spans="1:11" x14ac:dyDescent="0.3">
      <c r="A546" s="327" t="s">
        <v>1642</v>
      </c>
      <c r="B546" t="s">
        <v>1643</v>
      </c>
      <c r="C546" s="327"/>
      <c r="D546" s="327" t="str">
        <f t="shared" si="12"/>
        <v>NACE G - 46.38 Wholesale of other food</v>
      </c>
      <c r="K546" t="s">
        <v>4648</v>
      </c>
    </row>
    <row r="547" spans="1:11" x14ac:dyDescent="0.3">
      <c r="A547" s="327" t="s">
        <v>1644</v>
      </c>
      <c r="B547" t="s">
        <v>1645</v>
      </c>
      <c r="C547" s="327"/>
      <c r="D547" s="327" t="str">
        <f t="shared" si="12"/>
        <v>NACE G - 46.39 Non-specialised wholesale of food, beverages and tobacco</v>
      </c>
      <c r="K547" t="s">
        <v>5193</v>
      </c>
    </row>
    <row r="548" spans="1:11" x14ac:dyDescent="0.3">
      <c r="A548" s="326" t="s">
        <v>1646</v>
      </c>
      <c r="B548" t="s">
        <v>1647</v>
      </c>
      <c r="C548" s="327"/>
      <c r="D548" s="326" t="str">
        <f t="shared" si="12"/>
        <v>NACE G - 46.4 Wholesale of household goods</v>
      </c>
      <c r="K548" t="s">
        <v>5194</v>
      </c>
    </row>
    <row r="549" spans="1:11" x14ac:dyDescent="0.3">
      <c r="A549" s="327" t="s">
        <v>1648</v>
      </c>
      <c r="B549" t="s">
        <v>1649</v>
      </c>
      <c r="C549" s="327"/>
      <c r="D549" s="327" t="str">
        <f t="shared" si="12"/>
        <v>NACE G - 46.41 Wholesale of textiles</v>
      </c>
      <c r="K549" t="s">
        <v>5195</v>
      </c>
    </row>
    <row r="550" spans="1:11" x14ac:dyDescent="0.3">
      <c r="A550" s="327" t="s">
        <v>1650</v>
      </c>
      <c r="B550" t="s">
        <v>1651</v>
      </c>
      <c r="C550" s="327"/>
      <c r="D550" s="327" t="str">
        <f t="shared" si="12"/>
        <v>NACE G - 46.42 Wholesale of clothing and footwear</v>
      </c>
      <c r="K550" t="s">
        <v>5196</v>
      </c>
    </row>
    <row r="551" spans="1:11" x14ac:dyDescent="0.3">
      <c r="A551" s="327" t="s">
        <v>1652</v>
      </c>
      <c r="B551" t="s">
        <v>1653</v>
      </c>
      <c r="C551" s="327"/>
      <c r="D551" s="327" t="str">
        <f t="shared" si="12"/>
        <v>NACE G - 46.43 Wholesale of electrical household appliances</v>
      </c>
      <c r="K551" t="s">
        <v>5197</v>
      </c>
    </row>
    <row r="552" spans="1:11" x14ac:dyDescent="0.3">
      <c r="A552" s="327" t="s">
        <v>1654</v>
      </c>
      <c r="B552" t="s">
        <v>1655</v>
      </c>
      <c r="C552" s="327"/>
      <c r="D552" s="327" t="str">
        <f t="shared" si="12"/>
        <v>NACE G - 46.44 Wholesale of china and glassware and cleaning materials</v>
      </c>
      <c r="K552" t="s">
        <v>5198</v>
      </c>
    </row>
    <row r="553" spans="1:11" x14ac:dyDescent="0.3">
      <c r="A553" s="327" t="s">
        <v>1656</v>
      </c>
      <c r="B553" t="s">
        <v>1657</v>
      </c>
      <c r="C553" s="327"/>
      <c r="D553" s="327" t="str">
        <f t="shared" si="12"/>
        <v>NACE G - 46.45 Wholesale of perfume and cosmetics</v>
      </c>
      <c r="K553" t="s">
        <v>5199</v>
      </c>
    </row>
    <row r="554" spans="1:11" x14ac:dyDescent="0.3">
      <c r="A554" s="327" t="s">
        <v>1658</v>
      </c>
      <c r="B554" t="s">
        <v>1659</v>
      </c>
      <c r="C554" s="327"/>
      <c r="D554" s="327" t="str">
        <f t="shared" si="12"/>
        <v>NACE G - 46.46 Wholesale of pharmaceutical and medical goods</v>
      </c>
      <c r="K554" t="s">
        <v>5200</v>
      </c>
    </row>
    <row r="555" spans="1:11" x14ac:dyDescent="0.3">
      <c r="A555" s="327" t="s">
        <v>1660</v>
      </c>
      <c r="B555" t="s">
        <v>1661</v>
      </c>
      <c r="C555" s="327"/>
      <c r="D555" s="327" t="str">
        <f t="shared" si="12"/>
        <v>NACE G - 46.47 Wholesale of household, office and shop furniture, carpets and lighting equipment</v>
      </c>
      <c r="K555" t="s">
        <v>5201</v>
      </c>
    </row>
    <row r="556" spans="1:11" x14ac:dyDescent="0.3">
      <c r="A556" s="327" t="s">
        <v>1662</v>
      </c>
      <c r="B556" t="s">
        <v>1663</v>
      </c>
      <c r="C556" s="327"/>
      <c r="D556" s="327" t="str">
        <f t="shared" si="12"/>
        <v>NACE G - 46.48 Wholesale of watches and jewellery</v>
      </c>
      <c r="K556" t="s">
        <v>5202</v>
      </c>
    </row>
    <row r="557" spans="1:11" x14ac:dyDescent="0.3">
      <c r="A557" s="327" t="s">
        <v>1664</v>
      </c>
      <c r="B557" t="s">
        <v>1665</v>
      </c>
      <c r="C557" s="327"/>
      <c r="D557" s="327" t="str">
        <f t="shared" si="12"/>
        <v>NACE G - 46.49 Wholesale of other household goods</v>
      </c>
      <c r="K557" t="s">
        <v>5203</v>
      </c>
    </row>
    <row r="558" spans="1:11" x14ac:dyDescent="0.3">
      <c r="A558" s="326" t="s">
        <v>1666</v>
      </c>
      <c r="B558" t="s">
        <v>1667</v>
      </c>
      <c r="C558" s="327"/>
      <c r="D558" s="326" t="str">
        <f t="shared" si="12"/>
        <v>NACE G - 46.5 Wholesale of information and communication equipment</v>
      </c>
      <c r="K558" t="s">
        <v>5204</v>
      </c>
    </row>
    <row r="559" spans="1:11" x14ac:dyDescent="0.3">
      <c r="A559" s="327" t="s">
        <v>1668</v>
      </c>
      <c r="B559" t="s">
        <v>1669</v>
      </c>
      <c r="C559" s="327"/>
      <c r="D559" s="327" t="str">
        <f t="shared" si="12"/>
        <v>NACE G - 46.50 Wholesale of information and communication equipment</v>
      </c>
      <c r="K559" t="s">
        <v>5205</v>
      </c>
    </row>
    <row r="560" spans="1:11" x14ac:dyDescent="0.3">
      <c r="A560" s="326" t="s">
        <v>1670</v>
      </c>
      <c r="B560" t="s">
        <v>1671</v>
      </c>
      <c r="C560" s="327"/>
      <c r="D560" s="326" t="str">
        <f t="shared" si="12"/>
        <v>NACE G - 46.6 Wholesale of other machinery, equipment and supplies</v>
      </c>
      <c r="K560" t="s">
        <v>5206</v>
      </c>
    </row>
    <row r="561" spans="1:11" x14ac:dyDescent="0.3">
      <c r="A561" s="327" t="s">
        <v>1672</v>
      </c>
      <c r="B561" t="s">
        <v>1673</v>
      </c>
      <c r="C561" s="327"/>
      <c r="D561" s="327" t="str">
        <f t="shared" si="12"/>
        <v>NACE G - 46.61 Wholesale of agricultural machinery, equipment and supplies</v>
      </c>
      <c r="K561" t="s">
        <v>5207</v>
      </c>
    </row>
    <row r="562" spans="1:11" x14ac:dyDescent="0.3">
      <c r="A562" s="327" t="s">
        <v>1674</v>
      </c>
      <c r="B562" t="s">
        <v>1675</v>
      </c>
      <c r="C562" s="327"/>
      <c r="D562" s="327" t="str">
        <f t="shared" si="12"/>
        <v>NACE G - 46.62 Wholesale of machine tools</v>
      </c>
      <c r="K562" t="s">
        <v>5208</v>
      </c>
    </row>
    <row r="563" spans="1:11" x14ac:dyDescent="0.3">
      <c r="A563" s="327" t="s">
        <v>1676</v>
      </c>
      <c r="B563" t="s">
        <v>1677</v>
      </c>
      <c r="C563" s="327"/>
      <c r="D563" s="327" t="str">
        <f t="shared" si="12"/>
        <v>NACE G - 46.63 Wholesale of mining, construction and civil engineering machinery</v>
      </c>
      <c r="K563" t="s">
        <v>5209</v>
      </c>
    </row>
    <row r="564" spans="1:11" x14ac:dyDescent="0.3">
      <c r="A564" s="327" t="s">
        <v>1678</v>
      </c>
      <c r="B564" t="s">
        <v>1679</v>
      </c>
      <c r="C564" s="327"/>
      <c r="D564" s="327" t="str">
        <f t="shared" si="12"/>
        <v>NACE G - 46.64 Wholesale of other machinery and equipment</v>
      </c>
      <c r="K564" t="s">
        <v>5210</v>
      </c>
    </row>
    <row r="565" spans="1:11" x14ac:dyDescent="0.3">
      <c r="A565" s="326" t="s">
        <v>1680</v>
      </c>
      <c r="B565" t="s">
        <v>1681</v>
      </c>
      <c r="C565" s="327"/>
      <c r="D565" s="326" t="str">
        <f t="shared" si="12"/>
        <v>NACE G - 46.7 Wholesale of motor vehicles, motorcycles and related parts and accessories</v>
      </c>
      <c r="K565" t="s">
        <v>5211</v>
      </c>
    </row>
    <row r="566" spans="1:11" x14ac:dyDescent="0.3">
      <c r="A566" s="327" t="s">
        <v>1682</v>
      </c>
      <c r="B566" t="s">
        <v>1683</v>
      </c>
      <c r="C566" s="327"/>
      <c r="D566" s="327" t="str">
        <f t="shared" si="12"/>
        <v>NACE G - 46.71 Wholesale of motor vehicles</v>
      </c>
      <c r="K566" t="s">
        <v>5212</v>
      </c>
    </row>
    <row r="567" spans="1:11" x14ac:dyDescent="0.3">
      <c r="A567" s="327" t="s">
        <v>1684</v>
      </c>
      <c r="B567" t="s">
        <v>1685</v>
      </c>
      <c r="C567" s="327"/>
      <c r="D567" s="327" t="str">
        <f t="shared" si="12"/>
        <v>NACE G - 46.72 Wholesale of motor vehicle parts and accessories</v>
      </c>
      <c r="K567" t="s">
        <v>5213</v>
      </c>
    </row>
    <row r="568" spans="1:11" x14ac:dyDescent="0.3">
      <c r="A568" s="327" t="s">
        <v>1686</v>
      </c>
      <c r="B568" t="s">
        <v>1687</v>
      </c>
      <c r="C568" s="327"/>
      <c r="D568" s="327" t="str">
        <f t="shared" si="12"/>
        <v>NACE G - 46.73 Wholesale of motorcycles, motorcycle parts and accessories</v>
      </c>
      <c r="K568" t="s">
        <v>5214</v>
      </c>
    </row>
    <row r="569" spans="1:11" x14ac:dyDescent="0.3">
      <c r="A569" s="326" t="s">
        <v>1688</v>
      </c>
      <c r="B569" t="s">
        <v>1689</v>
      </c>
      <c r="C569" s="327"/>
      <c r="D569" s="326" t="str">
        <f t="shared" si="12"/>
        <v>NACE G - 46.8 Other specialised wholesale</v>
      </c>
      <c r="K569" t="s">
        <v>5215</v>
      </c>
    </row>
    <row r="570" spans="1:11" x14ac:dyDescent="0.3">
      <c r="A570" s="327" t="s">
        <v>1690</v>
      </c>
      <c r="B570" t="s">
        <v>1691</v>
      </c>
      <c r="C570" s="327"/>
      <c r="D570" s="327" t="str">
        <f t="shared" si="12"/>
        <v>NACE G - 46.81 Wholesale of solid, liquid and gaseous fuels and related products</v>
      </c>
      <c r="K570" t="s">
        <v>5216</v>
      </c>
    </row>
    <row r="571" spans="1:11" x14ac:dyDescent="0.3">
      <c r="A571" s="327" t="s">
        <v>1692</v>
      </c>
      <c r="B571" t="s">
        <v>1693</v>
      </c>
      <c r="C571" s="327"/>
      <c r="D571" s="327" t="str">
        <f t="shared" si="12"/>
        <v>NACE G - 46.82 Wholesale of metals and metal ores</v>
      </c>
      <c r="K571" t="s">
        <v>5217</v>
      </c>
    </row>
    <row r="572" spans="1:11" x14ac:dyDescent="0.3">
      <c r="A572" s="327" t="s">
        <v>1694</v>
      </c>
      <c r="B572" t="s">
        <v>1695</v>
      </c>
      <c r="C572" s="327"/>
      <c r="D572" s="327" t="str">
        <f t="shared" si="12"/>
        <v>NACE G - 46.83 Wholesale of wood, construction materials and sanitary equipment</v>
      </c>
      <c r="K572" t="s">
        <v>5218</v>
      </c>
    </row>
    <row r="573" spans="1:11" x14ac:dyDescent="0.3">
      <c r="A573" s="327" t="s">
        <v>1696</v>
      </c>
      <c r="B573" t="s">
        <v>1697</v>
      </c>
      <c r="C573" s="327"/>
      <c r="D573" s="327" t="str">
        <f t="shared" si="12"/>
        <v>NACE G - 46.84 Wholesale of hardware, plumbing and heating equipment and supplies</v>
      </c>
      <c r="K573" t="s">
        <v>5219</v>
      </c>
    </row>
    <row r="574" spans="1:11" x14ac:dyDescent="0.3">
      <c r="A574" s="327" t="s">
        <v>1698</v>
      </c>
      <c r="B574" t="s">
        <v>1699</v>
      </c>
      <c r="C574" s="327"/>
      <c r="D574" s="327" t="str">
        <f t="shared" si="12"/>
        <v>NACE G - 46.85 Wholesale of chemical products</v>
      </c>
      <c r="K574" t="s">
        <v>5220</v>
      </c>
    </row>
    <row r="575" spans="1:11" x14ac:dyDescent="0.3">
      <c r="A575" s="327" t="s">
        <v>1700</v>
      </c>
      <c r="B575" t="s">
        <v>1701</v>
      </c>
      <c r="C575" s="327"/>
      <c r="D575" s="327" t="str">
        <f t="shared" si="12"/>
        <v>NACE G - 46.86 Wholesale of other intermediate products</v>
      </c>
      <c r="K575" t="s">
        <v>5221</v>
      </c>
    </row>
    <row r="576" spans="1:11" x14ac:dyDescent="0.3">
      <c r="A576" s="327" t="s">
        <v>1702</v>
      </c>
      <c r="B576" t="s">
        <v>1703</v>
      </c>
      <c r="C576" s="327"/>
      <c r="D576" s="327" t="str">
        <f t="shared" si="12"/>
        <v>NACE G - 46.87 Wholesale of waste and scrap</v>
      </c>
      <c r="K576" t="s">
        <v>5222</v>
      </c>
    </row>
    <row r="577" spans="1:11" x14ac:dyDescent="0.3">
      <c r="A577" s="327" t="s">
        <v>1704</v>
      </c>
      <c r="B577" t="s">
        <v>1705</v>
      </c>
      <c r="C577" s="327"/>
      <c r="D577" s="327" t="str">
        <f t="shared" si="12"/>
        <v>NACE G - 46.89 Other specialised wholesale n.e.c.</v>
      </c>
      <c r="K577" t="s">
        <v>5223</v>
      </c>
    </row>
    <row r="578" spans="1:11" x14ac:dyDescent="0.3">
      <c r="A578" s="326" t="s">
        <v>1706</v>
      </c>
      <c r="B578" t="s">
        <v>1707</v>
      </c>
      <c r="C578" s="327"/>
      <c r="D578" s="326" t="str">
        <f t="shared" ref="D578:D641" si="13">_xlfn.CONCAT("NACE ", A578)</f>
        <v>NACE G - 46.9 Non-specialised wholesale trade</v>
      </c>
      <c r="K578" t="s">
        <v>4649</v>
      </c>
    </row>
    <row r="579" spans="1:11" x14ac:dyDescent="0.3">
      <c r="A579" s="327" t="s">
        <v>1708</v>
      </c>
      <c r="B579" t="s">
        <v>1709</v>
      </c>
      <c r="C579" s="327"/>
      <c r="D579" s="327" t="str">
        <f t="shared" si="13"/>
        <v>NACE G - 46.90 Non-specialised wholesale trade</v>
      </c>
      <c r="K579" t="s">
        <v>5224</v>
      </c>
    </row>
    <row r="580" spans="1:11" x14ac:dyDescent="0.3">
      <c r="A580" s="323" t="s">
        <v>1710</v>
      </c>
      <c r="B580" t="s">
        <v>1711</v>
      </c>
      <c r="C580" s="327"/>
      <c r="D580" s="323" t="str">
        <f t="shared" si="13"/>
        <v>NACE G - 47 Retail trade</v>
      </c>
      <c r="K580" t="s">
        <v>5225</v>
      </c>
    </row>
    <row r="581" spans="1:11" x14ac:dyDescent="0.3">
      <c r="A581" s="326" t="s">
        <v>1712</v>
      </c>
      <c r="B581" t="s">
        <v>1713</v>
      </c>
      <c r="C581" s="327"/>
      <c r="D581" s="326" t="str">
        <f t="shared" si="13"/>
        <v>NACE G - 47.1 Non-specialised retail sale</v>
      </c>
      <c r="K581" t="s">
        <v>5226</v>
      </c>
    </row>
    <row r="582" spans="1:11" x14ac:dyDescent="0.3">
      <c r="A582" s="327" t="s">
        <v>1714</v>
      </c>
      <c r="B582" t="s">
        <v>1715</v>
      </c>
      <c r="C582" s="327"/>
      <c r="D582" s="327" t="str">
        <f t="shared" si="13"/>
        <v>NACE G - 47.11 Non-specialised retail sale of predominately food, beverages or tobacco</v>
      </c>
      <c r="K582" t="s">
        <v>5227</v>
      </c>
    </row>
    <row r="583" spans="1:11" x14ac:dyDescent="0.3">
      <c r="A583" s="327" t="s">
        <v>1716</v>
      </c>
      <c r="B583" t="s">
        <v>1717</v>
      </c>
      <c r="C583" s="327"/>
      <c r="D583" s="327" t="str">
        <f t="shared" si="13"/>
        <v>NACE G - 47.12 Other non-specialised retail sale</v>
      </c>
      <c r="K583" t="s">
        <v>5228</v>
      </c>
    </row>
    <row r="584" spans="1:11" x14ac:dyDescent="0.3">
      <c r="A584" s="326" t="s">
        <v>1718</v>
      </c>
      <c r="B584" t="s">
        <v>1719</v>
      </c>
      <c r="C584" s="327"/>
      <c r="D584" s="326" t="str">
        <f t="shared" si="13"/>
        <v>NACE G - 47.2 Retail sale of food, beverages and tobacco</v>
      </c>
      <c r="K584" t="s">
        <v>5229</v>
      </c>
    </row>
    <row r="585" spans="1:11" x14ac:dyDescent="0.3">
      <c r="A585" s="327" t="s">
        <v>1720</v>
      </c>
      <c r="B585" t="s">
        <v>1721</v>
      </c>
      <c r="C585" s="327"/>
      <c r="D585" s="327" t="str">
        <f t="shared" si="13"/>
        <v>NACE G - 47.21 Retail sale of fruit and vegetables</v>
      </c>
      <c r="K585" t="s">
        <v>5230</v>
      </c>
    </row>
    <row r="586" spans="1:11" x14ac:dyDescent="0.3">
      <c r="A586" s="327" t="s">
        <v>1722</v>
      </c>
      <c r="B586" t="s">
        <v>1723</v>
      </c>
      <c r="C586" s="327"/>
      <c r="D586" s="327" t="str">
        <f t="shared" si="13"/>
        <v>NACE G - 47.22 Retail sale of meat and meat products</v>
      </c>
      <c r="K586" t="s">
        <v>5231</v>
      </c>
    </row>
    <row r="587" spans="1:11" x14ac:dyDescent="0.3">
      <c r="A587" s="327" t="s">
        <v>1724</v>
      </c>
      <c r="B587" t="s">
        <v>1725</v>
      </c>
      <c r="C587" s="327"/>
      <c r="D587" s="327" t="str">
        <f t="shared" si="13"/>
        <v>NACE G - 47.23 Retail sale of fish, crustaceans and molluscs</v>
      </c>
      <c r="K587" t="s">
        <v>5232</v>
      </c>
    </row>
    <row r="588" spans="1:11" x14ac:dyDescent="0.3">
      <c r="A588" s="327" t="s">
        <v>1726</v>
      </c>
      <c r="B588" t="s">
        <v>1727</v>
      </c>
      <c r="C588" s="327"/>
      <c r="D588" s="327" t="str">
        <f t="shared" si="13"/>
        <v>NACE G - 47.24 Retail sale of bread, cake and confectionery</v>
      </c>
      <c r="K588" t="s">
        <v>5233</v>
      </c>
    </row>
    <row r="589" spans="1:11" x14ac:dyDescent="0.3">
      <c r="A589" s="327" t="s">
        <v>1728</v>
      </c>
      <c r="B589" t="s">
        <v>1729</v>
      </c>
      <c r="C589" s="327"/>
      <c r="D589" s="327" t="str">
        <f t="shared" si="13"/>
        <v>NACE G - 47.25 Retail sale of beverages</v>
      </c>
      <c r="K589" t="s">
        <v>5234</v>
      </c>
    </row>
    <row r="590" spans="1:11" x14ac:dyDescent="0.3">
      <c r="A590" s="327" t="s">
        <v>1730</v>
      </c>
      <c r="B590" t="s">
        <v>1731</v>
      </c>
      <c r="C590" s="327"/>
      <c r="D590" s="327" t="str">
        <f t="shared" si="13"/>
        <v>NACE G - 47.26 Retail sale of tobacco products</v>
      </c>
      <c r="K590" t="s">
        <v>5235</v>
      </c>
    </row>
    <row r="591" spans="1:11" x14ac:dyDescent="0.3">
      <c r="A591" s="327" t="s">
        <v>1732</v>
      </c>
      <c r="B591" t="s">
        <v>1733</v>
      </c>
      <c r="C591" s="327"/>
      <c r="D591" s="327" t="str">
        <f t="shared" si="13"/>
        <v>NACE G - 47.27 Retail sale of other food</v>
      </c>
      <c r="K591" t="s">
        <v>5236</v>
      </c>
    </row>
    <row r="592" spans="1:11" x14ac:dyDescent="0.3">
      <c r="A592" s="326" t="s">
        <v>1734</v>
      </c>
      <c r="B592" t="s">
        <v>1735</v>
      </c>
      <c r="C592" s="327"/>
      <c r="D592" s="326" t="str">
        <f t="shared" si="13"/>
        <v>NACE G - 47.3 Retail sale of automotive fuel</v>
      </c>
      <c r="K592" t="s">
        <v>5237</v>
      </c>
    </row>
    <row r="593" spans="1:11" x14ac:dyDescent="0.3">
      <c r="A593" s="327" t="s">
        <v>1736</v>
      </c>
      <c r="B593" t="s">
        <v>1737</v>
      </c>
      <c r="C593" s="327"/>
      <c r="D593" s="327" t="str">
        <f t="shared" si="13"/>
        <v>NACE G - 47.30 Retail sale of automotive fuel</v>
      </c>
      <c r="K593" t="s">
        <v>5238</v>
      </c>
    </row>
    <row r="594" spans="1:11" x14ac:dyDescent="0.3">
      <c r="A594" s="326" t="s">
        <v>1738</v>
      </c>
      <c r="B594" t="s">
        <v>1739</v>
      </c>
      <c r="C594" s="327"/>
      <c r="D594" s="326" t="str">
        <f t="shared" si="13"/>
        <v>NACE G - 47.4 Retail sale of information and communication equipment</v>
      </c>
      <c r="K594" t="s">
        <v>5239</v>
      </c>
    </row>
    <row r="595" spans="1:11" x14ac:dyDescent="0.3">
      <c r="A595" s="327" t="s">
        <v>1740</v>
      </c>
      <c r="B595" t="s">
        <v>1741</v>
      </c>
      <c r="C595" s="327"/>
      <c r="D595" s="327" t="str">
        <f t="shared" si="13"/>
        <v>NACE G - 47.40 Retail sale of information and communication equipment</v>
      </c>
      <c r="K595" t="s">
        <v>5240</v>
      </c>
    </row>
    <row r="596" spans="1:11" x14ac:dyDescent="0.3">
      <c r="A596" s="326" t="s">
        <v>1742</v>
      </c>
      <c r="B596" t="s">
        <v>1743</v>
      </c>
      <c r="C596" s="327"/>
      <c r="D596" s="326" t="str">
        <f t="shared" si="13"/>
        <v>NACE G - 47.5 Retail sale of other household equipment</v>
      </c>
      <c r="K596" t="s">
        <v>5241</v>
      </c>
    </row>
    <row r="597" spans="1:11" x14ac:dyDescent="0.3">
      <c r="A597" s="327" t="s">
        <v>1744</v>
      </c>
      <c r="B597" t="s">
        <v>1745</v>
      </c>
      <c r="C597" s="327"/>
      <c r="D597" s="327" t="str">
        <f t="shared" si="13"/>
        <v>NACE G - 47.51 Retail sale of textiles</v>
      </c>
      <c r="K597" t="s">
        <v>5242</v>
      </c>
    </row>
    <row r="598" spans="1:11" x14ac:dyDescent="0.3">
      <c r="A598" s="327" t="s">
        <v>1746</v>
      </c>
      <c r="B598" t="s">
        <v>1747</v>
      </c>
      <c r="C598" s="327"/>
      <c r="D598" s="327" t="str">
        <f t="shared" si="13"/>
        <v>NACE G - 47.52 Retail sale of hardware, building materials, paints and glass</v>
      </c>
      <c r="K598" t="s">
        <v>5243</v>
      </c>
    </row>
    <row r="599" spans="1:11" x14ac:dyDescent="0.3">
      <c r="A599" s="327" t="s">
        <v>1748</v>
      </c>
      <c r="B599" t="s">
        <v>1749</v>
      </c>
      <c r="C599" s="327"/>
      <c r="D599" s="327" t="str">
        <f t="shared" si="13"/>
        <v>NACE G - 47.53 Retail sale of carpets, rugs, wall and floor coverings</v>
      </c>
      <c r="K599" t="s">
        <v>5244</v>
      </c>
    </row>
    <row r="600" spans="1:11" x14ac:dyDescent="0.3">
      <c r="A600" s="327" t="s">
        <v>1750</v>
      </c>
      <c r="B600" t="s">
        <v>1751</v>
      </c>
      <c r="C600" s="327"/>
      <c r="D600" s="327" t="str">
        <f t="shared" si="13"/>
        <v>NACE G - 47.54 Retail sale of electrical household appliances</v>
      </c>
      <c r="K600" t="s">
        <v>5245</v>
      </c>
    </row>
    <row r="601" spans="1:11" x14ac:dyDescent="0.3">
      <c r="A601" s="327" t="s">
        <v>1752</v>
      </c>
      <c r="B601" t="s">
        <v>1753</v>
      </c>
      <c r="C601" s="327"/>
      <c r="D601" s="327" t="str">
        <f t="shared" si="13"/>
        <v>NACE G - 47.55 Retail sale of furniture, lighting equipment, tableware and other household goods</v>
      </c>
      <c r="K601" t="s">
        <v>5246</v>
      </c>
    </row>
    <row r="602" spans="1:11" x14ac:dyDescent="0.3">
      <c r="A602" s="326" t="s">
        <v>1754</v>
      </c>
      <c r="B602" t="s">
        <v>1755</v>
      </c>
      <c r="C602" s="327"/>
      <c r="D602" s="326" t="str">
        <f t="shared" si="13"/>
        <v>NACE G - 47.6 Retail sale of cultural and recreation goods</v>
      </c>
      <c r="K602" t="s">
        <v>5247</v>
      </c>
    </row>
    <row r="603" spans="1:11" x14ac:dyDescent="0.3">
      <c r="A603" s="327" t="s">
        <v>1756</v>
      </c>
      <c r="B603" t="s">
        <v>1757</v>
      </c>
      <c r="C603" s="327"/>
      <c r="D603" s="327" t="str">
        <f t="shared" si="13"/>
        <v>NACE G - 47.61 Retail sale of books</v>
      </c>
      <c r="K603" t="s">
        <v>5248</v>
      </c>
    </row>
    <row r="604" spans="1:11" x14ac:dyDescent="0.3">
      <c r="A604" s="327" t="s">
        <v>1758</v>
      </c>
      <c r="B604" t="s">
        <v>1759</v>
      </c>
      <c r="C604" s="327"/>
      <c r="D604" s="327" t="str">
        <f t="shared" si="13"/>
        <v>NACE G - 47.62 Retail sale of newspapers, and other periodical publications and stationery</v>
      </c>
      <c r="K604" t="s">
        <v>4650</v>
      </c>
    </row>
    <row r="605" spans="1:11" x14ac:dyDescent="0.3">
      <c r="A605" s="327" t="s">
        <v>1760</v>
      </c>
      <c r="B605" t="s">
        <v>1761</v>
      </c>
      <c r="C605" s="327"/>
      <c r="D605" s="327" t="str">
        <f t="shared" si="13"/>
        <v>NACE G - 47.63 Retail sale of sporting equipment</v>
      </c>
      <c r="K605" t="s">
        <v>5249</v>
      </c>
    </row>
    <row r="606" spans="1:11" x14ac:dyDescent="0.3">
      <c r="A606" s="327" t="s">
        <v>1762</v>
      </c>
      <c r="B606" t="s">
        <v>1763</v>
      </c>
      <c r="C606" s="327"/>
      <c r="D606" s="327" t="str">
        <f t="shared" si="13"/>
        <v>NACE G - 47.64 Retail sale of games and toys</v>
      </c>
      <c r="K606" t="s">
        <v>5250</v>
      </c>
    </row>
    <row r="607" spans="1:11" x14ac:dyDescent="0.3">
      <c r="A607" s="327" t="s">
        <v>1764</v>
      </c>
      <c r="B607" t="s">
        <v>1765</v>
      </c>
      <c r="C607" s="327"/>
      <c r="D607" s="327" t="str">
        <f t="shared" si="13"/>
        <v>NACE G - 47.69 Retail sale of cultural and recreational goods n.e.c.</v>
      </c>
      <c r="K607" t="s">
        <v>5251</v>
      </c>
    </row>
    <row r="608" spans="1:11" x14ac:dyDescent="0.3">
      <c r="A608" s="326" t="s">
        <v>1766</v>
      </c>
      <c r="B608" t="s">
        <v>1767</v>
      </c>
      <c r="C608" s="327"/>
      <c r="D608" s="326" t="str">
        <f t="shared" si="13"/>
        <v>NACE G - 47.7 Retail sale of other goods, except motor vehicles and motorcycles</v>
      </c>
      <c r="K608" t="s">
        <v>5252</v>
      </c>
    </row>
    <row r="609" spans="1:11" x14ac:dyDescent="0.3">
      <c r="A609" s="327" t="s">
        <v>1768</v>
      </c>
      <c r="B609" t="s">
        <v>1769</v>
      </c>
      <c r="C609" s="327"/>
      <c r="D609" s="327" t="str">
        <f t="shared" si="13"/>
        <v>NACE G - 47.71 Retail sale of clothing</v>
      </c>
      <c r="K609" t="s">
        <v>5253</v>
      </c>
    </row>
    <row r="610" spans="1:11" x14ac:dyDescent="0.3">
      <c r="A610" s="327" t="s">
        <v>1770</v>
      </c>
      <c r="B610" t="s">
        <v>1771</v>
      </c>
      <c r="C610" s="327"/>
      <c r="D610" s="327" t="str">
        <f t="shared" si="13"/>
        <v>NACE G - 47.72 Retail sale of footwear and leather goods</v>
      </c>
      <c r="K610" t="s">
        <v>5254</v>
      </c>
    </row>
    <row r="611" spans="1:11" x14ac:dyDescent="0.3">
      <c r="A611" s="327" t="s">
        <v>1772</v>
      </c>
      <c r="B611" t="s">
        <v>1773</v>
      </c>
      <c r="C611" s="327"/>
      <c r="D611" s="327" t="str">
        <f t="shared" si="13"/>
        <v>NACE G - 47.73 Retail sale of pharmaceutical products</v>
      </c>
      <c r="K611" t="s">
        <v>5255</v>
      </c>
    </row>
    <row r="612" spans="1:11" x14ac:dyDescent="0.3">
      <c r="A612" s="327" t="s">
        <v>1774</v>
      </c>
      <c r="B612" t="s">
        <v>1775</v>
      </c>
      <c r="C612" s="327"/>
      <c r="D612" s="327" t="str">
        <f t="shared" si="13"/>
        <v>NACE G - 47.74 Retail sale of medical and orthopaedic goods</v>
      </c>
      <c r="K612" t="s">
        <v>5256</v>
      </c>
    </row>
    <row r="613" spans="1:11" x14ac:dyDescent="0.3">
      <c r="A613" s="327" t="s">
        <v>1776</v>
      </c>
      <c r="B613" t="s">
        <v>1777</v>
      </c>
      <c r="C613" s="327"/>
      <c r="D613" s="327" t="str">
        <f t="shared" si="13"/>
        <v>NACE G - 47.75 Retail sale of cosmetic and toilet articles</v>
      </c>
      <c r="K613" t="s">
        <v>5257</v>
      </c>
    </row>
    <row r="614" spans="1:11" x14ac:dyDescent="0.3">
      <c r="A614" s="327" t="s">
        <v>1778</v>
      </c>
      <c r="B614" t="s">
        <v>1779</v>
      </c>
      <c r="C614" s="327"/>
      <c r="D614" s="327" t="str">
        <f t="shared" si="13"/>
        <v>NACE G - 47.76 Retail sale of flowers, plants, fertilisers, pets and pet food</v>
      </c>
      <c r="K614" t="s">
        <v>5258</v>
      </c>
    </row>
    <row r="615" spans="1:11" x14ac:dyDescent="0.3">
      <c r="A615" s="327" t="s">
        <v>1780</v>
      </c>
      <c r="B615" t="s">
        <v>1781</v>
      </c>
      <c r="C615" s="327"/>
      <c r="D615" s="327" t="str">
        <f t="shared" si="13"/>
        <v>NACE G - 47.77 Retail sale of watches and jewellery</v>
      </c>
      <c r="K615" t="s">
        <v>5259</v>
      </c>
    </row>
    <row r="616" spans="1:11" x14ac:dyDescent="0.3">
      <c r="A616" s="327" t="s">
        <v>1782</v>
      </c>
      <c r="B616" t="s">
        <v>1783</v>
      </c>
      <c r="C616" s="327"/>
      <c r="D616" s="327" t="str">
        <f t="shared" si="13"/>
        <v>NACE G - 47.78 Retail sale of other new goods</v>
      </c>
      <c r="K616" t="s">
        <v>5260</v>
      </c>
    </row>
    <row r="617" spans="1:11" x14ac:dyDescent="0.3">
      <c r="A617" s="327" t="s">
        <v>1784</v>
      </c>
      <c r="B617" t="s">
        <v>1785</v>
      </c>
      <c r="C617" s="327"/>
      <c r="D617" s="327" t="str">
        <f t="shared" si="13"/>
        <v>NACE G - 47.79 Retail sale of second-hand goods</v>
      </c>
      <c r="K617" t="s">
        <v>5261</v>
      </c>
    </row>
    <row r="618" spans="1:11" x14ac:dyDescent="0.3">
      <c r="A618" s="326" t="s">
        <v>1786</v>
      </c>
      <c r="B618" t="s">
        <v>1787</v>
      </c>
      <c r="C618" s="327"/>
      <c r="D618" s="326" t="str">
        <f t="shared" si="13"/>
        <v>NACE G - 47.8 Retail sale of motor vehicles, motorcycles and related parts and accessories</v>
      </c>
      <c r="K618" t="s">
        <v>5262</v>
      </c>
    </row>
    <row r="619" spans="1:11" x14ac:dyDescent="0.3">
      <c r="A619" s="327" t="s">
        <v>1788</v>
      </c>
      <c r="B619" t="s">
        <v>1789</v>
      </c>
      <c r="C619" s="327"/>
      <c r="D619" s="327" t="str">
        <f t="shared" si="13"/>
        <v>NACE G - 47.81 Retail sale of motor vehicles</v>
      </c>
      <c r="K619" t="s">
        <v>5263</v>
      </c>
    </row>
    <row r="620" spans="1:11" x14ac:dyDescent="0.3">
      <c r="A620" s="327" t="s">
        <v>1790</v>
      </c>
      <c r="B620" t="s">
        <v>1791</v>
      </c>
      <c r="C620" s="327"/>
      <c r="D620" s="327" t="str">
        <f t="shared" si="13"/>
        <v>NACE G - 47.82 Retail sale of motor vehicle parts and accessories</v>
      </c>
      <c r="K620" t="s">
        <v>5264</v>
      </c>
    </row>
    <row r="621" spans="1:11" x14ac:dyDescent="0.3">
      <c r="A621" s="327" t="s">
        <v>1792</v>
      </c>
      <c r="B621" t="s">
        <v>1793</v>
      </c>
      <c r="C621" s="327"/>
      <c r="D621" s="327" t="str">
        <f t="shared" si="13"/>
        <v>NACE G - 47.83 Retail sale of motorcycles, motorcycle parts and accessories</v>
      </c>
      <c r="K621" t="s">
        <v>5265</v>
      </c>
    </row>
    <row r="622" spans="1:11" x14ac:dyDescent="0.3">
      <c r="A622" s="326" t="s">
        <v>1794</v>
      </c>
      <c r="B622" t="s">
        <v>1795</v>
      </c>
      <c r="C622" s="327"/>
      <c r="D622" s="326" t="str">
        <f t="shared" si="13"/>
        <v>NACE G - 47.9 Intermediation service activities for retail sale</v>
      </c>
      <c r="K622" t="s">
        <v>5266</v>
      </c>
    </row>
    <row r="623" spans="1:11" x14ac:dyDescent="0.3">
      <c r="A623" s="327" t="s">
        <v>1796</v>
      </c>
      <c r="B623" t="s">
        <v>1797</v>
      </c>
      <c r="C623" s="327"/>
      <c r="D623" s="327" t="str">
        <f t="shared" si="13"/>
        <v>NACE G - 47.91 Intermediation service activities for non-specialised retail sale</v>
      </c>
      <c r="K623" t="s">
        <v>5267</v>
      </c>
    </row>
    <row r="624" spans="1:11" x14ac:dyDescent="0.3">
      <c r="A624" s="327" t="s">
        <v>1798</v>
      </c>
      <c r="B624" t="s">
        <v>1799</v>
      </c>
      <c r="C624" s="327"/>
      <c r="D624" s="327" t="str">
        <f t="shared" si="13"/>
        <v>NACE G - 47.92 Intermediation service activities for specialised retail sale</v>
      </c>
      <c r="K624" t="s">
        <v>5268</v>
      </c>
    </row>
    <row r="625" spans="1:11" x14ac:dyDescent="0.3">
      <c r="A625" s="324" t="s">
        <v>1800</v>
      </c>
      <c r="B625" t="s">
        <v>1801</v>
      </c>
      <c r="C625" s="327"/>
      <c r="D625" s="324" t="str">
        <f t="shared" si="13"/>
        <v>NACE H - TRANSPORTATION AND STORAGE</v>
      </c>
      <c r="K625" t="s">
        <v>5269</v>
      </c>
    </row>
    <row r="626" spans="1:11" x14ac:dyDescent="0.3">
      <c r="A626" s="323" t="s">
        <v>1802</v>
      </c>
      <c r="B626" t="s">
        <v>1803</v>
      </c>
      <c r="C626" s="327"/>
      <c r="D626" s="323" t="str">
        <f t="shared" si="13"/>
        <v>NACE H - 49 Land transport and transport via pipelines</v>
      </c>
      <c r="K626" t="s">
        <v>5270</v>
      </c>
    </row>
    <row r="627" spans="1:11" x14ac:dyDescent="0.3">
      <c r="A627" s="326" t="s">
        <v>1804</v>
      </c>
      <c r="B627" t="s">
        <v>1805</v>
      </c>
      <c r="C627" s="327"/>
      <c r="D627" s="326" t="str">
        <f t="shared" si="13"/>
        <v>NACE H - 49.1 Passenger rail transport</v>
      </c>
      <c r="K627" t="s">
        <v>5271</v>
      </c>
    </row>
    <row r="628" spans="1:11" x14ac:dyDescent="0.3">
      <c r="A628" s="327" t="s">
        <v>1806</v>
      </c>
      <c r="B628" t="s">
        <v>1807</v>
      </c>
      <c r="C628" s="327"/>
      <c r="D628" s="327" t="str">
        <f t="shared" si="13"/>
        <v>NACE H - 49.11 Passenger heavy rail transport</v>
      </c>
      <c r="K628" t="s">
        <v>5272</v>
      </c>
    </row>
    <row r="629" spans="1:11" x14ac:dyDescent="0.3">
      <c r="A629" s="327" t="s">
        <v>1808</v>
      </c>
      <c r="B629" t="s">
        <v>1809</v>
      </c>
      <c r="C629" s="327"/>
      <c r="D629" s="327" t="str">
        <f t="shared" si="13"/>
        <v>NACE H - 49.12 Other passenger rail transport</v>
      </c>
      <c r="K629" t="s">
        <v>5273</v>
      </c>
    </row>
    <row r="630" spans="1:11" x14ac:dyDescent="0.3">
      <c r="A630" s="326" t="s">
        <v>1810</v>
      </c>
      <c r="B630" t="s">
        <v>1811</v>
      </c>
      <c r="C630" s="327"/>
      <c r="D630" s="326" t="str">
        <f t="shared" si="13"/>
        <v>NACE H - 49.2 Freight rail transport</v>
      </c>
      <c r="K630" t="s">
        <v>5274</v>
      </c>
    </row>
    <row r="631" spans="1:11" x14ac:dyDescent="0.3">
      <c r="A631" s="327" t="s">
        <v>1812</v>
      </c>
      <c r="B631" t="s">
        <v>1813</v>
      </c>
      <c r="C631" s="327"/>
      <c r="D631" s="327" t="str">
        <f t="shared" si="13"/>
        <v>NACE H - 49.20 Freight rail transport</v>
      </c>
      <c r="K631" t="s">
        <v>5275</v>
      </c>
    </row>
    <row r="632" spans="1:11" x14ac:dyDescent="0.3">
      <c r="A632" s="326" t="s">
        <v>1814</v>
      </c>
      <c r="B632" t="s">
        <v>1815</v>
      </c>
      <c r="C632" s="327"/>
      <c r="D632" s="326" t="str">
        <f t="shared" si="13"/>
        <v>NACE H - 49.3 Other passenger land transport</v>
      </c>
      <c r="K632" t="s">
        <v>5276</v>
      </c>
    </row>
    <row r="633" spans="1:11" x14ac:dyDescent="0.3">
      <c r="A633" s="327" t="s">
        <v>1816</v>
      </c>
      <c r="B633" t="s">
        <v>1817</v>
      </c>
      <c r="C633" s="327"/>
      <c r="D633" s="327" t="str">
        <f t="shared" si="13"/>
        <v>NACE H - 49.31 Scheduled passenger transport by road</v>
      </c>
      <c r="K633" t="s">
        <v>5277</v>
      </c>
    </row>
    <row r="634" spans="1:11" x14ac:dyDescent="0.3">
      <c r="A634" s="327" t="s">
        <v>1818</v>
      </c>
      <c r="B634" t="s">
        <v>1819</v>
      </c>
      <c r="C634" s="327"/>
      <c r="D634" s="327" t="str">
        <f t="shared" si="13"/>
        <v>NACE H - 49.32 Non-scheduled passenger transport by road</v>
      </c>
      <c r="K634" t="s">
        <v>5278</v>
      </c>
    </row>
    <row r="635" spans="1:11" x14ac:dyDescent="0.3">
      <c r="A635" s="327" t="s">
        <v>1820</v>
      </c>
      <c r="B635" t="s">
        <v>1821</v>
      </c>
      <c r="C635" s="327"/>
      <c r="D635" s="327" t="str">
        <f t="shared" si="13"/>
        <v>NACE H - 49.33 On-demand passenger transport service activities by vehicle with driver</v>
      </c>
      <c r="K635" t="s">
        <v>5279</v>
      </c>
    </row>
    <row r="636" spans="1:11" x14ac:dyDescent="0.3">
      <c r="A636" s="327" t="s">
        <v>1822</v>
      </c>
      <c r="B636" t="s">
        <v>1823</v>
      </c>
      <c r="C636" s="327"/>
      <c r="D636" s="327" t="str">
        <f t="shared" si="13"/>
        <v>NACE H - 49.34 Passenger transport by cableways and ski lifts</v>
      </c>
      <c r="K636" t="s">
        <v>5280</v>
      </c>
    </row>
    <row r="637" spans="1:11" x14ac:dyDescent="0.3">
      <c r="A637" s="327" t="s">
        <v>1824</v>
      </c>
      <c r="B637" t="s">
        <v>1825</v>
      </c>
      <c r="C637" s="327"/>
      <c r="D637" s="327" t="str">
        <f t="shared" si="13"/>
        <v>NACE H - 49.39 Other passenger land transport n.e.c.</v>
      </c>
      <c r="K637" t="s">
        <v>5281</v>
      </c>
    </row>
    <row r="638" spans="1:11" x14ac:dyDescent="0.3">
      <c r="A638" s="326" t="s">
        <v>1826</v>
      </c>
      <c r="B638" t="s">
        <v>1827</v>
      </c>
      <c r="C638" s="327"/>
      <c r="D638" s="326" t="str">
        <f t="shared" si="13"/>
        <v>NACE H - 49.4 Freight transport by road and removal services</v>
      </c>
      <c r="K638" t="s">
        <v>5282</v>
      </c>
    </row>
    <row r="639" spans="1:11" x14ac:dyDescent="0.3">
      <c r="A639" s="327" t="s">
        <v>1828</v>
      </c>
      <c r="B639" t="s">
        <v>1829</v>
      </c>
      <c r="C639" s="327"/>
      <c r="D639" s="327" t="str">
        <f t="shared" si="13"/>
        <v>NACE H - 49.41 Freight transport by road</v>
      </c>
      <c r="K639" t="s">
        <v>5283</v>
      </c>
    </row>
    <row r="640" spans="1:11" x14ac:dyDescent="0.3">
      <c r="A640" s="327" t="s">
        <v>1830</v>
      </c>
      <c r="B640" t="s">
        <v>1831</v>
      </c>
      <c r="C640" s="327"/>
      <c r="D640" s="327" t="str">
        <f t="shared" si="13"/>
        <v>NACE H - 49.42 Removal services</v>
      </c>
      <c r="K640" t="s">
        <v>5284</v>
      </c>
    </row>
    <row r="641" spans="1:11" x14ac:dyDescent="0.3">
      <c r="A641" s="326" t="s">
        <v>1832</v>
      </c>
      <c r="B641" t="s">
        <v>1833</v>
      </c>
      <c r="C641" s="327"/>
      <c r="D641" s="326" t="str">
        <f t="shared" si="13"/>
        <v>NACE H - 49.5 Transport via pipeline</v>
      </c>
      <c r="K641" t="s">
        <v>5285</v>
      </c>
    </row>
    <row r="642" spans="1:11" x14ac:dyDescent="0.3">
      <c r="A642" s="327" t="s">
        <v>1834</v>
      </c>
      <c r="B642" t="s">
        <v>1835</v>
      </c>
      <c r="C642" s="327"/>
      <c r="D642" s="327" t="str">
        <f t="shared" ref="D642:D705" si="14">_xlfn.CONCAT("NACE ", A642)</f>
        <v>NACE H - 49.50 Transport via pipeline</v>
      </c>
      <c r="K642" t="s">
        <v>5286</v>
      </c>
    </row>
    <row r="643" spans="1:11" x14ac:dyDescent="0.3">
      <c r="A643" s="323" t="s">
        <v>1836</v>
      </c>
      <c r="B643" t="s">
        <v>1837</v>
      </c>
      <c r="C643" s="327"/>
      <c r="D643" s="323" t="str">
        <f t="shared" si="14"/>
        <v>NACE H - 50 Water transport</v>
      </c>
      <c r="K643" t="s">
        <v>5287</v>
      </c>
    </row>
    <row r="644" spans="1:11" x14ac:dyDescent="0.3">
      <c r="A644" s="326" t="s">
        <v>1838</v>
      </c>
      <c r="B644" t="s">
        <v>1839</v>
      </c>
      <c r="C644" s="327"/>
      <c r="D644" s="326" t="str">
        <f t="shared" si="14"/>
        <v>NACE H - 50.1 Sea and coastal passenger water transport</v>
      </c>
      <c r="K644" t="s">
        <v>5288</v>
      </c>
    </row>
    <row r="645" spans="1:11" x14ac:dyDescent="0.3">
      <c r="A645" s="327" t="s">
        <v>1840</v>
      </c>
      <c r="B645" t="s">
        <v>1841</v>
      </c>
      <c r="C645" s="327"/>
      <c r="D645" s="327" t="str">
        <f t="shared" si="14"/>
        <v>NACE H - 50.10 Sea and coastal passenger water transport</v>
      </c>
      <c r="K645" t="s">
        <v>5289</v>
      </c>
    </row>
    <row r="646" spans="1:11" x14ac:dyDescent="0.3">
      <c r="A646" s="326" t="s">
        <v>1842</v>
      </c>
      <c r="B646" t="s">
        <v>1843</v>
      </c>
      <c r="C646" s="327"/>
      <c r="D646" s="326" t="str">
        <f t="shared" si="14"/>
        <v>NACE H - 50.2 Sea and coastal freight water transport</v>
      </c>
      <c r="K646" t="s">
        <v>4651</v>
      </c>
    </row>
    <row r="647" spans="1:11" x14ac:dyDescent="0.3">
      <c r="A647" s="327" t="s">
        <v>1844</v>
      </c>
      <c r="B647" t="s">
        <v>1845</v>
      </c>
      <c r="C647" s="327"/>
      <c r="D647" s="327" t="str">
        <f t="shared" si="14"/>
        <v>NACE H - 50.20 Sea and coastal freight water transport</v>
      </c>
      <c r="K647" t="s">
        <v>5290</v>
      </c>
    </row>
    <row r="648" spans="1:11" x14ac:dyDescent="0.3">
      <c r="A648" s="326" t="s">
        <v>1846</v>
      </c>
      <c r="B648" t="s">
        <v>1847</v>
      </c>
      <c r="C648" s="327"/>
      <c r="D648" s="326" t="str">
        <f t="shared" si="14"/>
        <v>NACE H - 50.3 Inland passenger water transport</v>
      </c>
      <c r="K648" t="s">
        <v>5291</v>
      </c>
    </row>
    <row r="649" spans="1:11" x14ac:dyDescent="0.3">
      <c r="A649" s="327" t="s">
        <v>1848</v>
      </c>
      <c r="B649" t="s">
        <v>1849</v>
      </c>
      <c r="C649" s="327"/>
      <c r="D649" s="327" t="str">
        <f t="shared" si="14"/>
        <v>NACE H - 50.30 Inland passenger water transport</v>
      </c>
      <c r="K649" t="s">
        <v>5292</v>
      </c>
    </row>
    <row r="650" spans="1:11" x14ac:dyDescent="0.3">
      <c r="A650" s="326" t="s">
        <v>1850</v>
      </c>
      <c r="B650" t="s">
        <v>1851</v>
      </c>
      <c r="C650" s="327"/>
      <c r="D650" s="326" t="str">
        <f t="shared" si="14"/>
        <v>NACE H - 50.4 Inland freight water transport</v>
      </c>
      <c r="K650" t="s">
        <v>5293</v>
      </c>
    </row>
    <row r="651" spans="1:11" x14ac:dyDescent="0.3">
      <c r="A651" s="327" t="s">
        <v>1852</v>
      </c>
      <c r="B651" t="s">
        <v>1853</v>
      </c>
      <c r="C651" s="327"/>
      <c r="D651" s="327" t="str">
        <f t="shared" si="14"/>
        <v>NACE H - 50.40 Inland freight water transport</v>
      </c>
      <c r="K651" t="s">
        <v>5294</v>
      </c>
    </row>
    <row r="652" spans="1:11" x14ac:dyDescent="0.3">
      <c r="A652" s="323" t="s">
        <v>1854</v>
      </c>
      <c r="B652" t="s">
        <v>1855</v>
      </c>
      <c r="C652" s="327"/>
      <c r="D652" s="323" t="str">
        <f t="shared" si="14"/>
        <v>NACE H - 51 Air transport</v>
      </c>
      <c r="K652" t="s">
        <v>5295</v>
      </c>
    </row>
    <row r="653" spans="1:11" x14ac:dyDescent="0.3">
      <c r="A653" s="326" t="s">
        <v>1856</v>
      </c>
      <c r="B653" t="s">
        <v>1857</v>
      </c>
      <c r="C653" s="327"/>
      <c r="D653" s="326" t="str">
        <f t="shared" si="14"/>
        <v>NACE H - 51.1 Passenger air transport</v>
      </c>
      <c r="K653" t="s">
        <v>4652</v>
      </c>
    </row>
    <row r="654" spans="1:11" x14ac:dyDescent="0.3">
      <c r="A654" s="327" t="s">
        <v>1858</v>
      </c>
      <c r="B654" t="s">
        <v>1859</v>
      </c>
      <c r="C654" s="327"/>
      <c r="D654" s="327" t="str">
        <f t="shared" si="14"/>
        <v>NACE H - 51.10 Passenger air transport</v>
      </c>
      <c r="K654" t="s">
        <v>5296</v>
      </c>
    </row>
    <row r="655" spans="1:11" x14ac:dyDescent="0.3">
      <c r="A655" s="326" t="s">
        <v>1860</v>
      </c>
      <c r="B655" t="s">
        <v>1861</v>
      </c>
      <c r="C655" s="327"/>
      <c r="D655" s="326" t="str">
        <f t="shared" si="14"/>
        <v>NACE H - 51.2 Freight air transport and space transport</v>
      </c>
      <c r="K655" t="s">
        <v>5297</v>
      </c>
    </row>
    <row r="656" spans="1:11" x14ac:dyDescent="0.3">
      <c r="A656" s="327" t="s">
        <v>1862</v>
      </c>
      <c r="B656" t="s">
        <v>1863</v>
      </c>
      <c r="C656" s="327"/>
      <c r="D656" s="327" t="str">
        <f t="shared" si="14"/>
        <v>NACE H - 51.21 Freight air transport</v>
      </c>
      <c r="K656" t="s">
        <v>5298</v>
      </c>
    </row>
    <row r="657" spans="1:11" x14ac:dyDescent="0.3">
      <c r="A657" s="327" t="s">
        <v>1864</v>
      </c>
      <c r="B657" t="s">
        <v>1865</v>
      </c>
      <c r="C657" s="327"/>
      <c r="D657" s="327" t="str">
        <f t="shared" si="14"/>
        <v>NACE H - 51.22 Space transport</v>
      </c>
      <c r="K657" t="s">
        <v>5299</v>
      </c>
    </row>
    <row r="658" spans="1:11" x14ac:dyDescent="0.3">
      <c r="A658" s="323" t="s">
        <v>1866</v>
      </c>
      <c r="B658" t="s">
        <v>1867</v>
      </c>
      <c r="C658" s="327"/>
      <c r="D658" s="323" t="str">
        <f t="shared" si="14"/>
        <v>NACE H - 52 Warehousing, storage and support activities for transportation</v>
      </c>
      <c r="K658" t="s">
        <v>5300</v>
      </c>
    </row>
    <row r="659" spans="1:11" x14ac:dyDescent="0.3">
      <c r="A659" s="326" t="s">
        <v>1868</v>
      </c>
      <c r="B659" t="s">
        <v>1869</v>
      </c>
      <c r="C659" s="327"/>
      <c r="D659" s="326" t="str">
        <f t="shared" si="14"/>
        <v>NACE H - 52.1 Warehousing and storage</v>
      </c>
      <c r="K659" t="s">
        <v>5301</v>
      </c>
    </row>
    <row r="660" spans="1:11" x14ac:dyDescent="0.3">
      <c r="A660" s="327" t="s">
        <v>1870</v>
      </c>
      <c r="B660" t="s">
        <v>1871</v>
      </c>
      <c r="C660" s="327"/>
      <c r="D660" s="327" t="str">
        <f t="shared" si="14"/>
        <v>NACE H - 52.10 Warehousing and storage</v>
      </c>
      <c r="K660" t="s">
        <v>5302</v>
      </c>
    </row>
    <row r="661" spans="1:11" x14ac:dyDescent="0.3">
      <c r="A661" s="326" t="s">
        <v>1872</v>
      </c>
      <c r="B661" t="s">
        <v>1873</v>
      </c>
      <c r="C661" s="327"/>
      <c r="D661" s="326" t="str">
        <f t="shared" si="14"/>
        <v>NACE H - 52.2 Support activities for transportation</v>
      </c>
      <c r="K661" t="s">
        <v>5303</v>
      </c>
    </row>
    <row r="662" spans="1:11" x14ac:dyDescent="0.3">
      <c r="A662" s="327" t="s">
        <v>1874</v>
      </c>
      <c r="B662" t="s">
        <v>1875</v>
      </c>
      <c r="C662" s="327"/>
      <c r="D662" s="327" t="str">
        <f t="shared" si="14"/>
        <v>NACE H - 52.21 Service activities incidental to land transportation</v>
      </c>
      <c r="K662" t="s">
        <v>5304</v>
      </c>
    </row>
    <row r="663" spans="1:11" x14ac:dyDescent="0.3">
      <c r="A663" s="327" t="s">
        <v>1876</v>
      </c>
      <c r="B663" t="s">
        <v>1877</v>
      </c>
      <c r="C663" s="327"/>
      <c r="D663" s="327" t="str">
        <f t="shared" si="14"/>
        <v>NACE H - 52.22 Service activities incidental to water transportation</v>
      </c>
      <c r="K663" t="s">
        <v>5305</v>
      </c>
    </row>
    <row r="664" spans="1:11" x14ac:dyDescent="0.3">
      <c r="A664" s="327" t="s">
        <v>1878</v>
      </c>
      <c r="B664" t="s">
        <v>1879</v>
      </c>
      <c r="C664" s="327"/>
      <c r="D664" s="327" t="str">
        <f t="shared" si="14"/>
        <v>NACE H - 52.23 Service activities incidental to air transportation</v>
      </c>
      <c r="K664" t="s">
        <v>5306</v>
      </c>
    </row>
    <row r="665" spans="1:11" x14ac:dyDescent="0.3">
      <c r="A665" s="327" t="s">
        <v>1880</v>
      </c>
      <c r="B665" t="s">
        <v>1881</v>
      </c>
      <c r="C665" s="327"/>
      <c r="D665" s="327" t="str">
        <f t="shared" si="14"/>
        <v>NACE H - 52.24 Cargo handling</v>
      </c>
      <c r="K665" t="s">
        <v>5307</v>
      </c>
    </row>
    <row r="666" spans="1:11" x14ac:dyDescent="0.3">
      <c r="A666" s="327" t="s">
        <v>1882</v>
      </c>
      <c r="B666" t="s">
        <v>1883</v>
      </c>
      <c r="C666" s="327"/>
      <c r="D666" s="327" t="str">
        <f t="shared" si="14"/>
        <v>NACE H - 52.25 Logistics service activities</v>
      </c>
      <c r="K666" t="s">
        <v>5308</v>
      </c>
    </row>
    <row r="667" spans="1:11" x14ac:dyDescent="0.3">
      <c r="A667" s="327" t="s">
        <v>1884</v>
      </c>
      <c r="B667" t="s">
        <v>1885</v>
      </c>
      <c r="C667" s="327"/>
      <c r="D667" s="327" t="str">
        <f t="shared" si="14"/>
        <v>NACE H - 52.26 Other support activities for transportation</v>
      </c>
      <c r="K667" t="s">
        <v>5309</v>
      </c>
    </row>
    <row r="668" spans="1:11" x14ac:dyDescent="0.3">
      <c r="A668" s="326" t="s">
        <v>1886</v>
      </c>
      <c r="B668" t="s">
        <v>1887</v>
      </c>
      <c r="C668" s="327"/>
      <c r="D668" s="326" t="str">
        <f t="shared" si="14"/>
        <v>NACE H - 52.3 Intermediation service activities for transportation</v>
      </c>
      <c r="K668" t="s">
        <v>4653</v>
      </c>
    </row>
    <row r="669" spans="1:11" x14ac:dyDescent="0.3">
      <c r="A669" s="327" t="s">
        <v>1888</v>
      </c>
      <c r="B669" t="s">
        <v>1889</v>
      </c>
      <c r="C669" s="327"/>
      <c r="D669" s="327" t="str">
        <f t="shared" si="14"/>
        <v>NACE H - 52.31 Intermediation service activities for freight transportation</v>
      </c>
      <c r="K669" t="s">
        <v>5310</v>
      </c>
    </row>
    <row r="670" spans="1:11" x14ac:dyDescent="0.3">
      <c r="A670" s="327" t="s">
        <v>1890</v>
      </c>
      <c r="B670" t="s">
        <v>1891</v>
      </c>
      <c r="C670" s="327"/>
      <c r="D670" s="327" t="str">
        <f t="shared" si="14"/>
        <v>NACE H - 52.32 Intermediation service activities for passenger transportation</v>
      </c>
      <c r="K670" t="s">
        <v>5311</v>
      </c>
    </row>
    <row r="671" spans="1:11" x14ac:dyDescent="0.3">
      <c r="A671" s="323" t="s">
        <v>1892</v>
      </c>
      <c r="B671" t="s">
        <v>1893</v>
      </c>
      <c r="C671" s="327"/>
      <c r="D671" s="323" t="str">
        <f t="shared" si="14"/>
        <v>NACE H - 53 Postal and courier activities</v>
      </c>
      <c r="K671" t="s">
        <v>5312</v>
      </c>
    </row>
    <row r="672" spans="1:11" x14ac:dyDescent="0.3">
      <c r="A672" s="326" t="s">
        <v>1894</v>
      </c>
      <c r="B672" t="s">
        <v>1895</v>
      </c>
      <c r="C672" s="327"/>
      <c r="D672" s="326" t="str">
        <f t="shared" si="14"/>
        <v>NACE H - 53.1 Postal activities under universal service obligation</v>
      </c>
      <c r="K672" t="s">
        <v>5313</v>
      </c>
    </row>
    <row r="673" spans="1:11" x14ac:dyDescent="0.3">
      <c r="A673" s="327" t="s">
        <v>1896</v>
      </c>
      <c r="B673" t="s">
        <v>1897</v>
      </c>
      <c r="C673" s="327"/>
      <c r="D673" s="327" t="str">
        <f t="shared" si="14"/>
        <v>NACE H - 53.10 Postal activities under universal service obligation</v>
      </c>
      <c r="K673" t="s">
        <v>5314</v>
      </c>
    </row>
    <row r="674" spans="1:11" x14ac:dyDescent="0.3">
      <c r="A674" s="326" t="s">
        <v>1898</v>
      </c>
      <c r="B674" t="s">
        <v>1899</v>
      </c>
      <c r="C674" s="327"/>
      <c r="D674" s="326" t="str">
        <f t="shared" si="14"/>
        <v>NACE H - 53.2 Other postal and courier activities</v>
      </c>
      <c r="K674" t="s">
        <v>5315</v>
      </c>
    </row>
    <row r="675" spans="1:11" x14ac:dyDescent="0.3">
      <c r="A675" s="327" t="s">
        <v>1900</v>
      </c>
      <c r="B675" t="s">
        <v>1901</v>
      </c>
      <c r="C675" s="327"/>
      <c r="D675" s="327" t="str">
        <f t="shared" si="14"/>
        <v>NACE H - 53.20 Other postal and courier activities</v>
      </c>
      <c r="K675" t="s">
        <v>5316</v>
      </c>
    </row>
    <row r="676" spans="1:11" x14ac:dyDescent="0.3">
      <c r="A676" s="326" t="s">
        <v>1902</v>
      </c>
      <c r="B676" t="s">
        <v>1903</v>
      </c>
      <c r="C676" s="327"/>
      <c r="D676" s="326" t="str">
        <f t="shared" si="14"/>
        <v>NACE H - 53.3 Intermediation service activities for postal and courier activities</v>
      </c>
      <c r="K676" t="s">
        <v>5317</v>
      </c>
    </row>
    <row r="677" spans="1:11" x14ac:dyDescent="0.3">
      <c r="A677" s="327" t="s">
        <v>1904</v>
      </c>
      <c r="B677" t="s">
        <v>1905</v>
      </c>
      <c r="C677" s="327"/>
      <c r="D677" s="327" t="str">
        <f t="shared" si="14"/>
        <v>NACE H - 53.30 Intermediation service activities for postal and courier activities</v>
      </c>
      <c r="K677" t="s">
        <v>5318</v>
      </c>
    </row>
    <row r="678" spans="1:11" x14ac:dyDescent="0.3">
      <c r="A678" s="324" t="s">
        <v>1906</v>
      </c>
      <c r="B678" t="s">
        <v>1907</v>
      </c>
      <c r="C678" s="327"/>
      <c r="D678" s="324" t="str">
        <f t="shared" si="14"/>
        <v>NACE I - ACCOMMODATION AND FOOD SERVICE ACTIVITIES</v>
      </c>
      <c r="K678" t="s">
        <v>5319</v>
      </c>
    </row>
    <row r="679" spans="1:11" x14ac:dyDescent="0.3">
      <c r="A679" s="323" t="s">
        <v>1908</v>
      </c>
      <c r="B679" t="s">
        <v>1909</v>
      </c>
      <c r="C679" s="327"/>
      <c r="D679" s="323" t="str">
        <f t="shared" si="14"/>
        <v>NACE I - 55 Accommodation</v>
      </c>
      <c r="K679" t="s">
        <v>5320</v>
      </c>
    </row>
    <row r="680" spans="1:11" x14ac:dyDescent="0.3">
      <c r="A680" s="326" t="s">
        <v>1910</v>
      </c>
      <c r="B680" t="s">
        <v>1911</v>
      </c>
      <c r="C680" s="327"/>
      <c r="D680" s="326" t="str">
        <f t="shared" si="14"/>
        <v>NACE I - 55.1 Hotels and similar accommodation</v>
      </c>
      <c r="K680" t="s">
        <v>5321</v>
      </c>
    </row>
    <row r="681" spans="1:11" x14ac:dyDescent="0.3">
      <c r="A681" s="327" t="s">
        <v>1912</v>
      </c>
      <c r="B681" t="s">
        <v>1913</v>
      </c>
      <c r="C681" s="327"/>
      <c r="D681" s="327" t="str">
        <f t="shared" si="14"/>
        <v>NACE I - 55.10 Hotels and similar accommodation</v>
      </c>
      <c r="K681" t="s">
        <v>5322</v>
      </c>
    </row>
    <row r="682" spans="1:11" x14ac:dyDescent="0.3">
      <c r="A682" s="326" t="s">
        <v>1914</v>
      </c>
      <c r="B682" t="s">
        <v>1915</v>
      </c>
      <c r="C682" s="327"/>
      <c r="D682" s="326" t="str">
        <f t="shared" si="14"/>
        <v>NACE I - 55.2 Holiday and other short-stay accommodation</v>
      </c>
      <c r="K682" t="s">
        <v>5323</v>
      </c>
    </row>
    <row r="683" spans="1:11" x14ac:dyDescent="0.3">
      <c r="A683" s="327" t="s">
        <v>1916</v>
      </c>
      <c r="B683" t="s">
        <v>1917</v>
      </c>
      <c r="C683" s="327"/>
      <c r="D683" s="327" t="str">
        <f t="shared" si="14"/>
        <v>NACE I - 55.20 Holiday and other short-stay accommodation</v>
      </c>
      <c r="K683" t="s">
        <v>5324</v>
      </c>
    </row>
    <row r="684" spans="1:11" x14ac:dyDescent="0.3">
      <c r="A684" s="326" t="s">
        <v>1918</v>
      </c>
      <c r="B684" t="s">
        <v>1919</v>
      </c>
      <c r="C684" s="327"/>
      <c r="D684" s="326" t="str">
        <f t="shared" si="14"/>
        <v>NACE I - 55.3 Camping grounds and recreational vehicle parks</v>
      </c>
      <c r="K684" t="s">
        <v>5325</v>
      </c>
    </row>
    <row r="685" spans="1:11" x14ac:dyDescent="0.3">
      <c r="A685" s="327" t="s">
        <v>1920</v>
      </c>
      <c r="B685" t="s">
        <v>1921</v>
      </c>
      <c r="C685" s="327"/>
      <c r="D685" s="327" t="str">
        <f t="shared" si="14"/>
        <v>NACE I - 55.30 Camping grounds and recreational vehicle parks</v>
      </c>
      <c r="K685" t="s">
        <v>5326</v>
      </c>
    </row>
    <row r="686" spans="1:11" x14ac:dyDescent="0.3">
      <c r="A686" s="326" t="s">
        <v>1922</v>
      </c>
      <c r="B686" t="s">
        <v>1923</v>
      </c>
      <c r="C686" s="327"/>
      <c r="D686" s="326" t="str">
        <f t="shared" si="14"/>
        <v>NACE I - 55.4 Intermediation service activities for accommodation</v>
      </c>
      <c r="K686" t="s">
        <v>5327</v>
      </c>
    </row>
    <row r="687" spans="1:11" x14ac:dyDescent="0.3">
      <c r="A687" s="327" t="s">
        <v>1924</v>
      </c>
      <c r="B687" t="s">
        <v>1925</v>
      </c>
      <c r="C687" s="327"/>
      <c r="D687" s="327" t="str">
        <f t="shared" si="14"/>
        <v>NACE I - 55.40 Intermediation service activities for accommodation</v>
      </c>
      <c r="K687" t="s">
        <v>5328</v>
      </c>
    </row>
    <row r="688" spans="1:11" x14ac:dyDescent="0.3">
      <c r="A688" s="326" t="s">
        <v>1926</v>
      </c>
      <c r="B688" t="s">
        <v>1927</v>
      </c>
      <c r="C688" s="327"/>
      <c r="D688" s="326" t="str">
        <f t="shared" si="14"/>
        <v>NACE I - 55.9 Other accommodation</v>
      </c>
      <c r="K688" t="s">
        <v>5329</v>
      </c>
    </row>
    <row r="689" spans="1:11" x14ac:dyDescent="0.3">
      <c r="A689" s="327" t="s">
        <v>1928</v>
      </c>
      <c r="B689" t="s">
        <v>1929</v>
      </c>
      <c r="C689" s="327"/>
      <c r="D689" s="327" t="str">
        <f t="shared" si="14"/>
        <v>NACE I - 55.90 Other accommodation</v>
      </c>
      <c r="K689" t="s">
        <v>5330</v>
      </c>
    </row>
    <row r="690" spans="1:11" x14ac:dyDescent="0.3">
      <c r="A690" s="323" t="s">
        <v>1930</v>
      </c>
      <c r="B690" t="s">
        <v>1931</v>
      </c>
      <c r="C690" s="327"/>
      <c r="D690" s="323" t="str">
        <f t="shared" si="14"/>
        <v>NACE I - 56 Food and beverage service activities</v>
      </c>
      <c r="K690" t="s">
        <v>5331</v>
      </c>
    </row>
    <row r="691" spans="1:11" x14ac:dyDescent="0.3">
      <c r="A691" s="326" t="s">
        <v>1932</v>
      </c>
      <c r="B691" t="s">
        <v>1933</v>
      </c>
      <c r="C691" s="327"/>
      <c r="D691" s="326" t="str">
        <f t="shared" si="14"/>
        <v>NACE I - 56.1 Restaurants and mobile food service activities</v>
      </c>
      <c r="K691" t="s">
        <v>5332</v>
      </c>
    </row>
    <row r="692" spans="1:11" x14ac:dyDescent="0.3">
      <c r="A692" s="327" t="s">
        <v>1934</v>
      </c>
      <c r="B692" t="s">
        <v>1935</v>
      </c>
      <c r="C692" s="327"/>
      <c r="D692" s="327" t="str">
        <f t="shared" si="14"/>
        <v>NACE I - 56.11 Restaurant activities</v>
      </c>
      <c r="K692" t="s">
        <v>5333</v>
      </c>
    </row>
    <row r="693" spans="1:11" x14ac:dyDescent="0.3">
      <c r="A693" s="327" t="s">
        <v>1936</v>
      </c>
      <c r="B693" t="s">
        <v>1937</v>
      </c>
      <c r="C693" s="327"/>
      <c r="D693" s="327" t="str">
        <f t="shared" si="14"/>
        <v>NACE I - 56.12 Mobile food service activities</v>
      </c>
      <c r="K693" t="s">
        <v>5334</v>
      </c>
    </row>
    <row r="694" spans="1:11" x14ac:dyDescent="0.3">
      <c r="A694" s="326" t="s">
        <v>1938</v>
      </c>
      <c r="B694" t="s">
        <v>1939</v>
      </c>
      <c r="C694" s="327"/>
      <c r="D694" s="326" t="str">
        <f t="shared" si="14"/>
        <v>NACE I - 56.2 Event catering, contract catering service activities and other food service activities</v>
      </c>
      <c r="K694" t="s">
        <v>5335</v>
      </c>
    </row>
    <row r="695" spans="1:11" x14ac:dyDescent="0.3">
      <c r="A695" s="327" t="s">
        <v>1940</v>
      </c>
      <c r="B695" t="s">
        <v>1941</v>
      </c>
      <c r="C695" s="327"/>
      <c r="D695" s="327" t="str">
        <f t="shared" si="14"/>
        <v>NACE I - 56.21 Event catering activities</v>
      </c>
      <c r="K695" t="s">
        <v>5336</v>
      </c>
    </row>
    <row r="696" spans="1:11" x14ac:dyDescent="0.3">
      <c r="A696" s="327" t="s">
        <v>1942</v>
      </c>
      <c r="B696" t="s">
        <v>1943</v>
      </c>
      <c r="C696" s="327"/>
      <c r="D696" s="327" t="str">
        <f t="shared" si="14"/>
        <v>NACE I - 56.22 Contract catering service activities and other food service activities</v>
      </c>
      <c r="K696" t="s">
        <v>5337</v>
      </c>
    </row>
    <row r="697" spans="1:11" x14ac:dyDescent="0.3">
      <c r="A697" s="326" t="s">
        <v>1944</v>
      </c>
      <c r="B697" t="s">
        <v>1945</v>
      </c>
      <c r="C697" s="327"/>
      <c r="D697" s="326" t="str">
        <f t="shared" si="14"/>
        <v>NACE I - 56.3 Beverage serving activities</v>
      </c>
      <c r="K697" t="s">
        <v>5338</v>
      </c>
    </row>
    <row r="698" spans="1:11" x14ac:dyDescent="0.3">
      <c r="A698" s="327" t="s">
        <v>1946</v>
      </c>
      <c r="B698" t="s">
        <v>1947</v>
      </c>
      <c r="C698" s="327"/>
      <c r="D698" s="327" t="str">
        <f t="shared" si="14"/>
        <v>NACE I - 56.30 Beverage serving activities</v>
      </c>
      <c r="K698" t="s">
        <v>5339</v>
      </c>
    </row>
    <row r="699" spans="1:11" x14ac:dyDescent="0.3">
      <c r="A699" s="326" t="s">
        <v>1948</v>
      </c>
      <c r="B699" t="s">
        <v>1949</v>
      </c>
      <c r="C699" s="327"/>
      <c r="D699" s="326" t="str">
        <f t="shared" si="14"/>
        <v>NACE I - 56.4 Intermediation service activities for food and beverage services activities</v>
      </c>
      <c r="K699" t="s">
        <v>5340</v>
      </c>
    </row>
    <row r="700" spans="1:11" x14ac:dyDescent="0.3">
      <c r="A700" s="327" t="s">
        <v>1950</v>
      </c>
      <c r="B700" t="s">
        <v>1951</v>
      </c>
      <c r="C700" s="327"/>
      <c r="D700" s="327" t="str">
        <f t="shared" si="14"/>
        <v>NACE I - 56.40 Intermediation service activities for food and beverage services activities</v>
      </c>
      <c r="K700" t="s">
        <v>5341</v>
      </c>
    </row>
    <row r="701" spans="1:11" x14ac:dyDescent="0.3">
      <c r="A701" s="324" t="s">
        <v>1952</v>
      </c>
      <c r="B701" t="s">
        <v>1953</v>
      </c>
      <c r="C701" s="327"/>
      <c r="D701" s="324" t="str">
        <f t="shared" si="14"/>
        <v>NACE J - PUBLISHING, BROADCASTING, AND CONTENT PRODUCTION AND DISTRIBUTION ACTIVITIES</v>
      </c>
      <c r="K701" t="s">
        <v>5342</v>
      </c>
    </row>
    <row r="702" spans="1:11" x14ac:dyDescent="0.3">
      <c r="A702" s="323" t="s">
        <v>1954</v>
      </c>
      <c r="B702" t="s">
        <v>1955</v>
      </c>
      <c r="C702" s="327"/>
      <c r="D702" s="323" t="str">
        <f t="shared" si="14"/>
        <v>NACE J - 58 Publishing activities</v>
      </c>
      <c r="K702" t="s">
        <v>5343</v>
      </c>
    </row>
    <row r="703" spans="1:11" x14ac:dyDescent="0.3">
      <c r="A703" s="326" t="s">
        <v>1956</v>
      </c>
      <c r="B703" t="s">
        <v>1957</v>
      </c>
      <c r="C703" s="327"/>
      <c r="D703" s="326" t="str">
        <f t="shared" si="14"/>
        <v>NACE J - 58.1 Publishing of books, newspapers and other publishing activities, except software publishing</v>
      </c>
      <c r="K703" t="s">
        <v>5344</v>
      </c>
    </row>
    <row r="704" spans="1:11" x14ac:dyDescent="0.3">
      <c r="A704" s="327" t="s">
        <v>1958</v>
      </c>
      <c r="B704" t="s">
        <v>1959</v>
      </c>
      <c r="C704" s="327"/>
      <c r="D704" s="327" t="str">
        <f t="shared" si="14"/>
        <v>NACE J - 58.11 Publishing of books</v>
      </c>
      <c r="K704" t="s">
        <v>5345</v>
      </c>
    </row>
    <row r="705" spans="1:11" x14ac:dyDescent="0.3">
      <c r="A705" s="327" t="s">
        <v>1960</v>
      </c>
      <c r="B705" t="s">
        <v>1961</v>
      </c>
      <c r="C705" s="327"/>
      <c r="D705" s="327" t="str">
        <f t="shared" si="14"/>
        <v>NACE J - 58.12 Publishing of newspapers</v>
      </c>
      <c r="K705" t="s">
        <v>5346</v>
      </c>
    </row>
    <row r="706" spans="1:11" x14ac:dyDescent="0.3">
      <c r="A706" s="327" t="s">
        <v>1962</v>
      </c>
      <c r="B706" t="s">
        <v>1963</v>
      </c>
      <c r="C706" s="327"/>
      <c r="D706" s="327" t="str">
        <f t="shared" ref="D706:D769" si="15">_xlfn.CONCAT("NACE ", A706)</f>
        <v>NACE J - 58.13 Publishing of journals and periodicals</v>
      </c>
      <c r="K706" t="s">
        <v>5347</v>
      </c>
    </row>
    <row r="707" spans="1:11" x14ac:dyDescent="0.3">
      <c r="A707" s="327" t="s">
        <v>1964</v>
      </c>
      <c r="B707" t="s">
        <v>1965</v>
      </c>
      <c r="C707" s="327"/>
      <c r="D707" s="327" t="str">
        <f t="shared" si="15"/>
        <v>NACE J - 58.19 Other publishing activities, except software publishing</v>
      </c>
      <c r="K707" t="s">
        <v>5348</v>
      </c>
    </row>
    <row r="708" spans="1:11" x14ac:dyDescent="0.3">
      <c r="A708" s="326" t="s">
        <v>1966</v>
      </c>
      <c r="B708" t="s">
        <v>1967</v>
      </c>
      <c r="C708" s="327"/>
      <c r="D708" s="326" t="str">
        <f t="shared" si="15"/>
        <v>NACE J - 58.2 Software publishing</v>
      </c>
      <c r="K708" t="s">
        <v>5349</v>
      </c>
    </row>
    <row r="709" spans="1:11" x14ac:dyDescent="0.3">
      <c r="A709" s="327" t="s">
        <v>1968</v>
      </c>
      <c r="B709" t="s">
        <v>1969</v>
      </c>
      <c r="C709" s="327"/>
      <c r="D709" s="327" t="str">
        <f t="shared" si="15"/>
        <v>NACE J - 58.21 Publishing of video games</v>
      </c>
      <c r="K709" t="s">
        <v>5350</v>
      </c>
    </row>
    <row r="710" spans="1:11" x14ac:dyDescent="0.3">
      <c r="A710" s="327" t="s">
        <v>1970</v>
      </c>
      <c r="B710" t="s">
        <v>1971</v>
      </c>
      <c r="C710" s="327"/>
      <c r="D710" s="327" t="str">
        <f t="shared" si="15"/>
        <v>NACE J - 58.29 Other software publishing</v>
      </c>
      <c r="K710" t="s">
        <v>5351</v>
      </c>
    </row>
    <row r="711" spans="1:11" x14ac:dyDescent="0.3">
      <c r="A711" s="323" t="s">
        <v>1972</v>
      </c>
      <c r="B711" t="s">
        <v>1973</v>
      </c>
      <c r="C711" s="327"/>
      <c r="D711" s="323" t="str">
        <f t="shared" si="15"/>
        <v>NACE J - 59 Motion picture, video and television programme production, sound recording and music publishing activities</v>
      </c>
      <c r="K711" t="s">
        <v>5352</v>
      </c>
    </row>
    <row r="712" spans="1:11" x14ac:dyDescent="0.3">
      <c r="A712" s="326" t="s">
        <v>1974</v>
      </c>
      <c r="B712" t="s">
        <v>1975</v>
      </c>
      <c r="C712" s="327"/>
      <c r="D712" s="326" t="str">
        <f t="shared" si="15"/>
        <v>NACE J - 59.1 Motion picture, video and television programme activities</v>
      </c>
      <c r="K712" t="s">
        <v>5353</v>
      </c>
    </row>
    <row r="713" spans="1:11" x14ac:dyDescent="0.3">
      <c r="A713" s="327" t="s">
        <v>1976</v>
      </c>
      <c r="B713" t="s">
        <v>1977</v>
      </c>
      <c r="C713" s="327"/>
      <c r="D713" s="327" t="str">
        <f t="shared" si="15"/>
        <v>NACE J - 59.11 Motion picture, video and television programme production activities</v>
      </c>
      <c r="K713" t="s">
        <v>5354</v>
      </c>
    </row>
    <row r="714" spans="1:11" x14ac:dyDescent="0.3">
      <c r="A714" s="327" t="s">
        <v>1978</v>
      </c>
      <c r="B714" t="s">
        <v>1979</v>
      </c>
      <c r="C714" s="327"/>
      <c r="D714" s="327" t="str">
        <f t="shared" si="15"/>
        <v>NACE J - 59.12 Motion picture, video and television programme post-production activities</v>
      </c>
      <c r="K714" t="s">
        <v>5355</v>
      </c>
    </row>
    <row r="715" spans="1:11" x14ac:dyDescent="0.3">
      <c r="A715" s="327" t="s">
        <v>1980</v>
      </c>
      <c r="B715" t="s">
        <v>1981</v>
      </c>
      <c r="C715" s="327"/>
      <c r="D715" s="327" t="str">
        <f t="shared" si="15"/>
        <v>NACE J - 59.13 Motion picture and video distribution activities</v>
      </c>
      <c r="K715" t="s">
        <v>5356</v>
      </c>
    </row>
    <row r="716" spans="1:11" x14ac:dyDescent="0.3">
      <c r="A716" s="327" t="s">
        <v>1982</v>
      </c>
      <c r="B716" t="s">
        <v>1983</v>
      </c>
      <c r="C716" s="327"/>
      <c r="D716" s="327" t="str">
        <f t="shared" si="15"/>
        <v>NACE J - 59.14 Motion picture projection activities</v>
      </c>
      <c r="K716" t="s">
        <v>5357</v>
      </c>
    </row>
    <row r="717" spans="1:11" x14ac:dyDescent="0.3">
      <c r="A717" s="326" t="s">
        <v>1984</v>
      </c>
      <c r="B717" t="s">
        <v>1985</v>
      </c>
      <c r="C717" s="327"/>
      <c r="D717" s="326" t="str">
        <f t="shared" si="15"/>
        <v>NACE J - 59.2 Sound recording and music publishing activities</v>
      </c>
      <c r="K717" t="s">
        <v>5358</v>
      </c>
    </row>
    <row r="718" spans="1:11" x14ac:dyDescent="0.3">
      <c r="A718" s="327" t="s">
        <v>1986</v>
      </c>
      <c r="B718" t="s">
        <v>1987</v>
      </c>
      <c r="C718" s="327"/>
      <c r="D718" s="327" t="str">
        <f t="shared" si="15"/>
        <v>NACE J - 59.20 Sound recording and music publishing activities</v>
      </c>
      <c r="K718" t="s">
        <v>5359</v>
      </c>
    </row>
    <row r="719" spans="1:11" x14ac:dyDescent="0.3">
      <c r="A719" s="323" t="s">
        <v>1988</v>
      </c>
      <c r="B719" t="s">
        <v>1989</v>
      </c>
      <c r="C719" s="327"/>
      <c r="D719" s="323" t="str">
        <f t="shared" si="15"/>
        <v>NACE J - 60 Programming, broadcasting, news agency and other content distribution activities</v>
      </c>
      <c r="K719" t="s">
        <v>5360</v>
      </c>
    </row>
    <row r="720" spans="1:11" x14ac:dyDescent="0.3">
      <c r="A720" s="326" t="s">
        <v>1990</v>
      </c>
      <c r="B720" t="s">
        <v>1991</v>
      </c>
      <c r="C720" s="327"/>
      <c r="D720" s="326" t="str">
        <f t="shared" si="15"/>
        <v>NACE J - 60.1 Radio broadcasting and audio distribution activities</v>
      </c>
      <c r="K720" t="s">
        <v>5361</v>
      </c>
    </row>
    <row r="721" spans="1:11" x14ac:dyDescent="0.3">
      <c r="A721" s="327" t="s">
        <v>1992</v>
      </c>
      <c r="B721" t="s">
        <v>1993</v>
      </c>
      <c r="C721" s="327"/>
      <c r="D721" s="327" t="str">
        <f t="shared" si="15"/>
        <v>NACE J - 60.10 Radio broadcasting and audio distribution activities</v>
      </c>
      <c r="K721" t="s">
        <v>5362</v>
      </c>
    </row>
    <row r="722" spans="1:11" x14ac:dyDescent="0.3">
      <c r="A722" s="326" t="s">
        <v>1994</v>
      </c>
      <c r="B722" t="s">
        <v>1995</v>
      </c>
      <c r="C722" s="327"/>
      <c r="D722" s="326" t="str">
        <f t="shared" si="15"/>
        <v>NACE J - 60.2 Television programming, broadcasting and video distribution activities</v>
      </c>
      <c r="K722" t="s">
        <v>5363</v>
      </c>
    </row>
    <row r="723" spans="1:11" x14ac:dyDescent="0.3">
      <c r="A723" s="327" t="s">
        <v>1996</v>
      </c>
      <c r="B723" t="s">
        <v>1997</v>
      </c>
      <c r="C723" s="327"/>
      <c r="D723" s="327" t="str">
        <f t="shared" si="15"/>
        <v>NACE J - 60.20 Television programming, broadcasting and video distribution activities</v>
      </c>
      <c r="K723" t="s">
        <v>5364</v>
      </c>
    </row>
    <row r="724" spans="1:11" x14ac:dyDescent="0.3">
      <c r="A724" s="326" t="s">
        <v>1998</v>
      </c>
      <c r="B724" t="s">
        <v>1999</v>
      </c>
      <c r="C724" s="327"/>
      <c r="D724" s="326" t="str">
        <f t="shared" si="15"/>
        <v>NACE J - 60.3 News agency and other content distribution activities</v>
      </c>
      <c r="K724" t="s">
        <v>5365</v>
      </c>
    </row>
    <row r="725" spans="1:11" x14ac:dyDescent="0.3">
      <c r="A725" s="327" t="s">
        <v>2000</v>
      </c>
      <c r="B725" t="s">
        <v>2001</v>
      </c>
      <c r="C725" s="327"/>
      <c r="D725" s="327" t="str">
        <f t="shared" si="15"/>
        <v>NACE J - 60.31 News agency activities</v>
      </c>
      <c r="K725" t="s">
        <v>5366</v>
      </c>
    </row>
    <row r="726" spans="1:11" x14ac:dyDescent="0.3">
      <c r="A726" s="327" t="s">
        <v>2002</v>
      </c>
      <c r="B726" t="s">
        <v>2003</v>
      </c>
      <c r="C726" s="327"/>
      <c r="D726" s="327" t="str">
        <f t="shared" si="15"/>
        <v>NACE J - 60.39 Other content distribution activities</v>
      </c>
      <c r="K726" t="s">
        <v>5367</v>
      </c>
    </row>
    <row r="727" spans="1:11" x14ac:dyDescent="0.3">
      <c r="A727" s="324" t="s">
        <v>2004</v>
      </c>
      <c r="B727" t="s">
        <v>2005</v>
      </c>
      <c r="C727" s="327"/>
      <c r="D727" s="324" t="str">
        <f t="shared" si="15"/>
        <v>NACE K - TELECOMMUNICATION, COMPUTER PROGRAMMING, CONSULTING, COMPUTING INFRASTRUCTURE AND OTHER INFORMATION SERVICE ACTIVITIES</v>
      </c>
      <c r="K727" t="s">
        <v>5368</v>
      </c>
    </row>
    <row r="728" spans="1:11" x14ac:dyDescent="0.3">
      <c r="A728" s="323" t="s">
        <v>2006</v>
      </c>
      <c r="B728" t="s">
        <v>2007</v>
      </c>
      <c r="C728" s="327"/>
      <c r="D728" s="323" t="str">
        <f t="shared" si="15"/>
        <v>NACE K - 61 Telecommunication</v>
      </c>
      <c r="K728" t="s">
        <v>5369</v>
      </c>
    </row>
    <row r="729" spans="1:11" x14ac:dyDescent="0.3">
      <c r="A729" s="326" t="s">
        <v>2008</v>
      </c>
      <c r="B729" t="s">
        <v>2009</v>
      </c>
      <c r="C729" s="327"/>
      <c r="D729" s="326" t="str">
        <f t="shared" si="15"/>
        <v>NACE K - 61.1 Wired, wireless, and satellite telecommunication activities</v>
      </c>
      <c r="K729" t="s">
        <v>5370</v>
      </c>
    </row>
    <row r="730" spans="1:11" x14ac:dyDescent="0.3">
      <c r="A730" s="327" t="s">
        <v>2010</v>
      </c>
      <c r="B730" t="s">
        <v>2011</v>
      </c>
      <c r="C730" s="327"/>
      <c r="D730" s="327" t="str">
        <f t="shared" si="15"/>
        <v>NACE K - 61.10 Wired, wireless, and satellite telecommunication activities</v>
      </c>
      <c r="K730" t="s">
        <v>5371</v>
      </c>
    </row>
    <row r="731" spans="1:11" x14ac:dyDescent="0.3">
      <c r="A731" s="326" t="s">
        <v>2012</v>
      </c>
      <c r="B731" t="s">
        <v>2013</v>
      </c>
      <c r="C731" s="327"/>
      <c r="D731" s="326" t="str">
        <f t="shared" si="15"/>
        <v>NACE K - 61.2 Telecommunication reselling activities and intermediation service activities for telecommunication</v>
      </c>
      <c r="K731" t="s">
        <v>5372</v>
      </c>
    </row>
    <row r="732" spans="1:11" x14ac:dyDescent="0.3">
      <c r="A732" s="327" t="s">
        <v>2014</v>
      </c>
      <c r="B732" t="s">
        <v>2015</v>
      </c>
      <c r="C732" s="327"/>
      <c r="D732" s="327" t="str">
        <f t="shared" si="15"/>
        <v>NACE K - 61.20 Telecommunication reselling activities and intermediation service activities for telecommunication</v>
      </c>
      <c r="K732" t="s">
        <v>5373</v>
      </c>
    </row>
    <row r="733" spans="1:11" x14ac:dyDescent="0.3">
      <c r="A733" s="326" t="s">
        <v>2016</v>
      </c>
      <c r="B733" t="s">
        <v>2017</v>
      </c>
      <c r="C733" s="327"/>
      <c r="D733" s="326" t="str">
        <f t="shared" si="15"/>
        <v>NACE K - 61.9 Other telecommunication activities</v>
      </c>
      <c r="K733" t="s">
        <v>5374</v>
      </c>
    </row>
    <row r="734" spans="1:11" x14ac:dyDescent="0.3">
      <c r="A734" s="327" t="s">
        <v>2018</v>
      </c>
      <c r="B734" t="s">
        <v>2019</v>
      </c>
      <c r="C734" s="327"/>
      <c r="D734" s="327" t="str">
        <f t="shared" si="15"/>
        <v>NACE K - 61.90 Other telecommunication activities</v>
      </c>
      <c r="K734" t="s">
        <v>5375</v>
      </c>
    </row>
    <row r="735" spans="1:11" x14ac:dyDescent="0.3">
      <c r="A735" s="323" t="s">
        <v>2020</v>
      </c>
      <c r="B735" t="s">
        <v>2021</v>
      </c>
      <c r="C735" s="327"/>
      <c r="D735" s="323" t="str">
        <f t="shared" si="15"/>
        <v>NACE K - 62 Computer programming, consultancy and related activities</v>
      </c>
      <c r="K735" t="s">
        <v>5376</v>
      </c>
    </row>
    <row r="736" spans="1:11" x14ac:dyDescent="0.3">
      <c r="A736" s="326" t="s">
        <v>2022</v>
      </c>
      <c r="B736" t="s">
        <v>2023</v>
      </c>
      <c r="C736" s="327"/>
      <c r="D736" s="326" t="str">
        <f t="shared" si="15"/>
        <v>NACE K - 62.1 Computer programming activities</v>
      </c>
      <c r="K736" t="s">
        <v>5377</v>
      </c>
    </row>
    <row r="737" spans="1:11" x14ac:dyDescent="0.3">
      <c r="A737" s="327" t="s">
        <v>2024</v>
      </c>
      <c r="B737" t="s">
        <v>2025</v>
      </c>
      <c r="C737" s="327"/>
      <c r="D737" s="327" t="str">
        <f t="shared" si="15"/>
        <v>NACE K - 62.10 Computer programming activities</v>
      </c>
      <c r="K737" t="s">
        <v>5378</v>
      </c>
    </row>
    <row r="738" spans="1:11" x14ac:dyDescent="0.3">
      <c r="A738" s="326" t="s">
        <v>2026</v>
      </c>
      <c r="B738" t="s">
        <v>2027</v>
      </c>
      <c r="C738" s="327"/>
      <c r="D738" s="326" t="str">
        <f t="shared" si="15"/>
        <v>NACE K - 62.2 Computer consultancy and computer facilities management activities</v>
      </c>
      <c r="K738" t="s">
        <v>5379</v>
      </c>
    </row>
    <row r="739" spans="1:11" x14ac:dyDescent="0.3">
      <c r="A739" s="327" t="s">
        <v>2028</v>
      </c>
      <c r="B739" t="s">
        <v>2029</v>
      </c>
      <c r="C739" s="327"/>
      <c r="D739" s="327" t="str">
        <f t="shared" si="15"/>
        <v>NACE K - 62.20 Computer consultancy and computer facilities management activities</v>
      </c>
      <c r="K739" t="s">
        <v>5380</v>
      </c>
    </row>
    <row r="740" spans="1:11" x14ac:dyDescent="0.3">
      <c r="A740" s="326" t="s">
        <v>2030</v>
      </c>
      <c r="B740" t="s">
        <v>2031</v>
      </c>
      <c r="C740" s="327"/>
      <c r="D740" s="326" t="str">
        <f t="shared" si="15"/>
        <v>NACE K - 62.9 Other information technology and computer service activities</v>
      </c>
      <c r="K740" t="s">
        <v>5381</v>
      </c>
    </row>
    <row r="741" spans="1:11" x14ac:dyDescent="0.3">
      <c r="A741" s="327" t="s">
        <v>2032</v>
      </c>
      <c r="B741" t="s">
        <v>2033</v>
      </c>
      <c r="C741" s="327"/>
      <c r="D741" s="327" t="str">
        <f t="shared" si="15"/>
        <v>NACE K - 62.90 Other information technology and computer service activities</v>
      </c>
      <c r="K741" t="s">
        <v>5382</v>
      </c>
    </row>
    <row r="742" spans="1:11" x14ac:dyDescent="0.3">
      <c r="A742" s="323" t="s">
        <v>2034</v>
      </c>
      <c r="B742" t="s">
        <v>2035</v>
      </c>
      <c r="C742" s="327"/>
      <c r="D742" s="323" t="str">
        <f t="shared" si="15"/>
        <v>NACE K - 63 Computing infrastructure, data processing, hosting and other information service activities</v>
      </c>
      <c r="K742" t="s">
        <v>5383</v>
      </c>
    </row>
    <row r="743" spans="1:11" x14ac:dyDescent="0.3">
      <c r="A743" s="326" t="s">
        <v>2036</v>
      </c>
      <c r="B743" t="s">
        <v>2037</v>
      </c>
      <c r="C743" s="327"/>
      <c r="D743" s="326" t="str">
        <f t="shared" si="15"/>
        <v>NACE K - 63.1 Computing infrastructure, data processing, hosting and related activities</v>
      </c>
      <c r="K743" t="s">
        <v>5384</v>
      </c>
    </row>
    <row r="744" spans="1:11" x14ac:dyDescent="0.3">
      <c r="A744" s="327" t="s">
        <v>2038</v>
      </c>
      <c r="B744" t="s">
        <v>2039</v>
      </c>
      <c r="C744" s="327"/>
      <c r="D744" s="327" t="str">
        <f t="shared" si="15"/>
        <v>NACE K - 63.10 Computing infrastructure, data processing, hosting and related activities</v>
      </c>
      <c r="K744" t="s">
        <v>5385</v>
      </c>
    </row>
    <row r="745" spans="1:11" x14ac:dyDescent="0.3">
      <c r="A745" s="326" t="s">
        <v>2040</v>
      </c>
      <c r="B745" t="s">
        <v>2041</v>
      </c>
      <c r="C745" s="327"/>
      <c r="D745" s="326" t="str">
        <f t="shared" si="15"/>
        <v>NACE K - 63.9 Web search portal activities and other information service activities</v>
      </c>
      <c r="K745" t="s">
        <v>5386</v>
      </c>
    </row>
    <row r="746" spans="1:11" x14ac:dyDescent="0.3">
      <c r="A746" s="327" t="s">
        <v>2042</v>
      </c>
      <c r="B746" t="s">
        <v>2043</v>
      </c>
      <c r="C746" s="327"/>
      <c r="D746" s="327" t="str">
        <f t="shared" si="15"/>
        <v>NACE K - 63.91 Web search portal activities</v>
      </c>
      <c r="K746" t="s">
        <v>5387</v>
      </c>
    </row>
    <row r="747" spans="1:11" x14ac:dyDescent="0.3">
      <c r="A747" s="327" t="s">
        <v>2044</v>
      </c>
      <c r="B747" t="s">
        <v>2045</v>
      </c>
      <c r="C747" s="327"/>
      <c r="D747" s="327" t="str">
        <f t="shared" si="15"/>
        <v>NACE K - 63.92 Other information service activities</v>
      </c>
      <c r="K747" t="s">
        <v>5388</v>
      </c>
    </row>
    <row r="748" spans="1:11" x14ac:dyDescent="0.3">
      <c r="A748" s="324" t="s">
        <v>2046</v>
      </c>
      <c r="B748" t="s">
        <v>2047</v>
      </c>
      <c r="C748" s="327"/>
      <c r="D748" s="324" t="str">
        <f t="shared" si="15"/>
        <v>NACE L - FINANCIAL AND INSURANCE ACTIVITIES</v>
      </c>
      <c r="K748" t="s">
        <v>5389</v>
      </c>
    </row>
    <row r="749" spans="1:11" x14ac:dyDescent="0.3">
      <c r="A749" s="323" t="s">
        <v>2048</v>
      </c>
      <c r="B749" t="s">
        <v>2049</v>
      </c>
      <c r="C749" s="327"/>
      <c r="D749" s="323" t="str">
        <f t="shared" si="15"/>
        <v>NACE L - 64 Financial service activities, except insurance and pension funding</v>
      </c>
      <c r="K749" t="s">
        <v>5390</v>
      </c>
    </row>
    <row r="750" spans="1:11" x14ac:dyDescent="0.3">
      <c r="A750" s="326" t="s">
        <v>2050</v>
      </c>
      <c r="B750" t="s">
        <v>2051</v>
      </c>
      <c r="C750" s="327"/>
      <c r="D750" s="326" t="str">
        <f t="shared" si="15"/>
        <v>NACE L - 64.1 Monetary intermediation</v>
      </c>
      <c r="K750" t="s">
        <v>5391</v>
      </c>
    </row>
    <row r="751" spans="1:11" x14ac:dyDescent="0.3">
      <c r="A751" s="327" t="s">
        <v>2052</v>
      </c>
      <c r="B751" t="s">
        <v>2053</v>
      </c>
      <c r="C751" s="327"/>
      <c r="D751" s="327" t="str">
        <f t="shared" si="15"/>
        <v>NACE L - 64.11 Central banking</v>
      </c>
      <c r="K751" t="s">
        <v>5392</v>
      </c>
    </row>
    <row r="752" spans="1:11" x14ac:dyDescent="0.3">
      <c r="A752" s="327" t="s">
        <v>2054</v>
      </c>
      <c r="B752" t="s">
        <v>2055</v>
      </c>
      <c r="C752" s="327"/>
      <c r="D752" s="327" t="str">
        <f t="shared" si="15"/>
        <v>NACE L - 64.19 Other monetary intermediation</v>
      </c>
      <c r="K752" t="s">
        <v>4654</v>
      </c>
    </row>
    <row r="753" spans="1:11" x14ac:dyDescent="0.3">
      <c r="A753" s="326" t="s">
        <v>2056</v>
      </c>
      <c r="B753" t="s">
        <v>2057</v>
      </c>
      <c r="C753" s="327"/>
      <c r="D753" s="326" t="str">
        <f t="shared" si="15"/>
        <v>NACE L - 64.2 Activities of holding companies and financing conduits</v>
      </c>
      <c r="K753" t="s">
        <v>5393</v>
      </c>
    </row>
    <row r="754" spans="1:11" x14ac:dyDescent="0.3">
      <c r="A754" s="327" t="s">
        <v>2058</v>
      </c>
      <c r="B754" t="s">
        <v>2059</v>
      </c>
      <c r="C754" s="327"/>
      <c r="D754" s="327" t="str">
        <f t="shared" si="15"/>
        <v>NACE L - 64.21 Activities of holding companies</v>
      </c>
      <c r="K754" t="s">
        <v>5394</v>
      </c>
    </row>
    <row r="755" spans="1:11" x14ac:dyDescent="0.3">
      <c r="A755" s="327" t="s">
        <v>2060</v>
      </c>
      <c r="B755" t="s">
        <v>2061</v>
      </c>
      <c r="C755" s="327"/>
      <c r="D755" s="327" t="str">
        <f t="shared" si="15"/>
        <v>NACE L - 64.22 Activities of financing conduits</v>
      </c>
      <c r="K755" t="s">
        <v>5395</v>
      </c>
    </row>
    <row r="756" spans="1:11" x14ac:dyDescent="0.3">
      <c r="A756" s="326" t="s">
        <v>2062</v>
      </c>
      <c r="B756" t="s">
        <v>2063</v>
      </c>
      <c r="C756" s="327"/>
      <c r="D756" s="326" t="str">
        <f t="shared" si="15"/>
        <v>NACE L - 64.3 Activities of trusts, funds and similar financial entities</v>
      </c>
      <c r="K756" t="s">
        <v>5396</v>
      </c>
    </row>
    <row r="757" spans="1:11" x14ac:dyDescent="0.3">
      <c r="A757" s="327" t="s">
        <v>2064</v>
      </c>
      <c r="B757" t="s">
        <v>2065</v>
      </c>
      <c r="C757" s="327"/>
      <c r="D757" s="327" t="str">
        <f t="shared" si="15"/>
        <v>NACE L - 64.31 Activities of money market and non-money market investments funds</v>
      </c>
      <c r="K757" t="s">
        <v>5397</v>
      </c>
    </row>
    <row r="758" spans="1:11" x14ac:dyDescent="0.3">
      <c r="A758" s="327" t="s">
        <v>2066</v>
      </c>
      <c r="B758" t="s">
        <v>2067</v>
      </c>
      <c r="C758" s="327"/>
      <c r="D758" s="327" t="str">
        <f t="shared" si="15"/>
        <v>NACE L - 64.32 Activities of trust, estate and agency accounts</v>
      </c>
      <c r="K758" t="s">
        <v>5398</v>
      </c>
    </row>
    <row r="759" spans="1:11" x14ac:dyDescent="0.3">
      <c r="A759" s="326" t="s">
        <v>2068</v>
      </c>
      <c r="B759" t="s">
        <v>2069</v>
      </c>
      <c r="C759" s="327"/>
      <c r="D759" s="326" t="str">
        <f t="shared" si="15"/>
        <v>NACE L - 64.9 Other financial service activities, except insurance and pension funding</v>
      </c>
      <c r="K759" t="s">
        <v>5399</v>
      </c>
    </row>
    <row r="760" spans="1:11" x14ac:dyDescent="0.3">
      <c r="A760" s="327" t="s">
        <v>2070</v>
      </c>
      <c r="B760" t="s">
        <v>2071</v>
      </c>
      <c r="C760" s="327"/>
      <c r="D760" s="327" t="str">
        <f t="shared" si="15"/>
        <v>NACE L - 64.91 Financial leasing</v>
      </c>
      <c r="K760" t="s">
        <v>5400</v>
      </c>
    </row>
    <row r="761" spans="1:11" x14ac:dyDescent="0.3">
      <c r="A761" s="327" t="s">
        <v>2072</v>
      </c>
      <c r="B761" t="s">
        <v>2073</v>
      </c>
      <c r="C761" s="327"/>
      <c r="D761" s="327" t="str">
        <f t="shared" si="15"/>
        <v>NACE L - 64.92 Other credit granting</v>
      </c>
      <c r="K761" t="s">
        <v>5401</v>
      </c>
    </row>
    <row r="762" spans="1:11" x14ac:dyDescent="0.3">
      <c r="A762" s="327" t="s">
        <v>2074</v>
      </c>
      <c r="B762" t="s">
        <v>2075</v>
      </c>
      <c r="C762" s="327"/>
      <c r="D762" s="327" t="str">
        <f t="shared" si="15"/>
        <v>NACE L - 64.99 Other financial service activities, except insurance and pension funding n.e.c.</v>
      </c>
      <c r="K762" t="s">
        <v>5402</v>
      </c>
    </row>
    <row r="763" spans="1:11" x14ac:dyDescent="0.3">
      <c r="A763" s="323" t="s">
        <v>2076</v>
      </c>
      <c r="B763" t="s">
        <v>2077</v>
      </c>
      <c r="C763" s="327"/>
      <c r="D763" s="323" t="str">
        <f t="shared" si="15"/>
        <v>NACE L - 65 Insurance, reinsurance and pension funding, except compulsory social security</v>
      </c>
      <c r="K763" t="s">
        <v>5403</v>
      </c>
    </row>
    <row r="764" spans="1:11" x14ac:dyDescent="0.3">
      <c r="A764" s="326" t="s">
        <v>2078</v>
      </c>
      <c r="B764" t="s">
        <v>2079</v>
      </c>
      <c r="C764" s="327"/>
      <c r="D764" s="326" t="str">
        <f t="shared" si="15"/>
        <v>NACE L - 65.1 Insurance</v>
      </c>
      <c r="K764" t="s">
        <v>5404</v>
      </c>
    </row>
    <row r="765" spans="1:11" x14ac:dyDescent="0.3">
      <c r="A765" s="327" t="s">
        <v>2080</v>
      </c>
      <c r="B765" t="s">
        <v>2081</v>
      </c>
      <c r="C765" s="327"/>
      <c r="D765" s="327" t="str">
        <f t="shared" si="15"/>
        <v>NACE L - 65.11 Life insurance</v>
      </c>
      <c r="K765" t="s">
        <v>5405</v>
      </c>
    </row>
    <row r="766" spans="1:11" x14ac:dyDescent="0.3">
      <c r="A766" s="327" t="s">
        <v>2082</v>
      </c>
      <c r="B766" t="s">
        <v>2083</v>
      </c>
      <c r="C766" s="327"/>
      <c r="D766" s="327" t="str">
        <f t="shared" si="15"/>
        <v>NACE L - 65.12 Non-life insurance</v>
      </c>
      <c r="K766" t="s">
        <v>5406</v>
      </c>
    </row>
    <row r="767" spans="1:11" x14ac:dyDescent="0.3">
      <c r="A767" s="326" t="s">
        <v>2084</v>
      </c>
      <c r="B767" t="s">
        <v>2085</v>
      </c>
      <c r="C767" s="327"/>
      <c r="D767" s="326" t="str">
        <f t="shared" si="15"/>
        <v>NACE L - 65.2 Reinsurance</v>
      </c>
      <c r="K767" t="s">
        <v>5407</v>
      </c>
    </row>
    <row r="768" spans="1:11" x14ac:dyDescent="0.3">
      <c r="A768" s="327" t="s">
        <v>2086</v>
      </c>
      <c r="B768" t="s">
        <v>2087</v>
      </c>
      <c r="C768" s="327"/>
      <c r="D768" s="327" t="str">
        <f t="shared" si="15"/>
        <v>NACE L - 65.20 Reinsurance</v>
      </c>
      <c r="K768" t="s">
        <v>5408</v>
      </c>
    </row>
    <row r="769" spans="1:11" x14ac:dyDescent="0.3">
      <c r="A769" s="326" t="s">
        <v>2088</v>
      </c>
      <c r="B769" t="s">
        <v>2089</v>
      </c>
      <c r="C769" s="327"/>
      <c r="D769" s="326" t="str">
        <f t="shared" si="15"/>
        <v>NACE L - 65.3 Pension funding</v>
      </c>
      <c r="K769" t="s">
        <v>5409</v>
      </c>
    </row>
    <row r="770" spans="1:11" x14ac:dyDescent="0.3">
      <c r="A770" s="327" t="s">
        <v>2090</v>
      </c>
      <c r="B770" t="s">
        <v>2091</v>
      </c>
      <c r="C770" s="327"/>
      <c r="D770" s="327" t="str">
        <f t="shared" ref="D770:D833" si="16">_xlfn.CONCAT("NACE ", A770)</f>
        <v>NACE L - 65.30 Pension funding</v>
      </c>
      <c r="K770" t="s">
        <v>5410</v>
      </c>
    </row>
    <row r="771" spans="1:11" x14ac:dyDescent="0.3">
      <c r="A771" s="323" t="s">
        <v>2092</v>
      </c>
      <c r="B771" t="s">
        <v>2093</v>
      </c>
      <c r="C771" s="327"/>
      <c r="D771" s="323" t="str">
        <f t="shared" si="16"/>
        <v>NACE L - 66 Activities auxiliary to financial services and insurance activities</v>
      </c>
      <c r="K771" t="s">
        <v>5411</v>
      </c>
    </row>
    <row r="772" spans="1:11" x14ac:dyDescent="0.3">
      <c r="A772" s="326" t="s">
        <v>2094</v>
      </c>
      <c r="B772" t="s">
        <v>2095</v>
      </c>
      <c r="C772" s="327"/>
      <c r="D772" s="326" t="str">
        <f t="shared" si="16"/>
        <v>NACE L - 66.1 Activities auxiliary to financial services, except insurance and pension funding</v>
      </c>
      <c r="K772" t="s">
        <v>5412</v>
      </c>
    </row>
    <row r="773" spans="1:11" x14ac:dyDescent="0.3">
      <c r="A773" s="327" t="s">
        <v>2096</v>
      </c>
      <c r="B773" t="s">
        <v>2097</v>
      </c>
      <c r="C773" s="327"/>
      <c r="D773" s="327" t="str">
        <f t="shared" si="16"/>
        <v>NACE L - 66.11 Administration of financial markets</v>
      </c>
      <c r="K773" t="s">
        <v>5413</v>
      </c>
    </row>
    <row r="774" spans="1:11" x14ac:dyDescent="0.3">
      <c r="A774" s="327" t="s">
        <v>2098</v>
      </c>
      <c r="B774" t="s">
        <v>2099</v>
      </c>
      <c r="C774" s="327"/>
      <c r="D774" s="327" t="str">
        <f t="shared" si="16"/>
        <v>NACE L - 66.12 Security and commodity contracts brokerage</v>
      </c>
      <c r="K774" t="s">
        <v>5414</v>
      </c>
    </row>
    <row r="775" spans="1:11" x14ac:dyDescent="0.3">
      <c r="A775" s="327" t="s">
        <v>2100</v>
      </c>
      <c r="B775" t="s">
        <v>2101</v>
      </c>
      <c r="C775" s="327"/>
      <c r="D775" s="327" t="str">
        <f t="shared" si="16"/>
        <v>NACE L - 66.19 Other activities auxiliary to financial services, except insurance and pension funding</v>
      </c>
      <c r="K775" t="s">
        <v>5415</v>
      </c>
    </row>
    <row r="776" spans="1:11" x14ac:dyDescent="0.3">
      <c r="A776" s="326" t="s">
        <v>2102</v>
      </c>
      <c r="B776" t="s">
        <v>2103</v>
      </c>
      <c r="C776" s="327"/>
      <c r="D776" s="326" t="str">
        <f t="shared" si="16"/>
        <v>NACE L - 66.2 Activities auxiliary to insurance and pension funding</v>
      </c>
      <c r="K776" t="s">
        <v>5416</v>
      </c>
    </row>
    <row r="777" spans="1:11" x14ac:dyDescent="0.3">
      <c r="A777" s="327" t="s">
        <v>2104</v>
      </c>
      <c r="B777" t="s">
        <v>2105</v>
      </c>
      <c r="C777" s="327"/>
      <c r="D777" s="327" t="str">
        <f t="shared" si="16"/>
        <v>NACE L - 66.21 Risk and damage evaluation</v>
      </c>
      <c r="K777" t="s">
        <v>5417</v>
      </c>
    </row>
    <row r="778" spans="1:11" x14ac:dyDescent="0.3">
      <c r="A778" s="327" t="s">
        <v>2106</v>
      </c>
      <c r="B778" t="s">
        <v>2107</v>
      </c>
      <c r="C778" s="327"/>
      <c r="D778" s="327" t="str">
        <f t="shared" si="16"/>
        <v>NACE L - 66.22 Activities of insurance agents and brokers</v>
      </c>
      <c r="K778" t="s">
        <v>5418</v>
      </c>
    </row>
    <row r="779" spans="1:11" x14ac:dyDescent="0.3">
      <c r="A779" s="327" t="s">
        <v>2108</v>
      </c>
      <c r="B779" t="s">
        <v>2109</v>
      </c>
      <c r="C779" s="327"/>
      <c r="D779" s="327" t="str">
        <f t="shared" si="16"/>
        <v>NACE L - 66.29 Activities auxiliary to insurance and pension funding n.e.c.</v>
      </c>
      <c r="K779" t="s">
        <v>5419</v>
      </c>
    </row>
    <row r="780" spans="1:11" x14ac:dyDescent="0.3">
      <c r="A780" s="326" t="s">
        <v>2110</v>
      </c>
      <c r="B780" t="s">
        <v>2111</v>
      </c>
      <c r="C780" s="327"/>
      <c r="D780" s="326" t="str">
        <f t="shared" si="16"/>
        <v>NACE L - 66.3 Fund management activities</v>
      </c>
      <c r="K780" t="s">
        <v>5420</v>
      </c>
    </row>
    <row r="781" spans="1:11" x14ac:dyDescent="0.3">
      <c r="A781" s="327" t="s">
        <v>2112</v>
      </c>
      <c r="B781" t="s">
        <v>2113</v>
      </c>
      <c r="C781" s="327"/>
      <c r="D781" s="327" t="str">
        <f t="shared" si="16"/>
        <v>NACE L - 66.30 Fund management activities</v>
      </c>
      <c r="K781" t="s">
        <v>5421</v>
      </c>
    </row>
    <row r="782" spans="1:11" x14ac:dyDescent="0.3">
      <c r="A782" s="324" t="s">
        <v>2114</v>
      </c>
      <c r="B782" t="s">
        <v>2115</v>
      </c>
      <c r="C782" s="327"/>
      <c r="D782" s="324" t="str">
        <f t="shared" si="16"/>
        <v>NACE M - REAL ESTATE ACTIVITIES</v>
      </c>
      <c r="K782" t="s">
        <v>5422</v>
      </c>
    </row>
    <row r="783" spans="1:11" x14ac:dyDescent="0.3">
      <c r="A783" s="323" t="s">
        <v>2116</v>
      </c>
      <c r="B783" t="s">
        <v>2117</v>
      </c>
      <c r="C783" s="327"/>
      <c r="D783" s="323" t="str">
        <f t="shared" si="16"/>
        <v>NACE M - 68 Real estate activities</v>
      </c>
      <c r="K783" t="s">
        <v>5423</v>
      </c>
    </row>
    <row r="784" spans="1:11" x14ac:dyDescent="0.3">
      <c r="A784" s="326" t="s">
        <v>2118</v>
      </c>
      <c r="B784" t="s">
        <v>2119</v>
      </c>
      <c r="C784" s="327"/>
      <c r="D784" s="326" t="str">
        <f t="shared" si="16"/>
        <v>NACE M - 68.1 Real estate activities with own property and development of building projects</v>
      </c>
      <c r="K784" t="s">
        <v>5424</v>
      </c>
    </row>
    <row r="785" spans="1:11" x14ac:dyDescent="0.3">
      <c r="A785" s="327" t="s">
        <v>2120</v>
      </c>
      <c r="B785" t="s">
        <v>2121</v>
      </c>
      <c r="C785" s="327"/>
      <c r="D785" s="327" t="str">
        <f t="shared" si="16"/>
        <v>NACE M - 68.11 Buying and selling of own real estate</v>
      </c>
      <c r="K785" t="s">
        <v>5425</v>
      </c>
    </row>
    <row r="786" spans="1:11" x14ac:dyDescent="0.3">
      <c r="A786" s="327" t="s">
        <v>2122</v>
      </c>
      <c r="B786" t="s">
        <v>2123</v>
      </c>
      <c r="C786" s="327"/>
      <c r="D786" s="327" t="str">
        <f t="shared" si="16"/>
        <v>NACE M - 68.12 Development of building projects</v>
      </c>
      <c r="K786" t="s">
        <v>5426</v>
      </c>
    </row>
    <row r="787" spans="1:11" x14ac:dyDescent="0.3">
      <c r="A787" s="326" t="s">
        <v>2124</v>
      </c>
      <c r="B787" t="s">
        <v>2125</v>
      </c>
      <c r="C787" s="327"/>
      <c r="D787" s="326" t="str">
        <f t="shared" si="16"/>
        <v>NACE M - 68.2 Rental and operating of own or leased real estate</v>
      </c>
      <c r="K787" t="s">
        <v>5427</v>
      </c>
    </row>
    <row r="788" spans="1:11" x14ac:dyDescent="0.3">
      <c r="A788" s="327" t="s">
        <v>2126</v>
      </c>
      <c r="B788" t="s">
        <v>2127</v>
      </c>
      <c r="C788" s="327"/>
      <c r="D788" s="327" t="str">
        <f t="shared" si="16"/>
        <v>NACE M - 68.20 Rental and operating of own or leased real estate</v>
      </c>
      <c r="K788" t="s">
        <v>5428</v>
      </c>
    </row>
    <row r="789" spans="1:11" x14ac:dyDescent="0.3">
      <c r="A789" s="326" t="s">
        <v>2128</v>
      </c>
      <c r="B789" t="s">
        <v>2129</v>
      </c>
      <c r="C789" s="327"/>
      <c r="D789" s="326" t="str">
        <f t="shared" si="16"/>
        <v>NACE M - 68.3 Real estate activities on a fee or contract basis</v>
      </c>
      <c r="K789" t="s">
        <v>5429</v>
      </c>
    </row>
    <row r="790" spans="1:11" x14ac:dyDescent="0.3">
      <c r="A790" s="327" t="s">
        <v>2130</v>
      </c>
      <c r="B790" t="s">
        <v>2131</v>
      </c>
      <c r="C790" s="327"/>
      <c r="D790" s="327" t="str">
        <f t="shared" si="16"/>
        <v>NACE M - 68.31 Intermediation service activities for real estate activities</v>
      </c>
      <c r="K790" t="s">
        <v>5430</v>
      </c>
    </row>
    <row r="791" spans="1:11" x14ac:dyDescent="0.3">
      <c r="A791" s="327" t="s">
        <v>2132</v>
      </c>
      <c r="B791" t="s">
        <v>2133</v>
      </c>
      <c r="C791" s="327"/>
      <c r="D791" s="327" t="str">
        <f t="shared" si="16"/>
        <v>NACE M - 68.32 Other real estate activities on a fee or contract basis</v>
      </c>
      <c r="K791" t="s">
        <v>5431</v>
      </c>
    </row>
    <row r="792" spans="1:11" x14ac:dyDescent="0.3">
      <c r="A792" s="324" t="s">
        <v>2134</v>
      </c>
      <c r="B792" t="s">
        <v>2135</v>
      </c>
      <c r="C792" s="327"/>
      <c r="D792" s="324" t="str">
        <f t="shared" si="16"/>
        <v>NACE N - PROFESSIONAL, SCIENTIFIC AND TECHNICAL ACTIVITIES</v>
      </c>
      <c r="K792" t="s">
        <v>5432</v>
      </c>
    </row>
    <row r="793" spans="1:11" x14ac:dyDescent="0.3">
      <c r="A793" s="323" t="s">
        <v>2136</v>
      </c>
      <c r="B793" t="s">
        <v>2137</v>
      </c>
      <c r="C793" s="327"/>
      <c r="D793" s="323" t="str">
        <f t="shared" si="16"/>
        <v>NACE N - 69 Legal and accounting activities</v>
      </c>
      <c r="K793" t="s">
        <v>5433</v>
      </c>
    </row>
    <row r="794" spans="1:11" x14ac:dyDescent="0.3">
      <c r="A794" s="326" t="s">
        <v>2138</v>
      </c>
      <c r="B794" t="s">
        <v>2139</v>
      </c>
      <c r="C794" s="327"/>
      <c r="D794" s="326" t="str">
        <f t="shared" si="16"/>
        <v>NACE N - 69.1 Legal activities</v>
      </c>
      <c r="K794" t="s">
        <v>5434</v>
      </c>
    </row>
    <row r="795" spans="1:11" x14ac:dyDescent="0.3">
      <c r="A795" s="327" t="s">
        <v>2140</v>
      </c>
      <c r="B795" t="s">
        <v>2141</v>
      </c>
      <c r="C795" s="327"/>
      <c r="D795" s="327" t="str">
        <f t="shared" si="16"/>
        <v>NACE N - 69.10 Legal activities</v>
      </c>
      <c r="K795" t="s">
        <v>5435</v>
      </c>
    </row>
    <row r="796" spans="1:11" x14ac:dyDescent="0.3">
      <c r="A796" s="326" t="s">
        <v>2142</v>
      </c>
      <c r="B796" t="s">
        <v>2143</v>
      </c>
      <c r="C796" s="327"/>
      <c r="D796" s="326" t="str">
        <f t="shared" si="16"/>
        <v>NACE N - 69.2 Accounting, bookkeeping and auditing activities; tax consultancy</v>
      </c>
      <c r="K796" t="s">
        <v>5436</v>
      </c>
    </row>
    <row r="797" spans="1:11" x14ac:dyDescent="0.3">
      <c r="A797" s="327" t="s">
        <v>2144</v>
      </c>
      <c r="B797" t="s">
        <v>2145</v>
      </c>
      <c r="C797" s="327"/>
      <c r="D797" s="327" t="str">
        <f t="shared" si="16"/>
        <v>NACE N - 69.20 Accounting, bookkeeping and auditing activities; tax consultancy</v>
      </c>
      <c r="K797" t="s">
        <v>5437</v>
      </c>
    </row>
    <row r="798" spans="1:11" x14ac:dyDescent="0.3">
      <c r="A798" s="323" t="s">
        <v>2146</v>
      </c>
      <c r="B798" t="s">
        <v>2147</v>
      </c>
      <c r="C798" s="327"/>
      <c r="D798" s="323" t="str">
        <f t="shared" si="16"/>
        <v>NACE N - 70 Activities of head offices and management consultancy</v>
      </c>
      <c r="K798" t="s">
        <v>5438</v>
      </c>
    </row>
    <row r="799" spans="1:11" x14ac:dyDescent="0.3">
      <c r="A799" s="326" t="s">
        <v>2148</v>
      </c>
      <c r="B799" t="s">
        <v>2149</v>
      </c>
      <c r="C799" s="327"/>
      <c r="D799" s="326" t="str">
        <f t="shared" si="16"/>
        <v>NACE N - 70.1 Activities of head offices</v>
      </c>
      <c r="K799" t="s">
        <v>4655</v>
      </c>
    </row>
    <row r="800" spans="1:11" x14ac:dyDescent="0.3">
      <c r="A800" s="327" t="s">
        <v>2150</v>
      </c>
      <c r="B800" t="s">
        <v>2151</v>
      </c>
      <c r="C800" s="327"/>
      <c r="D800" s="327" t="str">
        <f t="shared" si="16"/>
        <v>NACE N - 70.10 Activities of head offices</v>
      </c>
      <c r="K800" t="s">
        <v>5439</v>
      </c>
    </row>
    <row r="801" spans="1:11" x14ac:dyDescent="0.3">
      <c r="A801" s="326" t="s">
        <v>2152</v>
      </c>
      <c r="B801" t="s">
        <v>2153</v>
      </c>
      <c r="C801" s="327"/>
      <c r="D801" s="326" t="str">
        <f t="shared" si="16"/>
        <v>NACE N - 70.2 Business and other management consultancy activities</v>
      </c>
      <c r="K801" t="s">
        <v>5440</v>
      </c>
    </row>
    <row r="802" spans="1:11" x14ac:dyDescent="0.3">
      <c r="A802" s="327" t="s">
        <v>2154</v>
      </c>
      <c r="B802" t="s">
        <v>2155</v>
      </c>
      <c r="C802" s="327"/>
      <c r="D802" s="327" t="str">
        <f t="shared" si="16"/>
        <v>NACE N - 70.20 Business and other management consultancy activities</v>
      </c>
      <c r="K802" t="s">
        <v>5441</v>
      </c>
    </row>
    <row r="803" spans="1:11" x14ac:dyDescent="0.3">
      <c r="A803" s="323" t="s">
        <v>2156</v>
      </c>
      <c r="B803" t="s">
        <v>2157</v>
      </c>
      <c r="C803" s="327"/>
      <c r="D803" s="323" t="str">
        <f t="shared" si="16"/>
        <v>NACE N - 71 Architectural and engineering activities; technical testing and analysis</v>
      </c>
      <c r="K803" t="s">
        <v>5442</v>
      </c>
    </row>
    <row r="804" spans="1:11" x14ac:dyDescent="0.3">
      <c r="A804" s="326" t="s">
        <v>2158</v>
      </c>
      <c r="B804" t="s">
        <v>2159</v>
      </c>
      <c r="C804" s="327"/>
      <c r="D804" s="326" t="str">
        <f t="shared" si="16"/>
        <v>NACE N - 71.1 Architectural and engineering activities and related technical consultancy</v>
      </c>
      <c r="K804" t="s">
        <v>5443</v>
      </c>
    </row>
    <row r="805" spans="1:11" x14ac:dyDescent="0.3">
      <c r="A805" s="327" t="s">
        <v>2160</v>
      </c>
      <c r="B805" t="s">
        <v>2161</v>
      </c>
      <c r="C805" s="327"/>
      <c r="D805" s="327" t="str">
        <f t="shared" si="16"/>
        <v>NACE N - 71.11 Architectural activities</v>
      </c>
      <c r="K805" t="s">
        <v>5444</v>
      </c>
    </row>
    <row r="806" spans="1:11" x14ac:dyDescent="0.3">
      <c r="A806" s="327" t="s">
        <v>2162</v>
      </c>
      <c r="B806" t="s">
        <v>2163</v>
      </c>
      <c r="C806" s="327"/>
      <c r="D806" s="327" t="str">
        <f t="shared" si="16"/>
        <v>NACE N - 71.12 Engineering activities and related technical consultancy</v>
      </c>
      <c r="K806" t="s">
        <v>5445</v>
      </c>
    </row>
    <row r="807" spans="1:11" x14ac:dyDescent="0.3">
      <c r="A807" s="326" t="s">
        <v>2164</v>
      </c>
      <c r="B807" t="s">
        <v>2165</v>
      </c>
      <c r="C807" s="327"/>
      <c r="D807" s="326" t="str">
        <f t="shared" si="16"/>
        <v>NACE N - 71.2 Technical testing and analysis</v>
      </c>
      <c r="K807" t="s">
        <v>5446</v>
      </c>
    </row>
    <row r="808" spans="1:11" x14ac:dyDescent="0.3">
      <c r="A808" s="327" t="s">
        <v>2166</v>
      </c>
      <c r="B808" t="s">
        <v>2167</v>
      </c>
      <c r="C808" s="327"/>
      <c r="D808" s="327" t="str">
        <f t="shared" si="16"/>
        <v>NACE N - 71.20 Technical testing and analysis</v>
      </c>
      <c r="K808" t="s">
        <v>5447</v>
      </c>
    </row>
    <row r="809" spans="1:11" x14ac:dyDescent="0.3">
      <c r="A809" s="323" t="s">
        <v>2168</v>
      </c>
      <c r="B809" t="s">
        <v>2169</v>
      </c>
      <c r="C809" s="327"/>
      <c r="D809" s="323" t="str">
        <f t="shared" si="16"/>
        <v>NACE N - 72 Scientific research and development</v>
      </c>
      <c r="K809" t="s">
        <v>5448</v>
      </c>
    </row>
    <row r="810" spans="1:11" x14ac:dyDescent="0.3">
      <c r="A810" s="326" t="s">
        <v>2170</v>
      </c>
      <c r="B810" t="s">
        <v>2171</v>
      </c>
      <c r="C810" s="327"/>
      <c r="D810" s="326" t="str">
        <f t="shared" si="16"/>
        <v>NACE N - 72.1 Research and experimental development on natural sciences and engineering</v>
      </c>
      <c r="K810" t="s">
        <v>5449</v>
      </c>
    </row>
    <row r="811" spans="1:11" x14ac:dyDescent="0.3">
      <c r="A811" s="327" t="s">
        <v>2172</v>
      </c>
      <c r="B811" t="s">
        <v>2173</v>
      </c>
      <c r="C811" s="327"/>
      <c r="D811" s="327" t="str">
        <f t="shared" si="16"/>
        <v>NACE N - 72.10 Research and experimental development on natural sciences and engineering</v>
      </c>
      <c r="K811" t="s">
        <v>5450</v>
      </c>
    </row>
    <row r="812" spans="1:11" x14ac:dyDescent="0.3">
      <c r="A812" s="326" t="s">
        <v>2174</v>
      </c>
      <c r="B812" t="s">
        <v>2175</v>
      </c>
      <c r="C812" s="327"/>
      <c r="D812" s="326" t="str">
        <f t="shared" si="16"/>
        <v>NACE N - 72.2 Research and experimental development on social sciences and humanities</v>
      </c>
      <c r="K812" t="s">
        <v>5451</v>
      </c>
    </row>
    <row r="813" spans="1:11" x14ac:dyDescent="0.3">
      <c r="A813" s="327" t="s">
        <v>2176</v>
      </c>
      <c r="B813" t="s">
        <v>2177</v>
      </c>
      <c r="C813" s="327"/>
      <c r="D813" s="327" t="str">
        <f t="shared" si="16"/>
        <v>NACE N - 72.20 Research and experimental development on social sciences and humanities</v>
      </c>
      <c r="K813" t="s">
        <v>5452</v>
      </c>
    </row>
    <row r="814" spans="1:11" x14ac:dyDescent="0.3">
      <c r="A814" s="323" t="s">
        <v>2178</v>
      </c>
      <c r="B814" t="s">
        <v>2179</v>
      </c>
      <c r="C814" s="327"/>
      <c r="D814" s="323" t="str">
        <f t="shared" si="16"/>
        <v>NACE N - 73 Activities of advertising, market research and public relations</v>
      </c>
      <c r="K814" t="s">
        <v>5453</v>
      </c>
    </row>
    <row r="815" spans="1:11" x14ac:dyDescent="0.3">
      <c r="A815" s="326" t="s">
        <v>2180</v>
      </c>
      <c r="B815" t="s">
        <v>2181</v>
      </c>
      <c r="C815" s="327"/>
      <c r="D815" s="326" t="str">
        <f t="shared" si="16"/>
        <v>NACE N - 73.1 Advertising</v>
      </c>
      <c r="K815" t="s">
        <v>5454</v>
      </c>
    </row>
    <row r="816" spans="1:11" x14ac:dyDescent="0.3">
      <c r="A816" s="327" t="s">
        <v>2182</v>
      </c>
      <c r="B816" t="s">
        <v>2183</v>
      </c>
      <c r="C816" s="327"/>
      <c r="D816" s="327" t="str">
        <f t="shared" si="16"/>
        <v>NACE N - 73.11 Activities of advertising agencies</v>
      </c>
      <c r="K816" t="s">
        <v>5455</v>
      </c>
    </row>
    <row r="817" spans="1:11" x14ac:dyDescent="0.3">
      <c r="A817" s="327" t="s">
        <v>2184</v>
      </c>
      <c r="B817" t="s">
        <v>2185</v>
      </c>
      <c r="C817" s="327"/>
      <c r="D817" s="327" t="str">
        <f t="shared" si="16"/>
        <v>NACE N - 73.12 Media representation</v>
      </c>
      <c r="K817" t="s">
        <v>5456</v>
      </c>
    </row>
    <row r="818" spans="1:11" x14ac:dyDescent="0.3">
      <c r="A818" s="326" t="s">
        <v>2186</v>
      </c>
      <c r="B818" t="s">
        <v>2187</v>
      </c>
      <c r="C818" s="327"/>
      <c r="D818" s="326" t="str">
        <f t="shared" si="16"/>
        <v>NACE N - 73.2 Market research and public opinion polling</v>
      </c>
      <c r="K818" t="s">
        <v>4656</v>
      </c>
    </row>
    <row r="819" spans="1:11" x14ac:dyDescent="0.3">
      <c r="A819" s="327" t="s">
        <v>2188</v>
      </c>
      <c r="B819" t="s">
        <v>2189</v>
      </c>
      <c r="C819" s="327"/>
      <c r="D819" s="327" t="str">
        <f t="shared" si="16"/>
        <v>NACE N - 73.20 Market research and public opinion polling</v>
      </c>
      <c r="K819" t="s">
        <v>5457</v>
      </c>
    </row>
    <row r="820" spans="1:11" x14ac:dyDescent="0.3">
      <c r="A820" s="326" t="s">
        <v>2190</v>
      </c>
      <c r="B820" t="s">
        <v>2191</v>
      </c>
      <c r="C820" s="327"/>
      <c r="D820" s="326" t="str">
        <f t="shared" si="16"/>
        <v>NACE N - 73.3 Public relations and communication activities</v>
      </c>
      <c r="K820" t="s">
        <v>5458</v>
      </c>
    </row>
    <row r="821" spans="1:11" x14ac:dyDescent="0.3">
      <c r="A821" s="327" t="s">
        <v>2192</v>
      </c>
      <c r="B821" t="s">
        <v>2193</v>
      </c>
      <c r="C821" s="327"/>
      <c r="D821" s="327" t="str">
        <f t="shared" si="16"/>
        <v>NACE N - 73.30 Public relations and communication activities</v>
      </c>
      <c r="K821" t="s">
        <v>5459</v>
      </c>
    </row>
    <row r="822" spans="1:11" x14ac:dyDescent="0.3">
      <c r="A822" s="323" t="s">
        <v>2194</v>
      </c>
      <c r="B822" t="s">
        <v>2195</v>
      </c>
      <c r="C822" s="327"/>
      <c r="D822" s="323" t="str">
        <f t="shared" si="16"/>
        <v>NACE N - 74 Other professional, scientific and technical activities</v>
      </c>
      <c r="K822" t="s">
        <v>5460</v>
      </c>
    </row>
    <row r="823" spans="1:11" x14ac:dyDescent="0.3">
      <c r="A823" s="326" t="s">
        <v>2196</v>
      </c>
      <c r="B823" t="s">
        <v>2197</v>
      </c>
      <c r="C823" s="327"/>
      <c r="D823" s="326" t="str">
        <f t="shared" si="16"/>
        <v>NACE N - 74.1 Specialised design activities</v>
      </c>
      <c r="K823" t="s">
        <v>5461</v>
      </c>
    </row>
    <row r="824" spans="1:11" x14ac:dyDescent="0.3">
      <c r="A824" s="327" t="s">
        <v>2198</v>
      </c>
      <c r="B824" t="s">
        <v>2199</v>
      </c>
      <c r="C824" s="327"/>
      <c r="D824" s="327" t="str">
        <f t="shared" si="16"/>
        <v>NACE N - 74.11 Industrial product and fashion design activities</v>
      </c>
      <c r="K824" t="s">
        <v>5462</v>
      </c>
    </row>
    <row r="825" spans="1:11" x14ac:dyDescent="0.3">
      <c r="A825" s="327" t="s">
        <v>2200</v>
      </c>
      <c r="B825" t="s">
        <v>2201</v>
      </c>
      <c r="C825" s="327"/>
      <c r="D825" s="327" t="str">
        <f t="shared" si="16"/>
        <v>NACE N - 74.12 Graphic design and visual communication activities</v>
      </c>
      <c r="K825" t="s">
        <v>5463</v>
      </c>
    </row>
    <row r="826" spans="1:11" x14ac:dyDescent="0.3">
      <c r="A826" s="327" t="s">
        <v>2202</v>
      </c>
      <c r="B826" t="s">
        <v>2203</v>
      </c>
      <c r="C826" s="327"/>
      <c r="D826" s="327" t="str">
        <f t="shared" si="16"/>
        <v>NACE N - 74.13 Interior design activities</v>
      </c>
      <c r="K826" t="s">
        <v>5464</v>
      </c>
    </row>
    <row r="827" spans="1:11" x14ac:dyDescent="0.3">
      <c r="A827" s="327" t="s">
        <v>2204</v>
      </c>
      <c r="B827" t="s">
        <v>2205</v>
      </c>
      <c r="C827" s="327"/>
      <c r="D827" s="327" t="str">
        <f t="shared" si="16"/>
        <v>NACE N - 74.14 Other specialised design activities</v>
      </c>
      <c r="K827" t="s">
        <v>5465</v>
      </c>
    </row>
    <row r="828" spans="1:11" x14ac:dyDescent="0.3">
      <c r="A828" s="326" t="s">
        <v>2206</v>
      </c>
      <c r="B828" t="s">
        <v>2207</v>
      </c>
      <c r="C828" s="327"/>
      <c r="D828" s="326" t="str">
        <f t="shared" si="16"/>
        <v>NACE N - 74.2 Photographic activities</v>
      </c>
      <c r="K828" t="s">
        <v>5466</v>
      </c>
    </row>
    <row r="829" spans="1:11" x14ac:dyDescent="0.3">
      <c r="A829" s="327" t="s">
        <v>2208</v>
      </c>
      <c r="B829" t="s">
        <v>2209</v>
      </c>
      <c r="C829" s="327"/>
      <c r="D829" s="327" t="str">
        <f t="shared" si="16"/>
        <v>NACE N - 74.20 Photographic activities</v>
      </c>
      <c r="K829" t="s">
        <v>5467</v>
      </c>
    </row>
    <row r="830" spans="1:11" x14ac:dyDescent="0.3">
      <c r="A830" s="326" t="s">
        <v>2210</v>
      </c>
      <c r="B830" t="s">
        <v>2211</v>
      </c>
      <c r="C830" s="327"/>
      <c r="D830" s="326" t="str">
        <f t="shared" si="16"/>
        <v>NACE N - 74.3 Translation and interpretation activities</v>
      </c>
      <c r="K830" t="s">
        <v>5468</v>
      </c>
    </row>
    <row r="831" spans="1:11" x14ac:dyDescent="0.3">
      <c r="A831" s="327" t="s">
        <v>2212</v>
      </c>
      <c r="B831" t="s">
        <v>2213</v>
      </c>
      <c r="C831" s="327"/>
      <c r="D831" s="327" t="str">
        <f t="shared" si="16"/>
        <v>NACE N - 74.30 Translation and interpretation activities</v>
      </c>
      <c r="K831" t="s">
        <v>5469</v>
      </c>
    </row>
    <row r="832" spans="1:11" x14ac:dyDescent="0.3">
      <c r="A832" s="326" t="s">
        <v>2214</v>
      </c>
      <c r="B832" t="s">
        <v>2215</v>
      </c>
      <c r="C832" s="327"/>
      <c r="D832" s="326" t="str">
        <f t="shared" si="16"/>
        <v>NACE N - 74.9 Other professional, scientific and technical activities n.e.c.</v>
      </c>
      <c r="K832" t="s">
        <v>5470</v>
      </c>
    </row>
    <row r="833" spans="1:11" x14ac:dyDescent="0.3">
      <c r="A833" s="327" t="s">
        <v>2216</v>
      </c>
      <c r="B833" t="s">
        <v>2217</v>
      </c>
      <c r="C833" s="327"/>
      <c r="D833" s="327" t="str">
        <f t="shared" si="16"/>
        <v>NACE N - 74.91 Patent brokering and marketing service activities</v>
      </c>
      <c r="K833" t="s">
        <v>5471</v>
      </c>
    </row>
    <row r="834" spans="1:11" x14ac:dyDescent="0.3">
      <c r="A834" s="327" t="s">
        <v>2218</v>
      </c>
      <c r="B834" t="s">
        <v>2219</v>
      </c>
      <c r="C834" s="327"/>
      <c r="D834" s="327" t="str">
        <f t="shared" ref="D834:D897" si="17">_xlfn.CONCAT("NACE ", A834)</f>
        <v>NACE N - 74.99 All other professional, scientific and technical activities n.e.c.</v>
      </c>
      <c r="K834" t="s">
        <v>5472</v>
      </c>
    </row>
    <row r="835" spans="1:11" x14ac:dyDescent="0.3">
      <c r="A835" s="323" t="s">
        <v>2220</v>
      </c>
      <c r="B835" t="s">
        <v>2221</v>
      </c>
      <c r="C835" s="327"/>
      <c r="D835" s="323" t="str">
        <f t="shared" si="17"/>
        <v>NACE N - 75 Veterinary activities</v>
      </c>
      <c r="K835" t="s">
        <v>5473</v>
      </c>
    </row>
    <row r="836" spans="1:11" x14ac:dyDescent="0.3">
      <c r="A836" s="326" t="s">
        <v>2222</v>
      </c>
      <c r="B836" t="s">
        <v>2223</v>
      </c>
      <c r="C836" s="327"/>
      <c r="D836" s="326" t="str">
        <f t="shared" si="17"/>
        <v>NACE N - 75.0 Veterinary activities</v>
      </c>
      <c r="K836" t="s">
        <v>5474</v>
      </c>
    </row>
    <row r="837" spans="1:11" x14ac:dyDescent="0.3">
      <c r="A837" s="327" t="s">
        <v>2224</v>
      </c>
      <c r="B837" t="s">
        <v>2225</v>
      </c>
      <c r="C837" s="327"/>
      <c r="D837" s="327" t="str">
        <f t="shared" si="17"/>
        <v>NACE N - 75.00 Veterinary activities</v>
      </c>
      <c r="K837" t="s">
        <v>5475</v>
      </c>
    </row>
    <row r="838" spans="1:11" x14ac:dyDescent="0.3">
      <c r="A838" s="324" t="s">
        <v>2226</v>
      </c>
      <c r="B838" t="s">
        <v>2227</v>
      </c>
      <c r="C838" s="327"/>
      <c r="D838" s="324" t="str">
        <f t="shared" si="17"/>
        <v>NACE O - ADMINISTRATIVE AND SUPPORT SERVICE ACTIVITIES</v>
      </c>
      <c r="K838" t="s">
        <v>5476</v>
      </c>
    </row>
    <row r="839" spans="1:11" x14ac:dyDescent="0.3">
      <c r="A839" s="323" t="s">
        <v>2228</v>
      </c>
      <c r="B839" t="s">
        <v>2229</v>
      </c>
      <c r="C839" s="327"/>
      <c r="D839" s="323" t="str">
        <f t="shared" si="17"/>
        <v>NACE O - 77 Rental and leasing activities</v>
      </c>
      <c r="K839" t="s">
        <v>5477</v>
      </c>
    </row>
    <row r="840" spans="1:11" x14ac:dyDescent="0.3">
      <c r="A840" s="326" t="s">
        <v>2230</v>
      </c>
      <c r="B840" t="s">
        <v>2231</v>
      </c>
      <c r="C840" s="327"/>
      <c r="D840" s="326" t="str">
        <f t="shared" si="17"/>
        <v>NACE O - 77.1 Rental and leasing of motor vehicles</v>
      </c>
      <c r="K840" t="s">
        <v>5478</v>
      </c>
    </row>
    <row r="841" spans="1:11" x14ac:dyDescent="0.3">
      <c r="A841" s="327" t="s">
        <v>2232</v>
      </c>
      <c r="B841" t="s">
        <v>2233</v>
      </c>
      <c r="C841" s="327"/>
      <c r="D841" s="327" t="str">
        <f t="shared" si="17"/>
        <v>NACE O - 77.11 Rental and leasing of cars and light motor vehicles</v>
      </c>
      <c r="K841" t="s">
        <v>5479</v>
      </c>
    </row>
    <row r="842" spans="1:11" x14ac:dyDescent="0.3">
      <c r="A842" s="327" t="s">
        <v>2234</v>
      </c>
      <c r="B842" t="s">
        <v>2235</v>
      </c>
      <c r="C842" s="327"/>
      <c r="D842" s="327" t="str">
        <f t="shared" si="17"/>
        <v>NACE O - 77.12 Rental and leasing of trucks</v>
      </c>
      <c r="K842" t="s">
        <v>5480</v>
      </c>
    </row>
    <row r="843" spans="1:11" x14ac:dyDescent="0.3">
      <c r="A843" s="326" t="s">
        <v>2236</v>
      </c>
      <c r="B843" t="s">
        <v>2237</v>
      </c>
      <c r="C843" s="327"/>
      <c r="D843" s="326" t="str">
        <f t="shared" si="17"/>
        <v>NACE O - 77.2 Rental and leasing of personal and household goods</v>
      </c>
      <c r="K843" t="s">
        <v>5481</v>
      </c>
    </row>
    <row r="844" spans="1:11" x14ac:dyDescent="0.3">
      <c r="A844" s="327" t="s">
        <v>2238</v>
      </c>
      <c r="B844" t="s">
        <v>2239</v>
      </c>
      <c r="C844" s="327"/>
      <c r="D844" s="327" t="str">
        <f t="shared" si="17"/>
        <v>NACE O - 77.21 Rental and leasing of recreational and sports goods</v>
      </c>
      <c r="K844" t="s">
        <v>5482</v>
      </c>
    </row>
    <row r="845" spans="1:11" x14ac:dyDescent="0.3">
      <c r="A845" s="327" t="s">
        <v>2240</v>
      </c>
      <c r="B845" t="s">
        <v>2241</v>
      </c>
      <c r="C845" s="327"/>
      <c r="D845" s="327" t="str">
        <f t="shared" si="17"/>
        <v>NACE O - 77.22 Rental and leasing of other personal and household goods</v>
      </c>
      <c r="K845" t="s">
        <v>5483</v>
      </c>
    </row>
    <row r="846" spans="1:11" x14ac:dyDescent="0.3">
      <c r="A846" s="326" t="s">
        <v>2242</v>
      </c>
      <c r="B846" t="s">
        <v>2243</v>
      </c>
      <c r="C846" s="327"/>
      <c r="D846" s="326" t="str">
        <f t="shared" si="17"/>
        <v>NACE O - 77.3 Rental and leasing of other machinery, equipment and tangible goods</v>
      </c>
      <c r="K846" t="s">
        <v>5484</v>
      </c>
    </row>
    <row r="847" spans="1:11" x14ac:dyDescent="0.3">
      <c r="A847" s="327" t="s">
        <v>2244</v>
      </c>
      <c r="B847" t="s">
        <v>2245</v>
      </c>
      <c r="C847" s="327"/>
      <c r="D847" s="327" t="str">
        <f t="shared" si="17"/>
        <v>NACE O - 77.31 Rental and leasing of agricultural machinery and equipment</v>
      </c>
      <c r="K847" t="s">
        <v>5485</v>
      </c>
    </row>
    <row r="848" spans="1:11" x14ac:dyDescent="0.3">
      <c r="A848" s="327" t="s">
        <v>2246</v>
      </c>
      <c r="B848" t="s">
        <v>2247</v>
      </c>
      <c r="C848" s="327"/>
      <c r="D848" s="327" t="str">
        <f t="shared" si="17"/>
        <v>NACE O - 77.32 Rental and leasing of construction and civil engineering machinery and equipment</v>
      </c>
      <c r="K848" t="s">
        <v>5486</v>
      </c>
    </row>
    <row r="849" spans="1:11" x14ac:dyDescent="0.3">
      <c r="A849" s="327" t="s">
        <v>2248</v>
      </c>
      <c r="B849" t="s">
        <v>2249</v>
      </c>
      <c r="C849" s="327"/>
      <c r="D849" s="327" t="str">
        <f t="shared" si="17"/>
        <v>NACE O - 77.33 Rental and leasing of office machinery, equipment and computers</v>
      </c>
      <c r="K849" t="s">
        <v>5487</v>
      </c>
    </row>
    <row r="850" spans="1:11" x14ac:dyDescent="0.3">
      <c r="A850" s="327" t="s">
        <v>2250</v>
      </c>
      <c r="B850" t="s">
        <v>2251</v>
      </c>
      <c r="C850" s="327"/>
      <c r="D850" s="327" t="str">
        <f t="shared" si="17"/>
        <v>NACE O - 77.34 Rental and leasing of water transport equipment</v>
      </c>
      <c r="K850" t="s">
        <v>5488</v>
      </c>
    </row>
    <row r="851" spans="1:11" x14ac:dyDescent="0.3">
      <c r="A851" s="327" t="s">
        <v>2252</v>
      </c>
      <c r="B851" t="s">
        <v>2253</v>
      </c>
      <c r="C851" s="327"/>
      <c r="D851" s="327" t="str">
        <f t="shared" si="17"/>
        <v>NACE O - 77.35 Rental and leasing of air transport equipment</v>
      </c>
      <c r="K851" t="s">
        <v>5489</v>
      </c>
    </row>
    <row r="852" spans="1:11" x14ac:dyDescent="0.3">
      <c r="A852" s="327" t="s">
        <v>2254</v>
      </c>
      <c r="B852" t="s">
        <v>2255</v>
      </c>
      <c r="C852" s="327"/>
      <c r="D852" s="327" t="str">
        <f t="shared" si="17"/>
        <v>NACE O - 77.39 Rental and leasing of other machinery, equipment and tangible goods n.e.c.</v>
      </c>
      <c r="K852" t="s">
        <v>5490</v>
      </c>
    </row>
    <row r="853" spans="1:11" x14ac:dyDescent="0.3">
      <c r="A853" s="326" t="s">
        <v>2256</v>
      </c>
      <c r="B853" t="s">
        <v>2257</v>
      </c>
      <c r="C853" s="327"/>
      <c r="D853" s="326" t="str">
        <f t="shared" si="17"/>
        <v>NACE O - 77.4 Leasing of intellectual property and similar products, except copyrighted works</v>
      </c>
      <c r="K853" t="s">
        <v>5491</v>
      </c>
    </row>
    <row r="854" spans="1:11" x14ac:dyDescent="0.3">
      <c r="A854" s="327" t="s">
        <v>2258</v>
      </c>
      <c r="B854" t="s">
        <v>2259</v>
      </c>
      <c r="C854" s="327"/>
      <c r="D854" s="327" t="str">
        <f t="shared" si="17"/>
        <v>NACE O - 77.40 Leasing of intellectual property and similar products, except copyrighted works</v>
      </c>
      <c r="K854" t="s">
        <v>5492</v>
      </c>
    </row>
    <row r="855" spans="1:11" x14ac:dyDescent="0.3">
      <c r="A855" s="326" t="s">
        <v>2260</v>
      </c>
      <c r="B855" t="s">
        <v>2261</v>
      </c>
      <c r="C855" s="327"/>
      <c r="D855" s="326" t="str">
        <f t="shared" si="17"/>
        <v>NACE O - 77.5 Intermediation service activities for rental and leasing of tangible goods and non-financial intangible assets</v>
      </c>
      <c r="K855" t="s">
        <v>5493</v>
      </c>
    </row>
    <row r="856" spans="1:11" x14ac:dyDescent="0.3">
      <c r="A856" s="327" t="s">
        <v>2262</v>
      </c>
      <c r="B856" t="s">
        <v>2263</v>
      </c>
      <c r="C856" s="327"/>
      <c r="D856" s="327" t="str">
        <f t="shared" si="17"/>
        <v>NACE O - 77.51 Intermediation service activities for rental and leasing of cars, motorhomes and trailers</v>
      </c>
      <c r="K856" t="s">
        <v>5494</v>
      </c>
    </row>
    <row r="857" spans="1:11" x14ac:dyDescent="0.3">
      <c r="A857" s="327" t="s">
        <v>2264</v>
      </c>
      <c r="B857" t="s">
        <v>2265</v>
      </c>
      <c r="C857" s="327"/>
      <c r="D857" s="327" t="str">
        <f t="shared" si="17"/>
        <v>NACE O - 77.52 Intermediation service activities for rental and leasing of other tangible goods and non-financial intangible assets</v>
      </c>
      <c r="K857" t="s">
        <v>5495</v>
      </c>
    </row>
    <row r="858" spans="1:11" x14ac:dyDescent="0.3">
      <c r="A858" s="323" t="s">
        <v>2266</v>
      </c>
      <c r="B858" t="s">
        <v>2267</v>
      </c>
      <c r="C858" s="327"/>
      <c r="D858" s="323" t="str">
        <f t="shared" si="17"/>
        <v>NACE O - 78 Employment activities</v>
      </c>
      <c r="K858" t="s">
        <v>5496</v>
      </c>
    </row>
    <row r="859" spans="1:11" x14ac:dyDescent="0.3">
      <c r="A859" s="326" t="s">
        <v>2268</v>
      </c>
      <c r="B859" t="s">
        <v>2269</v>
      </c>
      <c r="C859" s="327"/>
      <c r="D859" s="326" t="str">
        <f t="shared" si="17"/>
        <v>NACE O - 78.1 Activities of employment placement agencies</v>
      </c>
      <c r="K859" t="s">
        <v>5497</v>
      </c>
    </row>
    <row r="860" spans="1:11" x14ac:dyDescent="0.3">
      <c r="A860" s="327" t="s">
        <v>2270</v>
      </c>
      <c r="B860" t="s">
        <v>2271</v>
      </c>
      <c r="C860" s="327"/>
      <c r="D860" s="327" t="str">
        <f t="shared" si="17"/>
        <v>NACE O - 78.10 Activities of employment placement agencies</v>
      </c>
      <c r="K860" t="s">
        <v>5498</v>
      </c>
    </row>
    <row r="861" spans="1:11" x14ac:dyDescent="0.3">
      <c r="A861" s="326" t="s">
        <v>2272</v>
      </c>
      <c r="B861" t="s">
        <v>2273</v>
      </c>
      <c r="C861" s="327"/>
      <c r="D861" s="326" t="str">
        <f t="shared" si="17"/>
        <v>NACE O - 78.2 Temporary employment agency activities and other human resource provisions</v>
      </c>
      <c r="K861" t="s">
        <v>5499</v>
      </c>
    </row>
    <row r="862" spans="1:11" x14ac:dyDescent="0.3">
      <c r="A862" s="327" t="s">
        <v>2274</v>
      </c>
      <c r="B862" t="s">
        <v>2275</v>
      </c>
      <c r="C862" s="327"/>
      <c r="D862" s="327" t="str">
        <f t="shared" si="17"/>
        <v>NACE O - 78.20 Temporary employment agency activities and other human resource provisions</v>
      </c>
      <c r="K862" t="s">
        <v>5500</v>
      </c>
    </row>
    <row r="863" spans="1:11" x14ac:dyDescent="0.3">
      <c r="A863" s="323" t="s">
        <v>2276</v>
      </c>
      <c r="B863" t="s">
        <v>2277</v>
      </c>
      <c r="C863" s="327"/>
      <c r="D863" s="323" t="str">
        <f t="shared" si="17"/>
        <v>NACE O - 79 Travel agency, tour operator and other reservation service and related activities</v>
      </c>
      <c r="K863" t="s">
        <v>5501</v>
      </c>
    </row>
    <row r="864" spans="1:11" x14ac:dyDescent="0.3">
      <c r="A864" s="326" t="s">
        <v>2278</v>
      </c>
      <c r="B864" t="s">
        <v>2279</v>
      </c>
      <c r="C864" s="327"/>
      <c r="D864" s="326" t="str">
        <f t="shared" si="17"/>
        <v>NACE O - 79.1 Travel agency and tour operator activities</v>
      </c>
      <c r="K864" t="s">
        <v>5502</v>
      </c>
    </row>
    <row r="865" spans="1:11" x14ac:dyDescent="0.3">
      <c r="A865" s="327" t="s">
        <v>2280</v>
      </c>
      <c r="B865" t="s">
        <v>2281</v>
      </c>
      <c r="C865" s="327"/>
      <c r="D865" s="327" t="str">
        <f t="shared" si="17"/>
        <v>NACE O - 79.11 Travel agency activities</v>
      </c>
      <c r="K865" t="s">
        <v>5503</v>
      </c>
    </row>
    <row r="866" spans="1:11" x14ac:dyDescent="0.3">
      <c r="A866" s="327" t="s">
        <v>2282</v>
      </c>
      <c r="B866" t="s">
        <v>2283</v>
      </c>
      <c r="C866" s="327"/>
      <c r="D866" s="327" t="str">
        <f t="shared" si="17"/>
        <v>NACE O - 79.12 Tour operator activities</v>
      </c>
      <c r="K866" t="s">
        <v>5504</v>
      </c>
    </row>
    <row r="867" spans="1:11" x14ac:dyDescent="0.3">
      <c r="A867" s="326" t="s">
        <v>2284</v>
      </c>
      <c r="B867" t="s">
        <v>2285</v>
      </c>
      <c r="C867" s="327"/>
      <c r="D867" s="326" t="str">
        <f t="shared" si="17"/>
        <v>NACE O - 79.9 Other reservation service and related activities</v>
      </c>
      <c r="K867" t="s">
        <v>5505</v>
      </c>
    </row>
    <row r="868" spans="1:11" x14ac:dyDescent="0.3">
      <c r="A868" s="327" t="s">
        <v>2286</v>
      </c>
      <c r="B868" t="s">
        <v>2287</v>
      </c>
      <c r="C868" s="327"/>
      <c r="D868" s="327" t="str">
        <f t="shared" si="17"/>
        <v>NACE O - 79.90 Other reservation service and related activities</v>
      </c>
      <c r="K868" t="s">
        <v>5506</v>
      </c>
    </row>
    <row r="869" spans="1:11" x14ac:dyDescent="0.3">
      <c r="A869" s="323" t="s">
        <v>2288</v>
      </c>
      <c r="B869" t="s">
        <v>2289</v>
      </c>
      <c r="C869" s="327"/>
      <c r="D869" s="323" t="str">
        <f t="shared" si="17"/>
        <v>NACE O - 80 Investigation and security activities</v>
      </c>
      <c r="K869" t="s">
        <v>5507</v>
      </c>
    </row>
    <row r="870" spans="1:11" x14ac:dyDescent="0.3">
      <c r="A870" s="326" t="s">
        <v>2290</v>
      </c>
      <c r="B870" t="s">
        <v>2291</v>
      </c>
      <c r="C870" s="327"/>
      <c r="D870" s="326" t="str">
        <f t="shared" si="17"/>
        <v>NACE O - 80.0 Investigation and security activities</v>
      </c>
      <c r="K870" t="s">
        <v>5508</v>
      </c>
    </row>
    <row r="871" spans="1:11" x14ac:dyDescent="0.3">
      <c r="A871" s="327" t="s">
        <v>2292</v>
      </c>
      <c r="B871" t="s">
        <v>2293</v>
      </c>
      <c r="C871" s="327"/>
      <c r="D871" s="327" t="str">
        <f t="shared" si="17"/>
        <v>NACE O - 80.01 Investigation and private security activities</v>
      </c>
      <c r="K871" t="s">
        <v>5509</v>
      </c>
    </row>
    <row r="872" spans="1:11" x14ac:dyDescent="0.3">
      <c r="A872" s="327" t="s">
        <v>2294</v>
      </c>
      <c r="B872" t="s">
        <v>2295</v>
      </c>
      <c r="C872" s="327"/>
      <c r="D872" s="327" t="str">
        <f t="shared" si="17"/>
        <v>NACE O - 80.09 Security activities n.e.c.</v>
      </c>
      <c r="K872" t="s">
        <v>5510</v>
      </c>
    </row>
    <row r="873" spans="1:11" x14ac:dyDescent="0.3">
      <c r="A873" s="323" t="s">
        <v>2296</v>
      </c>
      <c r="B873" t="s">
        <v>2297</v>
      </c>
      <c r="C873" s="327"/>
      <c r="D873" s="323" t="str">
        <f t="shared" si="17"/>
        <v>NACE O - 81 Services to buildings and landscape activities</v>
      </c>
      <c r="K873" t="s">
        <v>5511</v>
      </c>
    </row>
    <row r="874" spans="1:11" x14ac:dyDescent="0.3">
      <c r="A874" s="326" t="s">
        <v>2298</v>
      </c>
      <c r="B874" t="s">
        <v>2299</v>
      </c>
      <c r="C874" s="327"/>
      <c r="D874" s="326" t="str">
        <f t="shared" si="17"/>
        <v>NACE O - 81.1 Combined facilities support activities</v>
      </c>
      <c r="K874" t="s">
        <v>5512</v>
      </c>
    </row>
    <row r="875" spans="1:11" x14ac:dyDescent="0.3">
      <c r="A875" s="327" t="s">
        <v>2300</v>
      </c>
      <c r="B875" t="s">
        <v>2301</v>
      </c>
      <c r="C875" s="327"/>
      <c r="D875" s="327" t="str">
        <f t="shared" si="17"/>
        <v>NACE O - 81.10 Combined facilities support activities</v>
      </c>
      <c r="K875" t="s">
        <v>5513</v>
      </c>
    </row>
    <row r="876" spans="1:11" x14ac:dyDescent="0.3">
      <c r="A876" s="326" t="s">
        <v>2302</v>
      </c>
      <c r="B876" t="s">
        <v>2303</v>
      </c>
      <c r="C876" s="327"/>
      <c r="D876" s="326" t="str">
        <f t="shared" si="17"/>
        <v>NACE O - 81.2 Cleaning activities</v>
      </c>
      <c r="K876" t="s">
        <v>5514</v>
      </c>
    </row>
    <row r="877" spans="1:11" x14ac:dyDescent="0.3">
      <c r="A877" s="327" t="s">
        <v>2304</v>
      </c>
      <c r="B877" t="s">
        <v>2305</v>
      </c>
      <c r="C877" s="327"/>
      <c r="D877" s="327" t="str">
        <f t="shared" si="17"/>
        <v>NACE O - 81.21 General cleaning of buildings</v>
      </c>
      <c r="K877" t="s">
        <v>5515</v>
      </c>
    </row>
    <row r="878" spans="1:11" x14ac:dyDescent="0.3">
      <c r="A878" s="327" t="s">
        <v>2306</v>
      </c>
      <c r="B878" t="s">
        <v>2307</v>
      </c>
      <c r="C878" s="327"/>
      <c r="D878" s="327" t="str">
        <f t="shared" si="17"/>
        <v>NACE O - 81.22 Other building and industrial cleaning activities</v>
      </c>
      <c r="K878" t="s">
        <v>5516</v>
      </c>
    </row>
    <row r="879" spans="1:11" x14ac:dyDescent="0.3">
      <c r="A879" s="327" t="s">
        <v>2308</v>
      </c>
      <c r="B879" t="s">
        <v>2309</v>
      </c>
      <c r="C879" s="327"/>
      <c r="D879" s="327" t="str">
        <f t="shared" si="17"/>
        <v>NACE O - 81.23 Other cleaning activities</v>
      </c>
      <c r="K879" t="s">
        <v>5517</v>
      </c>
    </row>
    <row r="880" spans="1:11" x14ac:dyDescent="0.3">
      <c r="A880" s="326" t="s">
        <v>2310</v>
      </c>
      <c r="B880" t="s">
        <v>2311</v>
      </c>
      <c r="C880" s="327"/>
      <c r="D880" s="326" t="str">
        <f t="shared" si="17"/>
        <v>NACE O - 81.3 Landscape service activities</v>
      </c>
      <c r="K880" t="s">
        <v>5518</v>
      </c>
    </row>
    <row r="881" spans="1:11" x14ac:dyDescent="0.3">
      <c r="A881" s="327" t="s">
        <v>2312</v>
      </c>
      <c r="B881" t="s">
        <v>2313</v>
      </c>
      <c r="C881" s="327"/>
      <c r="D881" s="327" t="str">
        <f t="shared" si="17"/>
        <v>NACE O - 81.30 Landscape service activities</v>
      </c>
      <c r="K881" t="s">
        <v>5519</v>
      </c>
    </row>
    <row r="882" spans="1:11" x14ac:dyDescent="0.3">
      <c r="A882" s="323" t="s">
        <v>2314</v>
      </c>
      <c r="B882" t="s">
        <v>2315</v>
      </c>
      <c r="C882" s="327"/>
      <c r="D882" s="323" t="str">
        <f t="shared" si="17"/>
        <v>NACE O - 82 Office administrative, office support and other business support activities</v>
      </c>
      <c r="K882" t="s">
        <v>5520</v>
      </c>
    </row>
    <row r="883" spans="1:11" x14ac:dyDescent="0.3">
      <c r="A883" s="326" t="s">
        <v>2316</v>
      </c>
      <c r="B883" t="s">
        <v>2317</v>
      </c>
      <c r="C883" s="327"/>
      <c r="D883" s="326" t="str">
        <f t="shared" si="17"/>
        <v>NACE O - 82.1 Office administrative and support activities</v>
      </c>
      <c r="K883" t="s">
        <v>5521</v>
      </c>
    </row>
    <row r="884" spans="1:11" x14ac:dyDescent="0.3">
      <c r="A884" s="327" t="s">
        <v>2318</v>
      </c>
      <c r="B884" t="s">
        <v>2319</v>
      </c>
      <c r="C884" s="327"/>
      <c r="D884" s="327" t="str">
        <f t="shared" si="17"/>
        <v>NACE O - 82.10 Office administrative and support activities</v>
      </c>
      <c r="K884" t="s">
        <v>5522</v>
      </c>
    </row>
    <row r="885" spans="1:11" x14ac:dyDescent="0.3">
      <c r="A885" s="326" t="s">
        <v>2320</v>
      </c>
      <c r="B885" t="s">
        <v>2321</v>
      </c>
      <c r="C885" s="327"/>
      <c r="D885" s="326" t="str">
        <f t="shared" si="17"/>
        <v>NACE O - 82.2 Activities of call centres</v>
      </c>
      <c r="K885" t="s">
        <v>5523</v>
      </c>
    </row>
    <row r="886" spans="1:11" x14ac:dyDescent="0.3">
      <c r="A886" s="327" t="s">
        <v>2322</v>
      </c>
      <c r="B886" t="s">
        <v>2323</v>
      </c>
      <c r="C886" s="327"/>
      <c r="D886" s="327" t="str">
        <f t="shared" si="17"/>
        <v>NACE O - 82.20 Activities of call centres</v>
      </c>
      <c r="K886" t="s">
        <v>5524</v>
      </c>
    </row>
    <row r="887" spans="1:11" x14ac:dyDescent="0.3">
      <c r="A887" s="326" t="s">
        <v>2324</v>
      </c>
      <c r="B887" t="s">
        <v>2325</v>
      </c>
      <c r="C887" s="327"/>
      <c r="D887" s="326" t="str">
        <f t="shared" si="17"/>
        <v>NACE O - 82.3 Organisation of conventions and trade shows</v>
      </c>
      <c r="K887" t="s">
        <v>5525</v>
      </c>
    </row>
    <row r="888" spans="1:11" x14ac:dyDescent="0.3">
      <c r="A888" s="327" t="s">
        <v>2326</v>
      </c>
      <c r="B888" t="s">
        <v>2327</v>
      </c>
      <c r="C888" s="327"/>
      <c r="D888" s="327" t="str">
        <f t="shared" si="17"/>
        <v>NACE O - 82.30 Organisation of conventions and trade shows</v>
      </c>
      <c r="K888" t="s">
        <v>5526</v>
      </c>
    </row>
    <row r="889" spans="1:11" x14ac:dyDescent="0.3">
      <c r="A889" s="326" t="s">
        <v>2328</v>
      </c>
      <c r="B889" t="s">
        <v>2329</v>
      </c>
      <c r="C889" s="327"/>
      <c r="D889" s="326" t="str">
        <f t="shared" si="17"/>
        <v>NACE O - 82.4 Intermediation service activities for business support service activities n.e.c.</v>
      </c>
      <c r="K889" t="s">
        <v>5527</v>
      </c>
    </row>
    <row r="890" spans="1:11" x14ac:dyDescent="0.3">
      <c r="A890" s="327" t="s">
        <v>2330</v>
      </c>
      <c r="B890" t="s">
        <v>2331</v>
      </c>
      <c r="C890" s="327"/>
      <c r="D890" s="327" t="str">
        <f t="shared" si="17"/>
        <v>NACE O - 82.40 Intermediation service activities for business support service activities n.e.c.</v>
      </c>
      <c r="K890" t="s">
        <v>5528</v>
      </c>
    </row>
    <row r="891" spans="1:11" x14ac:dyDescent="0.3">
      <c r="A891" s="326" t="s">
        <v>2332</v>
      </c>
      <c r="B891" t="s">
        <v>2333</v>
      </c>
      <c r="C891" s="327"/>
      <c r="D891" s="326" t="str">
        <f t="shared" si="17"/>
        <v>NACE O - 82.9 Business support service activities n.e.c.</v>
      </c>
      <c r="K891" t="s">
        <v>5529</v>
      </c>
    </row>
    <row r="892" spans="1:11" x14ac:dyDescent="0.3">
      <c r="A892" s="327" t="s">
        <v>2334</v>
      </c>
      <c r="B892" t="s">
        <v>2335</v>
      </c>
      <c r="C892" s="327"/>
      <c r="D892" s="327" t="str">
        <f t="shared" si="17"/>
        <v>NACE O - 82.91 Activities of collection agencies and credit bureaus</v>
      </c>
      <c r="K892" t="s">
        <v>5530</v>
      </c>
    </row>
    <row r="893" spans="1:11" x14ac:dyDescent="0.3">
      <c r="A893" s="327" t="s">
        <v>2336</v>
      </c>
      <c r="B893" t="s">
        <v>2337</v>
      </c>
      <c r="C893" s="327"/>
      <c r="D893" s="327" t="str">
        <f t="shared" si="17"/>
        <v>NACE O - 82.92 Packaging activities</v>
      </c>
      <c r="K893" t="s">
        <v>5531</v>
      </c>
    </row>
    <row r="894" spans="1:11" x14ac:dyDescent="0.3">
      <c r="A894" s="327" t="s">
        <v>2338</v>
      </c>
      <c r="B894" t="s">
        <v>2339</v>
      </c>
      <c r="C894" s="327"/>
      <c r="D894" s="327" t="str">
        <f t="shared" si="17"/>
        <v>NACE O - 82.99 Other business support service activities n.e.c.</v>
      </c>
      <c r="K894" t="s">
        <v>5532</v>
      </c>
    </row>
    <row r="895" spans="1:11" x14ac:dyDescent="0.3">
      <c r="A895" s="324" t="s">
        <v>2340</v>
      </c>
      <c r="B895" t="s">
        <v>2341</v>
      </c>
      <c r="C895" s="327"/>
      <c r="D895" s="324" t="str">
        <f t="shared" si="17"/>
        <v>NACE P - PUBLIC ADMINISTRATION AND DEFENCE; COMPULSORY SOCIAL SECURITY</v>
      </c>
      <c r="K895" t="s">
        <v>5533</v>
      </c>
    </row>
    <row r="896" spans="1:11" x14ac:dyDescent="0.3">
      <c r="A896" s="323" t="s">
        <v>2342</v>
      </c>
      <c r="B896" t="s">
        <v>2343</v>
      </c>
      <c r="C896" s="327"/>
      <c r="D896" s="323" t="str">
        <f t="shared" si="17"/>
        <v>NACE P - 84 Public administration and defence; compulsory social security</v>
      </c>
      <c r="K896" t="s">
        <v>5534</v>
      </c>
    </row>
    <row r="897" spans="1:11" x14ac:dyDescent="0.3">
      <c r="A897" s="326" t="s">
        <v>2344</v>
      </c>
      <c r="B897" t="s">
        <v>2345</v>
      </c>
      <c r="C897" s="327"/>
      <c r="D897" s="326" t="str">
        <f t="shared" si="17"/>
        <v>NACE P - 84.1 Administration of the State and the economic, social and environmental policies of the community</v>
      </c>
      <c r="K897" t="s">
        <v>5535</v>
      </c>
    </row>
    <row r="898" spans="1:11" x14ac:dyDescent="0.3">
      <c r="A898" s="327" t="s">
        <v>2346</v>
      </c>
      <c r="B898" t="s">
        <v>2347</v>
      </c>
      <c r="C898" s="327"/>
      <c r="D898" s="327" t="str">
        <f t="shared" ref="D898:D961" si="18">_xlfn.CONCAT("NACE ", A898)</f>
        <v>NACE P - 84.11 General public administration activities</v>
      </c>
      <c r="K898" t="s">
        <v>5536</v>
      </c>
    </row>
    <row r="899" spans="1:11" x14ac:dyDescent="0.3">
      <c r="A899" s="327" t="s">
        <v>2348</v>
      </c>
      <c r="B899" t="s">
        <v>2349</v>
      </c>
      <c r="C899" s="327"/>
      <c r="D899" s="327" t="str">
        <f t="shared" si="18"/>
        <v>NACE P - 84.12 Regulation of health care, education, cultural services and other social services</v>
      </c>
      <c r="K899" t="s">
        <v>5537</v>
      </c>
    </row>
    <row r="900" spans="1:11" x14ac:dyDescent="0.3">
      <c r="A900" s="327" t="s">
        <v>2350</v>
      </c>
      <c r="B900" t="s">
        <v>2351</v>
      </c>
      <c r="C900" s="327"/>
      <c r="D900" s="327" t="str">
        <f t="shared" si="18"/>
        <v>NACE P - 84.13 Regulation of and contribution to more efficient operation of businesses</v>
      </c>
      <c r="K900" t="s">
        <v>5538</v>
      </c>
    </row>
    <row r="901" spans="1:11" x14ac:dyDescent="0.3">
      <c r="A901" s="326" t="s">
        <v>2352</v>
      </c>
      <c r="B901" t="s">
        <v>2353</v>
      </c>
      <c r="C901" s="327"/>
      <c r="D901" s="326" t="str">
        <f t="shared" si="18"/>
        <v>NACE P - 84.2 Provision of services to the community as a whole</v>
      </c>
      <c r="K901" t="s">
        <v>5539</v>
      </c>
    </row>
    <row r="902" spans="1:11" x14ac:dyDescent="0.3">
      <c r="A902" s="327" t="s">
        <v>2354</v>
      </c>
      <c r="B902" t="s">
        <v>2355</v>
      </c>
      <c r="C902" s="327"/>
      <c r="D902" s="327" t="str">
        <f t="shared" si="18"/>
        <v>NACE P - 84.21 Foreign affairs</v>
      </c>
      <c r="K902" t="s">
        <v>5540</v>
      </c>
    </row>
    <row r="903" spans="1:11" x14ac:dyDescent="0.3">
      <c r="A903" s="327" t="s">
        <v>2356</v>
      </c>
      <c r="B903" t="s">
        <v>2357</v>
      </c>
      <c r="C903" s="327"/>
      <c r="D903" s="327" t="str">
        <f t="shared" si="18"/>
        <v>NACE P - 84.22 Defence activities</v>
      </c>
      <c r="K903" t="s">
        <v>5541</v>
      </c>
    </row>
    <row r="904" spans="1:11" x14ac:dyDescent="0.3">
      <c r="A904" s="327" t="s">
        <v>2358</v>
      </c>
      <c r="B904" t="s">
        <v>2359</v>
      </c>
      <c r="C904" s="327"/>
      <c r="D904" s="327" t="str">
        <f t="shared" si="18"/>
        <v>NACE P - 84.23 Justice and judicial activities</v>
      </c>
      <c r="K904" t="s">
        <v>5542</v>
      </c>
    </row>
    <row r="905" spans="1:11" x14ac:dyDescent="0.3">
      <c r="A905" s="327" t="s">
        <v>2360</v>
      </c>
      <c r="B905" t="s">
        <v>2361</v>
      </c>
      <c r="C905" s="327"/>
      <c r="D905" s="327" t="str">
        <f t="shared" si="18"/>
        <v>NACE P - 84.24 Public order and safety activities</v>
      </c>
      <c r="K905" t="s">
        <v>5543</v>
      </c>
    </row>
    <row r="906" spans="1:11" x14ac:dyDescent="0.3">
      <c r="A906" s="327" t="s">
        <v>2362</v>
      </c>
      <c r="B906" t="s">
        <v>2363</v>
      </c>
      <c r="C906" s="327"/>
      <c r="D906" s="327" t="str">
        <f t="shared" si="18"/>
        <v>NACE P - 84.25 Fire service activities</v>
      </c>
      <c r="K906" t="s">
        <v>5544</v>
      </c>
    </row>
    <row r="907" spans="1:11" x14ac:dyDescent="0.3">
      <c r="A907" s="326" t="s">
        <v>2364</v>
      </c>
      <c r="B907" t="s">
        <v>2365</v>
      </c>
      <c r="C907" s="327"/>
      <c r="D907" s="326" t="str">
        <f t="shared" si="18"/>
        <v>NACE P - 84.3 Compulsory social security activities</v>
      </c>
      <c r="K907" t="s">
        <v>5545</v>
      </c>
    </row>
    <row r="908" spans="1:11" x14ac:dyDescent="0.3">
      <c r="A908" s="327" t="s">
        <v>2366</v>
      </c>
      <c r="B908" t="s">
        <v>2367</v>
      </c>
      <c r="C908" s="327"/>
      <c r="D908" s="327" t="str">
        <f t="shared" si="18"/>
        <v>NACE P - 84.30 Compulsory social security activities</v>
      </c>
      <c r="K908" t="s">
        <v>5546</v>
      </c>
    </row>
    <row r="909" spans="1:11" x14ac:dyDescent="0.3">
      <c r="A909" s="324" t="s">
        <v>2368</v>
      </c>
      <c r="B909" t="s">
        <v>2369</v>
      </c>
      <c r="C909" s="327"/>
      <c r="D909" s="324" t="str">
        <f t="shared" si="18"/>
        <v>NACE Q - EDUCATION</v>
      </c>
      <c r="K909" t="s">
        <v>5547</v>
      </c>
    </row>
    <row r="910" spans="1:11" x14ac:dyDescent="0.3">
      <c r="A910" s="323" t="s">
        <v>2370</v>
      </c>
      <c r="B910" t="s">
        <v>2371</v>
      </c>
      <c r="C910" s="327"/>
      <c r="D910" s="323" t="str">
        <f t="shared" si="18"/>
        <v>NACE Q - 85 Education</v>
      </c>
      <c r="K910" t="s">
        <v>5548</v>
      </c>
    </row>
    <row r="911" spans="1:11" x14ac:dyDescent="0.3">
      <c r="A911" s="326" t="s">
        <v>2372</v>
      </c>
      <c r="B911" t="s">
        <v>2373</v>
      </c>
      <c r="C911" s="327"/>
      <c r="D911" s="326" t="str">
        <f t="shared" si="18"/>
        <v>NACE Q - 85.1 Pre-primary education</v>
      </c>
      <c r="K911" t="s">
        <v>5549</v>
      </c>
    </row>
    <row r="912" spans="1:11" x14ac:dyDescent="0.3">
      <c r="A912" s="327" t="s">
        <v>2374</v>
      </c>
      <c r="B912" t="s">
        <v>2375</v>
      </c>
      <c r="C912" s="327"/>
      <c r="D912" s="327" t="str">
        <f t="shared" si="18"/>
        <v>NACE Q - 85.10 Pre-primary education</v>
      </c>
      <c r="K912" t="s">
        <v>5550</v>
      </c>
    </row>
    <row r="913" spans="1:11" x14ac:dyDescent="0.3">
      <c r="A913" s="326" t="s">
        <v>2376</v>
      </c>
      <c r="B913" t="s">
        <v>2377</v>
      </c>
      <c r="C913" s="327"/>
      <c r="D913" s="326" t="str">
        <f t="shared" si="18"/>
        <v>NACE Q - 85.2 Primary education</v>
      </c>
      <c r="K913" t="s">
        <v>5551</v>
      </c>
    </row>
    <row r="914" spans="1:11" x14ac:dyDescent="0.3">
      <c r="A914" s="327" t="s">
        <v>2378</v>
      </c>
      <c r="B914" t="s">
        <v>2379</v>
      </c>
      <c r="C914" s="327"/>
      <c r="D914" s="327" t="str">
        <f t="shared" si="18"/>
        <v>NACE Q - 85.20 Primary education</v>
      </c>
      <c r="K914" t="s">
        <v>5552</v>
      </c>
    </row>
    <row r="915" spans="1:11" x14ac:dyDescent="0.3">
      <c r="A915" s="326" t="s">
        <v>2380</v>
      </c>
      <c r="B915" t="s">
        <v>2381</v>
      </c>
      <c r="C915" s="327"/>
      <c r="D915" s="326" t="str">
        <f t="shared" si="18"/>
        <v>NACE Q - 85.3 Secondary and post-secondary non-tertiary education</v>
      </c>
      <c r="K915" t="s">
        <v>5553</v>
      </c>
    </row>
    <row r="916" spans="1:11" x14ac:dyDescent="0.3">
      <c r="A916" s="327" t="s">
        <v>2382</v>
      </c>
      <c r="B916" t="s">
        <v>2383</v>
      </c>
      <c r="C916" s="327"/>
      <c r="D916" s="327" t="str">
        <f t="shared" si="18"/>
        <v>NACE Q - 85.31 General secondary education</v>
      </c>
      <c r="K916" t="s">
        <v>5554</v>
      </c>
    </row>
    <row r="917" spans="1:11" x14ac:dyDescent="0.3">
      <c r="A917" s="327" t="s">
        <v>2384</v>
      </c>
      <c r="B917" t="s">
        <v>2385</v>
      </c>
      <c r="C917" s="327"/>
      <c r="D917" s="327" t="str">
        <f t="shared" si="18"/>
        <v>NACE Q - 85.32 Vocational secondary education</v>
      </c>
      <c r="K917" t="s">
        <v>5555</v>
      </c>
    </row>
    <row r="918" spans="1:11" x14ac:dyDescent="0.3">
      <c r="A918" s="327" t="s">
        <v>2386</v>
      </c>
      <c r="B918" t="s">
        <v>2387</v>
      </c>
      <c r="C918" s="327"/>
      <c r="D918" s="327" t="str">
        <f t="shared" si="18"/>
        <v>NACE Q - 85.33 Post-secondary non-tertiary education</v>
      </c>
      <c r="K918" t="s">
        <v>5556</v>
      </c>
    </row>
    <row r="919" spans="1:11" x14ac:dyDescent="0.3">
      <c r="A919" s="326" t="s">
        <v>2388</v>
      </c>
      <c r="B919" t="s">
        <v>2389</v>
      </c>
      <c r="C919" s="327"/>
      <c r="D919" s="326" t="str">
        <f t="shared" si="18"/>
        <v>NACE Q - 85.4 Tertiary education</v>
      </c>
      <c r="K919" t="s">
        <v>5557</v>
      </c>
    </row>
    <row r="920" spans="1:11" x14ac:dyDescent="0.3">
      <c r="A920" s="327" t="s">
        <v>2390</v>
      </c>
      <c r="B920" t="s">
        <v>2391</v>
      </c>
      <c r="C920" s="327"/>
      <c r="D920" s="327" t="str">
        <f t="shared" si="18"/>
        <v>NACE Q - 85.40 Tertiary education</v>
      </c>
      <c r="K920" t="s">
        <v>5558</v>
      </c>
    </row>
    <row r="921" spans="1:11" x14ac:dyDescent="0.3">
      <c r="A921" s="326" t="s">
        <v>2392</v>
      </c>
      <c r="B921" t="s">
        <v>2393</v>
      </c>
      <c r="C921" s="327"/>
      <c r="D921" s="326" t="str">
        <f t="shared" si="18"/>
        <v>NACE Q - 85.5 Other education</v>
      </c>
      <c r="K921" t="s">
        <v>5559</v>
      </c>
    </row>
    <row r="922" spans="1:11" x14ac:dyDescent="0.3">
      <c r="A922" s="327" t="s">
        <v>2394</v>
      </c>
      <c r="B922" t="s">
        <v>2395</v>
      </c>
      <c r="C922" s="327"/>
      <c r="D922" s="327" t="str">
        <f t="shared" si="18"/>
        <v>NACE Q - 85.51 Sports and recreation education</v>
      </c>
      <c r="K922" t="s">
        <v>5560</v>
      </c>
    </row>
    <row r="923" spans="1:11" x14ac:dyDescent="0.3">
      <c r="A923" s="327" t="s">
        <v>2396</v>
      </c>
      <c r="B923" t="s">
        <v>2397</v>
      </c>
      <c r="C923" s="327"/>
      <c r="D923" s="327" t="str">
        <f t="shared" si="18"/>
        <v>NACE Q - 85.52 Cultural education</v>
      </c>
      <c r="K923" t="s">
        <v>5561</v>
      </c>
    </row>
    <row r="924" spans="1:11" x14ac:dyDescent="0.3">
      <c r="A924" s="327" t="s">
        <v>2398</v>
      </c>
      <c r="B924" t="s">
        <v>2399</v>
      </c>
      <c r="C924" s="327"/>
      <c r="D924" s="327" t="str">
        <f t="shared" si="18"/>
        <v>NACE Q - 85.53 Driving school activities</v>
      </c>
      <c r="K924" t="s">
        <v>5562</v>
      </c>
    </row>
    <row r="925" spans="1:11" x14ac:dyDescent="0.3">
      <c r="A925" s="327" t="s">
        <v>2400</v>
      </c>
      <c r="B925" t="s">
        <v>2401</v>
      </c>
      <c r="C925" s="327"/>
      <c r="D925" s="327" t="str">
        <f t="shared" si="18"/>
        <v>NACE Q - 85.59 Other education n.e.c.</v>
      </c>
      <c r="K925" t="s">
        <v>5563</v>
      </c>
    </row>
    <row r="926" spans="1:11" x14ac:dyDescent="0.3">
      <c r="A926" s="326" t="s">
        <v>2402</v>
      </c>
      <c r="B926" t="s">
        <v>2403</v>
      </c>
      <c r="C926" s="327"/>
      <c r="D926" s="326" t="str">
        <f t="shared" si="18"/>
        <v>NACE Q - 85.6 Educational support activities</v>
      </c>
      <c r="K926" t="s">
        <v>5564</v>
      </c>
    </row>
    <row r="927" spans="1:11" x14ac:dyDescent="0.3">
      <c r="A927" s="327" t="s">
        <v>2404</v>
      </c>
      <c r="B927" t="s">
        <v>2405</v>
      </c>
      <c r="C927" s="327"/>
      <c r="D927" s="327" t="str">
        <f t="shared" si="18"/>
        <v>NACE Q - 85.61 Intermediation service activities for courses and tutors</v>
      </c>
      <c r="K927" t="s">
        <v>5565</v>
      </c>
    </row>
    <row r="928" spans="1:11" x14ac:dyDescent="0.3">
      <c r="A928" s="327" t="s">
        <v>2406</v>
      </c>
      <c r="B928" t="s">
        <v>2407</v>
      </c>
      <c r="C928" s="327"/>
      <c r="D928" s="327" t="str">
        <f t="shared" si="18"/>
        <v>NACE Q - 85.69 Educational support activities n.e.c.</v>
      </c>
      <c r="K928" t="s">
        <v>5566</v>
      </c>
    </row>
    <row r="929" spans="1:11" x14ac:dyDescent="0.3">
      <c r="A929" s="324" t="s">
        <v>2408</v>
      </c>
      <c r="B929" t="s">
        <v>2409</v>
      </c>
      <c r="C929" s="327"/>
      <c r="D929" s="324" t="str">
        <f t="shared" si="18"/>
        <v>NACE R - HUMAN HEALTH AND SOCIAL WORK ACTIVITIES</v>
      </c>
      <c r="K929" t="s">
        <v>5567</v>
      </c>
    </row>
    <row r="930" spans="1:11" x14ac:dyDescent="0.3">
      <c r="A930" s="323" t="s">
        <v>2410</v>
      </c>
      <c r="B930" t="s">
        <v>2411</v>
      </c>
      <c r="C930" s="327"/>
      <c r="D930" s="323" t="str">
        <f t="shared" si="18"/>
        <v>NACE R - 86 Human health activities</v>
      </c>
      <c r="K930" t="s">
        <v>5568</v>
      </c>
    </row>
    <row r="931" spans="1:11" x14ac:dyDescent="0.3">
      <c r="A931" s="326" t="s">
        <v>2412</v>
      </c>
      <c r="B931" t="s">
        <v>2413</v>
      </c>
      <c r="C931" s="327"/>
      <c r="D931" s="326" t="str">
        <f t="shared" si="18"/>
        <v>NACE R - 86.1 Hospital activities</v>
      </c>
      <c r="K931" t="s">
        <v>4657</v>
      </c>
    </row>
    <row r="932" spans="1:11" x14ac:dyDescent="0.3">
      <c r="A932" s="327" t="s">
        <v>2414</v>
      </c>
      <c r="B932" t="s">
        <v>2415</v>
      </c>
      <c r="C932" s="327"/>
      <c r="D932" s="327" t="str">
        <f t="shared" si="18"/>
        <v>NACE R - 86.10 Hospital activities</v>
      </c>
      <c r="K932" t="s">
        <v>5569</v>
      </c>
    </row>
    <row r="933" spans="1:11" x14ac:dyDescent="0.3">
      <c r="A933" s="326" t="s">
        <v>2416</v>
      </c>
      <c r="B933" t="s">
        <v>2417</v>
      </c>
      <c r="C933" s="327"/>
      <c r="D933" s="326" t="str">
        <f t="shared" si="18"/>
        <v>NACE R - 86.2 Medical and dental practice activities</v>
      </c>
      <c r="K933" t="s">
        <v>5570</v>
      </c>
    </row>
    <row r="934" spans="1:11" x14ac:dyDescent="0.3">
      <c r="A934" s="327" t="s">
        <v>2418</v>
      </c>
      <c r="B934" t="s">
        <v>2419</v>
      </c>
      <c r="C934" s="327"/>
      <c r="D934" s="327" t="str">
        <f t="shared" si="18"/>
        <v>NACE R - 86.21 General medical practice activities</v>
      </c>
      <c r="K934" t="s">
        <v>5571</v>
      </c>
    </row>
    <row r="935" spans="1:11" x14ac:dyDescent="0.3">
      <c r="A935" s="327" t="s">
        <v>2420</v>
      </c>
      <c r="B935" t="s">
        <v>2421</v>
      </c>
      <c r="C935" s="327"/>
      <c r="D935" s="327" t="str">
        <f t="shared" si="18"/>
        <v>NACE R - 86.22 Medical specialists activities</v>
      </c>
      <c r="K935" t="s">
        <v>5572</v>
      </c>
    </row>
    <row r="936" spans="1:11" x14ac:dyDescent="0.3">
      <c r="A936" s="327" t="s">
        <v>2422</v>
      </c>
      <c r="B936" t="s">
        <v>2423</v>
      </c>
      <c r="C936" s="327"/>
      <c r="D936" s="327" t="str">
        <f t="shared" si="18"/>
        <v>NACE R - 86.23 Dental practice care activities</v>
      </c>
      <c r="K936" t="s">
        <v>5573</v>
      </c>
    </row>
    <row r="937" spans="1:11" x14ac:dyDescent="0.3">
      <c r="A937" s="326" t="s">
        <v>2424</v>
      </c>
      <c r="B937" t="s">
        <v>2425</v>
      </c>
      <c r="C937" s="327"/>
      <c r="D937" s="326" t="str">
        <f t="shared" si="18"/>
        <v>NACE R - 86.9 Other human health activities</v>
      </c>
      <c r="K937" t="s">
        <v>5574</v>
      </c>
    </row>
    <row r="938" spans="1:11" x14ac:dyDescent="0.3">
      <c r="A938" s="327" t="s">
        <v>2426</v>
      </c>
      <c r="B938" t="s">
        <v>2427</v>
      </c>
      <c r="C938" s="327"/>
      <c r="D938" s="327" t="str">
        <f t="shared" si="18"/>
        <v>NACE R - 86.91 Diagnostic imaging services and medical laboratory activities</v>
      </c>
      <c r="K938" t="s">
        <v>5575</v>
      </c>
    </row>
    <row r="939" spans="1:11" x14ac:dyDescent="0.3">
      <c r="A939" s="327" t="s">
        <v>2428</v>
      </c>
      <c r="B939" t="s">
        <v>2429</v>
      </c>
      <c r="C939" s="327"/>
      <c r="D939" s="327" t="str">
        <f t="shared" si="18"/>
        <v>NACE R - 86.92 Patient transportation by ambulance</v>
      </c>
      <c r="K939" t="s">
        <v>5576</v>
      </c>
    </row>
    <row r="940" spans="1:11" x14ac:dyDescent="0.3">
      <c r="A940" s="327" t="s">
        <v>2430</v>
      </c>
      <c r="B940" t="s">
        <v>2431</v>
      </c>
      <c r="C940" s="327"/>
      <c r="D940" s="327" t="str">
        <f t="shared" si="18"/>
        <v>NACE R - 86.93 Activities of psychologists and psychotherapists, except medical doctors</v>
      </c>
      <c r="K940" t="s">
        <v>5577</v>
      </c>
    </row>
    <row r="941" spans="1:11" x14ac:dyDescent="0.3">
      <c r="A941" s="327" t="s">
        <v>2432</v>
      </c>
      <c r="B941" t="s">
        <v>2433</v>
      </c>
      <c r="C941" s="327"/>
      <c r="D941" s="327" t="str">
        <f t="shared" si="18"/>
        <v>NACE R - 86.94 Nursing and midwifery activities</v>
      </c>
      <c r="K941" t="s">
        <v>5578</v>
      </c>
    </row>
    <row r="942" spans="1:11" x14ac:dyDescent="0.3">
      <c r="A942" s="327" t="s">
        <v>2434</v>
      </c>
      <c r="B942" t="s">
        <v>2435</v>
      </c>
      <c r="C942" s="327"/>
      <c r="D942" s="327" t="str">
        <f t="shared" si="18"/>
        <v>NACE R - 86.95 Physiotherapy activities</v>
      </c>
      <c r="K942" t="s">
        <v>5579</v>
      </c>
    </row>
    <row r="943" spans="1:11" x14ac:dyDescent="0.3">
      <c r="A943" s="327" t="s">
        <v>2436</v>
      </c>
      <c r="B943" t="s">
        <v>2437</v>
      </c>
      <c r="C943" s="327"/>
      <c r="D943" s="327" t="str">
        <f t="shared" si="18"/>
        <v>NACE R - 86.96 Traditional, complementary and alternative medicine activities</v>
      </c>
      <c r="K943" t="s">
        <v>5580</v>
      </c>
    </row>
    <row r="944" spans="1:11" x14ac:dyDescent="0.3">
      <c r="A944" s="327" t="s">
        <v>2438</v>
      </c>
      <c r="B944" t="s">
        <v>2439</v>
      </c>
      <c r="C944" s="327"/>
      <c r="D944" s="327" t="str">
        <f t="shared" si="18"/>
        <v>NACE R - 86.97 Intermediation service activities for medical, dental and other human health services</v>
      </c>
      <c r="K944" t="s">
        <v>5581</v>
      </c>
    </row>
    <row r="945" spans="1:11" x14ac:dyDescent="0.3">
      <c r="A945" s="327" t="s">
        <v>2440</v>
      </c>
      <c r="B945" t="s">
        <v>2441</v>
      </c>
      <c r="C945" s="327"/>
      <c r="D945" s="327" t="str">
        <f t="shared" si="18"/>
        <v>NACE R - 86.99 Other human health activities n.e.c.</v>
      </c>
      <c r="K945" t="s">
        <v>5582</v>
      </c>
    </row>
    <row r="946" spans="1:11" x14ac:dyDescent="0.3">
      <c r="A946" s="323" t="s">
        <v>2442</v>
      </c>
      <c r="B946" t="s">
        <v>2443</v>
      </c>
      <c r="C946" s="327"/>
      <c r="D946" s="323" t="str">
        <f t="shared" si="18"/>
        <v>NACE R - 87 Residential care activities</v>
      </c>
      <c r="K946" t="s">
        <v>5583</v>
      </c>
    </row>
    <row r="947" spans="1:11" x14ac:dyDescent="0.3">
      <c r="A947" s="326" t="s">
        <v>2444</v>
      </c>
      <c r="B947" t="s">
        <v>2445</v>
      </c>
      <c r="C947" s="327"/>
      <c r="D947" s="326" t="str">
        <f t="shared" si="18"/>
        <v>NACE R - 87.1 Residential nursing care activities</v>
      </c>
      <c r="K947" t="s">
        <v>5584</v>
      </c>
    </row>
    <row r="948" spans="1:11" x14ac:dyDescent="0.3">
      <c r="A948" s="327" t="s">
        <v>2446</v>
      </c>
      <c r="B948" t="s">
        <v>2447</v>
      </c>
      <c r="C948" s="327"/>
      <c r="D948" s="327" t="str">
        <f t="shared" si="18"/>
        <v>NACE R - 87.10 Residential nursing care activities</v>
      </c>
      <c r="K948" t="s">
        <v>5585</v>
      </c>
    </row>
    <row r="949" spans="1:11" x14ac:dyDescent="0.3">
      <c r="A949" s="326" t="s">
        <v>2448</v>
      </c>
      <c r="B949" t="s">
        <v>2449</v>
      </c>
      <c r="C949" s="327"/>
      <c r="D949" s="326" t="str">
        <f t="shared" si="18"/>
        <v>NACE R - 87.2 Residential care activities for persons living with or having a diagnosis of a mental illness or substance abuse</v>
      </c>
      <c r="K949" t="s">
        <v>5586</v>
      </c>
    </row>
    <row r="950" spans="1:11" x14ac:dyDescent="0.3">
      <c r="A950" s="327" t="s">
        <v>2450</v>
      </c>
      <c r="B950" t="s">
        <v>2451</v>
      </c>
      <c r="C950" s="327"/>
      <c r="D950" s="327" t="str">
        <f t="shared" si="18"/>
        <v>NACE R - 87.20 Residential care activities for persons living with or having a diagnosis of a mental illness or substance abuse</v>
      </c>
      <c r="K950" t="s">
        <v>5587</v>
      </c>
    </row>
    <row r="951" spans="1:11" x14ac:dyDescent="0.3">
      <c r="A951" s="326" t="s">
        <v>2452</v>
      </c>
      <c r="B951" t="s">
        <v>2453</v>
      </c>
      <c r="C951" s="327"/>
      <c r="D951" s="326" t="str">
        <f t="shared" si="18"/>
        <v>NACE R - 87.3 Residential care activities for older persons or persons with physical disabilities</v>
      </c>
      <c r="K951" t="s">
        <v>5588</v>
      </c>
    </row>
    <row r="952" spans="1:11" x14ac:dyDescent="0.3">
      <c r="A952" s="327" t="s">
        <v>2454</v>
      </c>
      <c r="B952" t="s">
        <v>2455</v>
      </c>
      <c r="C952" s="327"/>
      <c r="D952" s="327" t="str">
        <f t="shared" si="18"/>
        <v>NACE R - 87.30 Residential care activities for older persons or persons with physical disabilities</v>
      </c>
      <c r="K952" t="s">
        <v>5589</v>
      </c>
    </row>
    <row r="953" spans="1:11" x14ac:dyDescent="0.3">
      <c r="A953" s="326" t="s">
        <v>2456</v>
      </c>
      <c r="B953" t="s">
        <v>2457</v>
      </c>
      <c r="C953" s="327"/>
      <c r="D953" s="326" t="str">
        <f t="shared" si="18"/>
        <v>NACE R - 87.9 Other residential care activities</v>
      </c>
      <c r="K953" t="s">
        <v>5590</v>
      </c>
    </row>
    <row r="954" spans="1:11" x14ac:dyDescent="0.3">
      <c r="A954" s="327" t="s">
        <v>2458</v>
      </c>
      <c r="B954" t="s">
        <v>2459</v>
      </c>
      <c r="C954" s="327"/>
      <c r="D954" s="327" t="str">
        <f t="shared" si="18"/>
        <v>NACE R - 87.91 Intermediation service activities for residential care activities</v>
      </c>
      <c r="K954" t="s">
        <v>5591</v>
      </c>
    </row>
    <row r="955" spans="1:11" x14ac:dyDescent="0.3">
      <c r="A955" s="327" t="s">
        <v>2460</v>
      </c>
      <c r="B955" t="s">
        <v>2461</v>
      </c>
      <c r="C955" s="327"/>
      <c r="D955" s="327" t="str">
        <f t="shared" si="18"/>
        <v>NACE R - 87.99 Other residential care activities n.e.c.</v>
      </c>
      <c r="K955" t="s">
        <v>5592</v>
      </c>
    </row>
    <row r="956" spans="1:11" x14ac:dyDescent="0.3">
      <c r="A956" s="323" t="s">
        <v>2462</v>
      </c>
      <c r="B956" t="s">
        <v>2463</v>
      </c>
      <c r="C956" s="327"/>
      <c r="D956" s="323" t="str">
        <f t="shared" si="18"/>
        <v>NACE R - 88 Social work activities without accommodation</v>
      </c>
      <c r="K956" t="s">
        <v>5593</v>
      </c>
    </row>
    <row r="957" spans="1:11" x14ac:dyDescent="0.3">
      <c r="A957" s="326" t="s">
        <v>2464</v>
      </c>
      <c r="B957" t="s">
        <v>2465</v>
      </c>
      <c r="C957" s="327"/>
      <c r="D957" s="326" t="str">
        <f t="shared" si="18"/>
        <v>NACE R - 88.1 Social work activities without accommodation for older persons or persons with disabilities</v>
      </c>
      <c r="K957" t="s">
        <v>5594</v>
      </c>
    </row>
    <row r="958" spans="1:11" x14ac:dyDescent="0.3">
      <c r="A958" s="327" t="s">
        <v>2466</v>
      </c>
      <c r="B958" t="s">
        <v>2467</v>
      </c>
      <c r="C958" s="327"/>
      <c r="D958" s="327" t="str">
        <f t="shared" si="18"/>
        <v>NACE R - 88.10 Social work activities without accommodation for older persons or persons with disabilities</v>
      </c>
      <c r="K958" t="s">
        <v>5595</v>
      </c>
    </row>
    <row r="959" spans="1:11" x14ac:dyDescent="0.3">
      <c r="A959" s="326" t="s">
        <v>2468</v>
      </c>
      <c r="B959" t="s">
        <v>2469</v>
      </c>
      <c r="C959" s="327"/>
      <c r="D959" s="326" t="str">
        <f t="shared" si="18"/>
        <v>NACE R - 88.9 Other social work activities without accommodation</v>
      </c>
      <c r="K959" t="s">
        <v>5596</v>
      </c>
    </row>
    <row r="960" spans="1:11" x14ac:dyDescent="0.3">
      <c r="A960" s="327" t="s">
        <v>2470</v>
      </c>
      <c r="B960" t="s">
        <v>2471</v>
      </c>
      <c r="C960" s="327"/>
      <c r="D960" s="327" t="str">
        <f t="shared" si="18"/>
        <v>NACE R - 88.91 Child day-care activities</v>
      </c>
      <c r="K960" t="s">
        <v>5597</v>
      </c>
    </row>
    <row r="961" spans="1:11" x14ac:dyDescent="0.3">
      <c r="A961" s="327" t="s">
        <v>2472</v>
      </c>
      <c r="B961" t="s">
        <v>2473</v>
      </c>
      <c r="C961" s="327"/>
      <c r="D961" s="327" t="str">
        <f t="shared" si="18"/>
        <v>NACE R - 88.99 Other social work activities without accommodation n.e.c.</v>
      </c>
      <c r="K961" t="s">
        <v>5598</v>
      </c>
    </row>
    <row r="962" spans="1:11" x14ac:dyDescent="0.3">
      <c r="A962" s="324" t="s">
        <v>2474</v>
      </c>
      <c r="B962" t="s">
        <v>2475</v>
      </c>
      <c r="C962" s="327"/>
      <c r="D962" s="324" t="str">
        <f t="shared" ref="D962:D1025" si="19">_xlfn.CONCAT("NACE ", A962)</f>
        <v>NACE S - ARTS, SPORTS AND RECREATION</v>
      </c>
      <c r="K962" t="s">
        <v>5599</v>
      </c>
    </row>
    <row r="963" spans="1:11" x14ac:dyDescent="0.3">
      <c r="A963" s="323" t="s">
        <v>2476</v>
      </c>
      <c r="B963" t="s">
        <v>2477</v>
      </c>
      <c r="C963" s="327"/>
      <c r="D963" s="323" t="str">
        <f t="shared" si="19"/>
        <v>NACE S - 90 Arts creation and performing arts activities</v>
      </c>
      <c r="K963" t="s">
        <v>5600</v>
      </c>
    </row>
    <row r="964" spans="1:11" x14ac:dyDescent="0.3">
      <c r="A964" s="326" t="s">
        <v>2478</v>
      </c>
      <c r="B964" t="s">
        <v>2479</v>
      </c>
      <c r="C964" s="327"/>
      <c r="D964" s="326" t="str">
        <f t="shared" si="19"/>
        <v>NACE S - 90.1 Arts creation activities</v>
      </c>
      <c r="K964" t="s">
        <v>5601</v>
      </c>
    </row>
    <row r="965" spans="1:11" x14ac:dyDescent="0.3">
      <c r="A965" s="327" t="s">
        <v>2480</v>
      </c>
      <c r="B965" t="s">
        <v>2481</v>
      </c>
      <c r="C965" s="327"/>
      <c r="D965" s="327" t="str">
        <f t="shared" si="19"/>
        <v>NACE S - 90.11 Literary creation and musical composition activities</v>
      </c>
      <c r="K965" t="s">
        <v>5602</v>
      </c>
    </row>
    <row r="966" spans="1:11" x14ac:dyDescent="0.3">
      <c r="A966" s="327" t="s">
        <v>2482</v>
      </c>
      <c r="B966" t="s">
        <v>2483</v>
      </c>
      <c r="C966" s="327"/>
      <c r="D966" s="327" t="str">
        <f t="shared" si="19"/>
        <v>NACE S - 90.12 Visual arts creation activities</v>
      </c>
      <c r="K966" t="s">
        <v>5603</v>
      </c>
    </row>
    <row r="967" spans="1:11" x14ac:dyDescent="0.3">
      <c r="A967" s="327" t="s">
        <v>2484</v>
      </c>
      <c r="B967" t="s">
        <v>2485</v>
      </c>
      <c r="C967" s="327"/>
      <c r="D967" s="327" t="str">
        <f t="shared" si="19"/>
        <v>NACE S - 90.13 Other arts creation activities</v>
      </c>
      <c r="K967" t="s">
        <v>5604</v>
      </c>
    </row>
    <row r="968" spans="1:11" x14ac:dyDescent="0.3">
      <c r="A968" s="326" t="s">
        <v>2486</v>
      </c>
      <c r="B968" t="s">
        <v>2487</v>
      </c>
      <c r="C968" s="327"/>
      <c r="D968" s="326" t="str">
        <f t="shared" si="19"/>
        <v>NACE S - 90.2 Activities of performing arts</v>
      </c>
      <c r="K968" t="s">
        <v>5605</v>
      </c>
    </row>
    <row r="969" spans="1:11" x14ac:dyDescent="0.3">
      <c r="A969" s="327" t="s">
        <v>2488</v>
      </c>
      <c r="B969" t="s">
        <v>2489</v>
      </c>
      <c r="C969" s="327"/>
      <c r="D969" s="327" t="str">
        <f t="shared" si="19"/>
        <v>NACE S - 90.20 Activities of performing arts</v>
      </c>
      <c r="K969" t="s">
        <v>5606</v>
      </c>
    </row>
    <row r="970" spans="1:11" x14ac:dyDescent="0.3">
      <c r="A970" s="326" t="s">
        <v>2490</v>
      </c>
      <c r="B970" t="s">
        <v>2491</v>
      </c>
      <c r="C970" s="327"/>
      <c r="D970" s="326" t="str">
        <f t="shared" si="19"/>
        <v>NACE S - 90.3 Support activities to arts creation and performing arts</v>
      </c>
      <c r="K970" t="s">
        <v>5607</v>
      </c>
    </row>
    <row r="971" spans="1:11" x14ac:dyDescent="0.3">
      <c r="A971" s="327" t="s">
        <v>2492</v>
      </c>
      <c r="B971" t="s">
        <v>2493</v>
      </c>
      <c r="C971" s="327"/>
      <c r="D971" s="327" t="str">
        <f t="shared" si="19"/>
        <v>NACE S - 90.31 Operation of arts facilities and sites</v>
      </c>
      <c r="K971" t="s">
        <v>5608</v>
      </c>
    </row>
    <row r="972" spans="1:11" x14ac:dyDescent="0.3">
      <c r="A972" s="327" t="s">
        <v>2494</v>
      </c>
      <c r="B972" t="s">
        <v>2495</v>
      </c>
      <c r="C972" s="327"/>
      <c r="D972" s="327" t="str">
        <f t="shared" si="19"/>
        <v>NACE S - 90.39 Other support activities to arts and performing arts</v>
      </c>
      <c r="K972" t="s">
        <v>5609</v>
      </c>
    </row>
    <row r="973" spans="1:11" x14ac:dyDescent="0.3">
      <c r="A973" s="323" t="s">
        <v>2496</v>
      </c>
      <c r="B973" t="s">
        <v>2497</v>
      </c>
      <c r="C973" s="327"/>
      <c r="D973" s="323" t="str">
        <f t="shared" si="19"/>
        <v>NACE S - 91 Libraries, archives, museums and other cultural activities</v>
      </c>
      <c r="K973" t="s">
        <v>5610</v>
      </c>
    </row>
    <row r="974" spans="1:11" x14ac:dyDescent="0.3">
      <c r="A974" s="326" t="s">
        <v>2498</v>
      </c>
      <c r="B974" t="s">
        <v>2499</v>
      </c>
      <c r="C974" s="327"/>
      <c r="D974" s="326" t="str">
        <f t="shared" si="19"/>
        <v>NACE S - 91.1 Library and archive activities</v>
      </c>
      <c r="K974" t="s">
        <v>5611</v>
      </c>
    </row>
    <row r="975" spans="1:11" x14ac:dyDescent="0.3">
      <c r="A975" s="327" t="s">
        <v>2500</v>
      </c>
      <c r="B975" t="s">
        <v>2501</v>
      </c>
      <c r="C975" s="327"/>
      <c r="D975" s="327" t="str">
        <f t="shared" si="19"/>
        <v>NACE S - 91.11 Library activities</v>
      </c>
    </row>
    <row r="976" spans="1:11" x14ac:dyDescent="0.3">
      <c r="A976" s="327" t="s">
        <v>2502</v>
      </c>
      <c r="B976" t="s">
        <v>2503</v>
      </c>
      <c r="C976" s="327"/>
      <c r="D976" s="327" t="str">
        <f t="shared" si="19"/>
        <v>NACE S - 91.12 Archive activities</v>
      </c>
    </row>
    <row r="977" spans="1:4" x14ac:dyDescent="0.3">
      <c r="A977" s="326" t="s">
        <v>2504</v>
      </c>
      <c r="B977" t="s">
        <v>2505</v>
      </c>
      <c r="C977" s="327"/>
      <c r="D977" s="326" t="str">
        <f t="shared" si="19"/>
        <v>NACE S - 91.2 Museum, collection, historical site and monument activities</v>
      </c>
    </row>
    <row r="978" spans="1:4" x14ac:dyDescent="0.3">
      <c r="A978" s="327" t="s">
        <v>2506</v>
      </c>
      <c r="B978" t="s">
        <v>2507</v>
      </c>
      <c r="C978" s="327"/>
      <c r="D978" s="327" t="str">
        <f t="shared" si="19"/>
        <v>NACE S - 91.21 Museum and collection activities</v>
      </c>
    </row>
    <row r="979" spans="1:4" x14ac:dyDescent="0.3">
      <c r="A979" s="327" t="s">
        <v>2508</v>
      </c>
      <c r="B979" t="s">
        <v>2509</v>
      </c>
      <c r="C979" s="327"/>
      <c r="D979" s="327" t="str">
        <f t="shared" si="19"/>
        <v>NACE S - 91.22 Historical site and monument activities</v>
      </c>
    </row>
    <row r="980" spans="1:4" x14ac:dyDescent="0.3">
      <c r="A980" s="326" t="s">
        <v>2510</v>
      </c>
      <c r="B980" t="s">
        <v>2511</v>
      </c>
      <c r="C980" s="327"/>
      <c r="D980" s="326" t="str">
        <f t="shared" si="19"/>
        <v>NACE S - 91.3 Conservation, restoration and other support activities for cultural heritage</v>
      </c>
    </row>
    <row r="981" spans="1:4" x14ac:dyDescent="0.3">
      <c r="A981" s="327" t="s">
        <v>2512</v>
      </c>
      <c r="B981" t="s">
        <v>2513</v>
      </c>
      <c r="C981" s="327"/>
      <c r="D981" s="327" t="str">
        <f t="shared" si="19"/>
        <v>NACE S - 91.30 Conservation, restoration and other support activities for cultural heritage</v>
      </c>
    </row>
    <row r="982" spans="1:4" x14ac:dyDescent="0.3">
      <c r="A982" s="326" t="s">
        <v>2514</v>
      </c>
      <c r="B982" t="s">
        <v>2515</v>
      </c>
      <c r="C982" s="327"/>
      <c r="D982" s="326" t="str">
        <f t="shared" si="19"/>
        <v>NACE S - 91.4 Botanical and zoological garden and nature reserve activities</v>
      </c>
    </row>
    <row r="983" spans="1:4" x14ac:dyDescent="0.3">
      <c r="A983" s="327" t="s">
        <v>2516</v>
      </c>
      <c r="B983" t="s">
        <v>2517</v>
      </c>
      <c r="C983" s="327"/>
      <c r="D983" s="327" t="str">
        <f t="shared" si="19"/>
        <v>NACE S - 91.41 Botanical and zoological garden activities</v>
      </c>
    </row>
    <row r="984" spans="1:4" x14ac:dyDescent="0.3">
      <c r="A984" s="327" t="s">
        <v>2518</v>
      </c>
      <c r="B984" t="s">
        <v>2519</v>
      </c>
      <c r="C984" s="327"/>
      <c r="D984" s="327" t="str">
        <f t="shared" si="19"/>
        <v>NACE S - 91.42 Nature reserve activities</v>
      </c>
    </row>
    <row r="985" spans="1:4" x14ac:dyDescent="0.3">
      <c r="A985" s="323" t="s">
        <v>2520</v>
      </c>
      <c r="B985" t="s">
        <v>2521</v>
      </c>
      <c r="C985" s="327"/>
      <c r="D985" s="323" t="str">
        <f t="shared" si="19"/>
        <v>NACE S - 92 Gambling and betting activities</v>
      </c>
    </row>
    <row r="986" spans="1:4" x14ac:dyDescent="0.3">
      <c r="A986" s="326" t="s">
        <v>2522</v>
      </c>
      <c r="B986" t="s">
        <v>2523</v>
      </c>
      <c r="C986" s="327"/>
      <c r="D986" s="326" t="str">
        <f t="shared" si="19"/>
        <v>NACE S - 92.0 Gambling and betting activities</v>
      </c>
    </row>
    <row r="987" spans="1:4" x14ac:dyDescent="0.3">
      <c r="A987" s="327" t="s">
        <v>2524</v>
      </c>
      <c r="B987" t="s">
        <v>2525</v>
      </c>
      <c r="C987" s="327"/>
      <c r="D987" s="327" t="str">
        <f t="shared" si="19"/>
        <v>NACE S - 92.00 Gambling and betting activities</v>
      </c>
    </row>
    <row r="988" spans="1:4" x14ac:dyDescent="0.3">
      <c r="A988" s="323" t="s">
        <v>2526</v>
      </c>
      <c r="B988" t="s">
        <v>2527</v>
      </c>
      <c r="C988" s="327"/>
      <c r="D988" s="323" t="str">
        <f t="shared" si="19"/>
        <v>NACE S - 93 Sports activities and amusement and recreation activities</v>
      </c>
    </row>
    <row r="989" spans="1:4" x14ac:dyDescent="0.3">
      <c r="A989" s="326" t="s">
        <v>2528</v>
      </c>
      <c r="B989" t="s">
        <v>2529</v>
      </c>
      <c r="C989" s="327"/>
      <c r="D989" s="326" t="str">
        <f t="shared" si="19"/>
        <v>NACE S - 93.1 Sports activities</v>
      </c>
    </row>
    <row r="990" spans="1:4" x14ac:dyDescent="0.3">
      <c r="A990" s="327" t="s">
        <v>2530</v>
      </c>
      <c r="B990" t="s">
        <v>2531</v>
      </c>
      <c r="C990" s="327"/>
      <c r="D990" s="327" t="str">
        <f t="shared" si="19"/>
        <v>NACE S - 93.11 Operation of sports facilities</v>
      </c>
    </row>
    <row r="991" spans="1:4" x14ac:dyDescent="0.3">
      <c r="A991" s="327" t="s">
        <v>2532</v>
      </c>
      <c r="B991" t="s">
        <v>2533</v>
      </c>
      <c r="C991" s="327"/>
      <c r="D991" s="327" t="str">
        <f t="shared" si="19"/>
        <v>NACE S - 93.12 Activities of sports clubs</v>
      </c>
    </row>
    <row r="992" spans="1:4" x14ac:dyDescent="0.3">
      <c r="A992" s="327" t="s">
        <v>2534</v>
      </c>
      <c r="B992" t="s">
        <v>2535</v>
      </c>
      <c r="C992" s="327"/>
      <c r="D992" s="327" t="str">
        <f t="shared" si="19"/>
        <v>NACE S - 93.13 Activities of fitness centres</v>
      </c>
    </row>
    <row r="993" spans="1:4" x14ac:dyDescent="0.3">
      <c r="A993" s="327" t="s">
        <v>2536</v>
      </c>
      <c r="B993" t="s">
        <v>2537</v>
      </c>
      <c r="C993" s="327"/>
      <c r="D993" s="327" t="str">
        <f t="shared" si="19"/>
        <v>NACE S - 93.19 Sports activities n.e.c.</v>
      </c>
    </row>
    <row r="994" spans="1:4" x14ac:dyDescent="0.3">
      <c r="A994" s="326" t="s">
        <v>2538</v>
      </c>
      <c r="B994" t="s">
        <v>2539</v>
      </c>
      <c r="C994" s="327"/>
      <c r="D994" s="326" t="str">
        <f t="shared" si="19"/>
        <v>NACE S - 93.2 Amusement and recreation activities</v>
      </c>
    </row>
    <row r="995" spans="1:4" x14ac:dyDescent="0.3">
      <c r="A995" s="327" t="s">
        <v>2540</v>
      </c>
      <c r="B995" t="s">
        <v>2541</v>
      </c>
      <c r="C995" s="327"/>
      <c r="D995" s="327" t="str">
        <f t="shared" si="19"/>
        <v>NACE S - 93.21 Activities of amusement parks and theme parks</v>
      </c>
    </row>
    <row r="996" spans="1:4" x14ac:dyDescent="0.3">
      <c r="A996" s="327" t="s">
        <v>2542</v>
      </c>
      <c r="B996" t="s">
        <v>2543</v>
      </c>
      <c r="C996" s="327"/>
      <c r="D996" s="327" t="str">
        <f t="shared" si="19"/>
        <v>NACE S - 93.29 Amusement and recreation activities n.e.c.</v>
      </c>
    </row>
    <row r="997" spans="1:4" x14ac:dyDescent="0.3">
      <c r="A997" s="324" t="s">
        <v>2544</v>
      </c>
      <c r="B997" t="s">
        <v>2545</v>
      </c>
      <c r="C997" s="327"/>
      <c r="D997" s="324" t="str">
        <f t="shared" si="19"/>
        <v>NACE T - OTHER SERVICE ACTIVITIES</v>
      </c>
    </row>
    <row r="998" spans="1:4" x14ac:dyDescent="0.3">
      <c r="A998" s="323" t="s">
        <v>2546</v>
      </c>
      <c r="B998" t="s">
        <v>2547</v>
      </c>
      <c r="C998" s="327"/>
      <c r="D998" s="323" t="str">
        <f t="shared" si="19"/>
        <v>NACE T - 94 Activities of membership organisations</v>
      </c>
    </row>
    <row r="999" spans="1:4" x14ac:dyDescent="0.3">
      <c r="A999" s="326" t="s">
        <v>2548</v>
      </c>
      <c r="B999" t="s">
        <v>2549</v>
      </c>
      <c r="C999" s="327"/>
      <c r="D999" s="326" t="str">
        <f t="shared" si="19"/>
        <v>NACE T - 94.1 Activities of business, employers and professional membership organisations</v>
      </c>
    </row>
    <row r="1000" spans="1:4" x14ac:dyDescent="0.3">
      <c r="A1000" s="327" t="s">
        <v>2550</v>
      </c>
      <c r="B1000" t="s">
        <v>2551</v>
      </c>
      <c r="C1000" s="327"/>
      <c r="D1000" s="327" t="str">
        <f t="shared" si="19"/>
        <v>NACE T - 94.11 Activities of business and employers membership organisations</v>
      </c>
    </row>
    <row r="1001" spans="1:4" x14ac:dyDescent="0.3">
      <c r="A1001" s="327" t="s">
        <v>2552</v>
      </c>
      <c r="B1001" t="s">
        <v>2553</v>
      </c>
      <c r="C1001" s="327"/>
      <c r="D1001" s="327" t="str">
        <f t="shared" si="19"/>
        <v>NACE T - 94.12 Activities of professional membership organisations</v>
      </c>
    </row>
    <row r="1002" spans="1:4" x14ac:dyDescent="0.3">
      <c r="A1002" s="326" t="s">
        <v>2554</v>
      </c>
      <c r="B1002" t="s">
        <v>2555</v>
      </c>
      <c r="C1002" s="327"/>
      <c r="D1002" s="326" t="str">
        <f t="shared" si="19"/>
        <v>NACE T - 94.2 Activities of trade unions</v>
      </c>
    </row>
    <row r="1003" spans="1:4" x14ac:dyDescent="0.3">
      <c r="A1003" s="327" t="s">
        <v>2556</v>
      </c>
      <c r="B1003" t="s">
        <v>2557</v>
      </c>
      <c r="C1003" s="327"/>
      <c r="D1003" s="327" t="str">
        <f t="shared" si="19"/>
        <v>NACE T - 94.20 Activities of trade unions</v>
      </c>
    </row>
    <row r="1004" spans="1:4" x14ac:dyDescent="0.3">
      <c r="A1004" s="326" t="s">
        <v>2558</v>
      </c>
      <c r="B1004" t="s">
        <v>2559</v>
      </c>
      <c r="C1004" s="327"/>
      <c r="D1004" s="326" t="str">
        <f t="shared" si="19"/>
        <v>NACE T - 94.9 Activities of other membership organisations</v>
      </c>
    </row>
    <row r="1005" spans="1:4" x14ac:dyDescent="0.3">
      <c r="A1005" s="327" t="s">
        <v>2560</v>
      </c>
      <c r="B1005" t="s">
        <v>2561</v>
      </c>
      <c r="C1005" s="327"/>
      <c r="D1005" s="327" t="str">
        <f t="shared" si="19"/>
        <v>NACE T - 94.91 Activities of religious organisations</v>
      </c>
    </row>
    <row r="1006" spans="1:4" x14ac:dyDescent="0.3">
      <c r="A1006" s="327" t="s">
        <v>2562</v>
      </c>
      <c r="B1006" t="s">
        <v>2563</v>
      </c>
      <c r="C1006" s="327"/>
      <c r="D1006" s="327" t="str">
        <f t="shared" si="19"/>
        <v>NACE T - 94.92 Activities of political organisations</v>
      </c>
    </row>
    <row r="1007" spans="1:4" x14ac:dyDescent="0.3">
      <c r="A1007" s="327" t="s">
        <v>2564</v>
      </c>
      <c r="B1007" t="s">
        <v>2565</v>
      </c>
      <c r="C1007" s="327"/>
      <c r="D1007" s="327" t="str">
        <f t="shared" si="19"/>
        <v>NACE T - 94.99 Activities of other membership organisations n.e.c.</v>
      </c>
    </row>
    <row r="1008" spans="1:4" x14ac:dyDescent="0.3">
      <c r="A1008" s="323" t="s">
        <v>2566</v>
      </c>
      <c r="B1008" t="s">
        <v>2567</v>
      </c>
      <c r="C1008" s="327"/>
      <c r="D1008" s="323" t="str">
        <f t="shared" si="19"/>
        <v>NACE T - 95 Repair and maintenance of computers, personal and household goods, and motor vehicles and motorcycles</v>
      </c>
    </row>
    <row r="1009" spans="1:4" x14ac:dyDescent="0.3">
      <c r="A1009" s="326" t="s">
        <v>2568</v>
      </c>
      <c r="B1009" t="s">
        <v>2569</v>
      </c>
      <c r="C1009" s="327"/>
      <c r="D1009" s="326" t="str">
        <f t="shared" si="19"/>
        <v>NACE T - 95.1 Repair and maintenance of computers and communication equipment</v>
      </c>
    </row>
    <row r="1010" spans="1:4" x14ac:dyDescent="0.3">
      <c r="A1010" s="327" t="s">
        <v>2570</v>
      </c>
      <c r="B1010" t="s">
        <v>2571</v>
      </c>
      <c r="C1010" s="327"/>
      <c r="D1010" s="327" t="str">
        <f t="shared" si="19"/>
        <v>NACE T - 95.10 Repair and maintenance of computers and communication equipment</v>
      </c>
    </row>
    <row r="1011" spans="1:4" x14ac:dyDescent="0.3">
      <c r="A1011" s="326" t="s">
        <v>2572</v>
      </c>
      <c r="B1011" t="s">
        <v>2573</v>
      </c>
      <c r="C1011" s="327"/>
      <c r="D1011" s="326" t="str">
        <f t="shared" si="19"/>
        <v>NACE T - 95.2 Repair and maintenance of personal and household goods</v>
      </c>
    </row>
    <row r="1012" spans="1:4" x14ac:dyDescent="0.3">
      <c r="A1012" s="327" t="s">
        <v>2574</v>
      </c>
      <c r="B1012" t="s">
        <v>2575</v>
      </c>
      <c r="C1012" s="327"/>
      <c r="D1012" s="327" t="str">
        <f t="shared" si="19"/>
        <v>NACE T - 95.21 Repair and maintenance of consumer electronics</v>
      </c>
    </row>
    <row r="1013" spans="1:4" x14ac:dyDescent="0.3">
      <c r="A1013" s="327" t="s">
        <v>2576</v>
      </c>
      <c r="B1013" t="s">
        <v>2577</v>
      </c>
      <c r="C1013" s="327"/>
      <c r="D1013" s="327" t="str">
        <f t="shared" si="19"/>
        <v>NACE T - 95.22 Repair and maintenance of household appliances and home and garden equipment</v>
      </c>
    </row>
    <row r="1014" spans="1:4" x14ac:dyDescent="0.3">
      <c r="A1014" s="327" t="s">
        <v>2578</v>
      </c>
      <c r="B1014" t="s">
        <v>2579</v>
      </c>
      <c r="C1014" s="327"/>
      <c r="D1014" s="327" t="str">
        <f t="shared" si="19"/>
        <v>NACE T - 95.23 Repair and maintenance of footwear and leather goods</v>
      </c>
    </row>
    <row r="1015" spans="1:4" x14ac:dyDescent="0.3">
      <c r="A1015" s="327" t="s">
        <v>2580</v>
      </c>
      <c r="B1015" t="s">
        <v>2581</v>
      </c>
      <c r="C1015" s="327"/>
      <c r="D1015" s="327" t="str">
        <f t="shared" si="19"/>
        <v>NACE T - 95.24 Repair and maintenance of furniture and home furnishings</v>
      </c>
    </row>
    <row r="1016" spans="1:4" x14ac:dyDescent="0.3">
      <c r="A1016" s="327" t="s">
        <v>2582</v>
      </c>
      <c r="B1016" t="s">
        <v>2583</v>
      </c>
      <c r="C1016" s="327"/>
      <c r="D1016" s="327" t="str">
        <f t="shared" si="19"/>
        <v>NACE T - 95.25 Repair and maintenance of watches, clocks and jewellery</v>
      </c>
    </row>
    <row r="1017" spans="1:4" x14ac:dyDescent="0.3">
      <c r="A1017" s="327" t="s">
        <v>2584</v>
      </c>
      <c r="B1017" t="s">
        <v>2585</v>
      </c>
      <c r="C1017" s="327"/>
      <c r="D1017" s="327" t="str">
        <f t="shared" si="19"/>
        <v>NACE T - 95.29 Repair and maintenance of personal and household goods n.e.c.</v>
      </c>
    </row>
    <row r="1018" spans="1:4" x14ac:dyDescent="0.3">
      <c r="A1018" s="326" t="s">
        <v>2586</v>
      </c>
      <c r="B1018" t="s">
        <v>2587</v>
      </c>
      <c r="C1018" s="327"/>
      <c r="D1018" s="326" t="str">
        <f t="shared" si="19"/>
        <v>NACE T - 95.3 Repair and maintenance of motor vehicles and motorcycles</v>
      </c>
    </row>
    <row r="1019" spans="1:4" x14ac:dyDescent="0.3">
      <c r="A1019" s="327" t="s">
        <v>2588</v>
      </c>
      <c r="B1019" t="s">
        <v>2589</v>
      </c>
      <c r="C1019" s="327"/>
      <c r="D1019" s="327" t="str">
        <f t="shared" si="19"/>
        <v>NACE T - 95.31 Repair and maintenance of motor vehicles</v>
      </c>
    </row>
    <row r="1020" spans="1:4" x14ac:dyDescent="0.3">
      <c r="A1020" s="327" t="s">
        <v>2590</v>
      </c>
      <c r="B1020" t="s">
        <v>2591</v>
      </c>
      <c r="C1020" s="327"/>
      <c r="D1020" s="327" t="str">
        <f t="shared" si="19"/>
        <v>NACE T - 95.32 Repair and maintenance of motorcycles</v>
      </c>
    </row>
    <row r="1021" spans="1:4" x14ac:dyDescent="0.3">
      <c r="A1021" s="326" t="s">
        <v>2592</v>
      </c>
      <c r="B1021" t="s">
        <v>2593</v>
      </c>
      <c r="C1021" s="327"/>
      <c r="D1021" s="326" t="str">
        <f t="shared" si="19"/>
        <v>NACE T - 95.4 Intermediation service activities for repair and maintenance of computers, personal and household goods, and motor vehicles and motorcycles</v>
      </c>
    </row>
    <row r="1022" spans="1:4" x14ac:dyDescent="0.3">
      <c r="A1022" s="327" t="s">
        <v>2594</v>
      </c>
      <c r="B1022" t="s">
        <v>2595</v>
      </c>
      <c r="C1022" s="327"/>
      <c r="D1022" s="327" t="str">
        <f t="shared" si="19"/>
        <v>NACE T - 95.40 Intermediation service activities for repair and maintenance of computers, personal and household goods, and motor vehicles and motorcycles</v>
      </c>
    </row>
    <row r="1023" spans="1:4" x14ac:dyDescent="0.3">
      <c r="A1023" s="323" t="s">
        <v>2596</v>
      </c>
      <c r="B1023" t="s">
        <v>2597</v>
      </c>
      <c r="C1023" s="327"/>
      <c r="D1023" s="323" t="str">
        <f t="shared" si="19"/>
        <v>NACE T - 96 Personal service activities</v>
      </c>
    </row>
    <row r="1024" spans="1:4" x14ac:dyDescent="0.3">
      <c r="A1024" s="326" t="s">
        <v>2598</v>
      </c>
      <c r="B1024" t="s">
        <v>2599</v>
      </c>
      <c r="C1024" s="327"/>
      <c r="D1024" s="326" t="str">
        <f t="shared" si="19"/>
        <v>NACE T - 96.1 Washing and cleaning of textile and fur products</v>
      </c>
    </row>
    <row r="1025" spans="1:4" x14ac:dyDescent="0.3">
      <c r="A1025" s="327" t="s">
        <v>2600</v>
      </c>
      <c r="B1025" t="s">
        <v>2601</v>
      </c>
      <c r="C1025" s="327"/>
      <c r="D1025" s="327" t="str">
        <f t="shared" si="19"/>
        <v>NACE T - 96.10 Washing and cleaning of textile and fur products</v>
      </c>
    </row>
    <row r="1026" spans="1:4" x14ac:dyDescent="0.3">
      <c r="A1026" s="326" t="s">
        <v>2602</v>
      </c>
      <c r="B1026" t="s">
        <v>2603</v>
      </c>
      <c r="C1026" s="327"/>
      <c r="D1026" s="326" t="str">
        <f t="shared" ref="D1026:D1049" si="20">_xlfn.CONCAT("NACE ", A1026)</f>
        <v>NACE T - 96.2 Hairdressing, beauty treatment, day spa and similar activities</v>
      </c>
    </row>
    <row r="1027" spans="1:4" x14ac:dyDescent="0.3">
      <c r="A1027" s="327" t="s">
        <v>2604</v>
      </c>
      <c r="B1027" t="s">
        <v>2605</v>
      </c>
      <c r="C1027" s="327"/>
      <c r="D1027" s="327" t="str">
        <f t="shared" si="20"/>
        <v>NACE T - 96.21 Hairdressing and barber activities</v>
      </c>
    </row>
    <row r="1028" spans="1:4" x14ac:dyDescent="0.3">
      <c r="A1028" s="327" t="s">
        <v>2606</v>
      </c>
      <c r="B1028" t="s">
        <v>2607</v>
      </c>
      <c r="C1028" s="327"/>
      <c r="D1028" s="327" t="str">
        <f t="shared" si="20"/>
        <v>NACE T - 96.22 Beauty care and other beauty treatment activities</v>
      </c>
    </row>
    <row r="1029" spans="1:4" x14ac:dyDescent="0.3">
      <c r="A1029" s="327" t="s">
        <v>2608</v>
      </c>
      <c r="B1029" t="s">
        <v>2609</v>
      </c>
      <c r="C1029" s="327"/>
      <c r="D1029" s="327" t="str">
        <f t="shared" si="20"/>
        <v>NACE T - 96.23 Day spa, sauna and steam bath activities</v>
      </c>
    </row>
    <row r="1030" spans="1:4" x14ac:dyDescent="0.3">
      <c r="A1030" s="326" t="s">
        <v>2610</v>
      </c>
      <c r="B1030" t="s">
        <v>2611</v>
      </c>
      <c r="C1030" s="327"/>
      <c r="D1030" s="326" t="str">
        <f t="shared" si="20"/>
        <v>NACE T - 96.3 Funeral and related activities</v>
      </c>
    </row>
    <row r="1031" spans="1:4" x14ac:dyDescent="0.3">
      <c r="A1031" s="327" t="s">
        <v>2612</v>
      </c>
      <c r="B1031" t="s">
        <v>2613</v>
      </c>
      <c r="C1031" s="327"/>
      <c r="D1031" s="327" t="str">
        <f t="shared" si="20"/>
        <v>NACE T - 96.30 Funeral and related activities</v>
      </c>
    </row>
    <row r="1032" spans="1:4" x14ac:dyDescent="0.3">
      <c r="A1032" s="326" t="s">
        <v>2614</v>
      </c>
      <c r="B1032" t="s">
        <v>2615</v>
      </c>
      <c r="C1032" s="327"/>
      <c r="D1032" s="326" t="str">
        <f t="shared" si="20"/>
        <v>NACE T - 96.4 Intermediation service activities for personal services</v>
      </c>
    </row>
    <row r="1033" spans="1:4" x14ac:dyDescent="0.3">
      <c r="A1033" s="327" t="s">
        <v>2616</v>
      </c>
      <c r="B1033" t="s">
        <v>2617</v>
      </c>
      <c r="C1033" s="327"/>
      <c r="D1033" s="327" t="str">
        <f t="shared" si="20"/>
        <v>NACE T - 96.40 Intermediation service activities for personal services</v>
      </c>
    </row>
    <row r="1034" spans="1:4" x14ac:dyDescent="0.3">
      <c r="A1034" s="326" t="s">
        <v>2618</v>
      </c>
      <c r="B1034" t="s">
        <v>2619</v>
      </c>
      <c r="C1034" s="327"/>
      <c r="D1034" s="326" t="str">
        <f t="shared" si="20"/>
        <v>NACE T - 96.9 Other personal service activities</v>
      </c>
    </row>
    <row r="1035" spans="1:4" x14ac:dyDescent="0.3">
      <c r="A1035" s="327" t="s">
        <v>2620</v>
      </c>
      <c r="B1035" t="s">
        <v>2621</v>
      </c>
      <c r="C1035" s="327"/>
      <c r="D1035" s="327" t="str">
        <f t="shared" si="20"/>
        <v>NACE T - 96.91 Provision of domestic personal service activities</v>
      </c>
    </row>
    <row r="1036" spans="1:4" x14ac:dyDescent="0.3">
      <c r="A1036" s="327" t="s">
        <v>2622</v>
      </c>
      <c r="B1036" t="s">
        <v>2623</v>
      </c>
      <c r="C1036" s="327"/>
      <c r="D1036" s="327" t="str">
        <f t="shared" si="20"/>
        <v>NACE T - 96.99 Other personal service activities n.e.c.</v>
      </c>
    </row>
    <row r="1037" spans="1:4" x14ac:dyDescent="0.3">
      <c r="A1037" s="324" t="s">
        <v>2624</v>
      </c>
      <c r="B1037" t="s">
        <v>2625</v>
      </c>
      <c r="C1037" s="327"/>
      <c r="D1037" s="324" t="str">
        <f t="shared" si="20"/>
        <v>NACE U - ACTIVITIES OF HOUSEHOLDS AS EMPLOYERS AND UNDIFFERENTIATED GOODS – AND SERVICE-PRODUCING ACTIVITIES OF HOUSEHOLDS FOR OWN USE</v>
      </c>
    </row>
    <row r="1038" spans="1:4" x14ac:dyDescent="0.3">
      <c r="A1038" s="323" t="s">
        <v>2626</v>
      </c>
      <c r="B1038" t="s">
        <v>2627</v>
      </c>
      <c r="C1038" s="327"/>
      <c r="D1038" s="323" t="str">
        <f t="shared" si="20"/>
        <v>NACE U - 97 Activities of households as employers of domestic personnel</v>
      </c>
    </row>
    <row r="1039" spans="1:4" x14ac:dyDescent="0.3">
      <c r="A1039" s="326" t="s">
        <v>2628</v>
      </c>
      <c r="B1039" t="s">
        <v>2629</v>
      </c>
      <c r="C1039" s="327"/>
      <c r="D1039" s="326" t="str">
        <f t="shared" si="20"/>
        <v>NACE U - 97.0 Activities of households as employers of domestic personnel</v>
      </c>
    </row>
    <row r="1040" spans="1:4" x14ac:dyDescent="0.3">
      <c r="A1040" s="327" t="s">
        <v>2630</v>
      </c>
      <c r="B1040" t="s">
        <v>2631</v>
      </c>
      <c r="C1040" s="327"/>
      <c r="D1040" s="327" t="str">
        <f t="shared" si="20"/>
        <v>NACE U - 97.00 Activities of households as employers of domestic personnel</v>
      </c>
    </row>
    <row r="1041" spans="1:4" x14ac:dyDescent="0.3">
      <c r="A1041" s="323" t="s">
        <v>2632</v>
      </c>
      <c r="B1041" t="s">
        <v>2633</v>
      </c>
      <c r="C1041" s="327"/>
      <c r="D1041" s="323" t="str">
        <f t="shared" si="20"/>
        <v>NACE U - 98 Undifferentiated goods- and service-producing activities of private households for own use</v>
      </c>
    </row>
    <row r="1042" spans="1:4" x14ac:dyDescent="0.3">
      <c r="A1042" s="326" t="s">
        <v>2634</v>
      </c>
      <c r="B1042" t="s">
        <v>2635</v>
      </c>
      <c r="C1042" s="327"/>
      <c r="D1042" s="326" t="str">
        <f t="shared" si="20"/>
        <v>NACE U - 98.1 Undifferentiated goods-producing activities of private households for own use</v>
      </c>
    </row>
    <row r="1043" spans="1:4" x14ac:dyDescent="0.3">
      <c r="A1043" s="327" t="s">
        <v>2636</v>
      </c>
      <c r="B1043" t="s">
        <v>2637</v>
      </c>
      <c r="C1043" s="327"/>
      <c r="D1043" s="327" t="str">
        <f t="shared" si="20"/>
        <v>NACE U - 98.10 Undifferentiated goods-producing activities of private households for own use</v>
      </c>
    </row>
    <row r="1044" spans="1:4" x14ac:dyDescent="0.3">
      <c r="A1044" s="326" t="s">
        <v>2638</v>
      </c>
      <c r="B1044" t="s">
        <v>2639</v>
      </c>
      <c r="C1044" s="327"/>
      <c r="D1044" s="326" t="str">
        <f t="shared" si="20"/>
        <v>NACE U - 98.2 Undifferentiated service-producing activities of private households for own use</v>
      </c>
    </row>
    <row r="1045" spans="1:4" x14ac:dyDescent="0.3">
      <c r="A1045" s="327" t="s">
        <v>2640</v>
      </c>
      <c r="B1045" t="s">
        <v>2641</v>
      </c>
      <c r="C1045" s="327"/>
      <c r="D1045" s="327" t="str">
        <f t="shared" si="20"/>
        <v>NACE U - 98.20 Undifferentiated service-producing activities of private households for own use</v>
      </c>
    </row>
    <row r="1046" spans="1:4" x14ac:dyDescent="0.3">
      <c r="A1046" s="324" t="s">
        <v>2642</v>
      </c>
      <c r="B1046" t="s">
        <v>2643</v>
      </c>
      <c r="C1046" s="327"/>
      <c r="D1046" s="324" t="str">
        <f t="shared" si="20"/>
        <v>NACE V - ACTIVITIES OF EXTRATERRITORIAL ORGANISATIONS AND BODIES</v>
      </c>
    </row>
    <row r="1047" spans="1:4" x14ac:dyDescent="0.3">
      <c r="A1047" s="323" t="s">
        <v>2644</v>
      </c>
      <c r="B1047" t="s">
        <v>2645</v>
      </c>
      <c r="C1047" s="327"/>
      <c r="D1047" s="323" t="str">
        <f t="shared" si="20"/>
        <v>NACE V - 99 Activities of extraterritorial organisations and bodies</v>
      </c>
    </row>
    <row r="1048" spans="1:4" x14ac:dyDescent="0.3">
      <c r="A1048" s="326" t="s">
        <v>2646</v>
      </c>
      <c r="B1048" t="s">
        <v>2647</v>
      </c>
      <c r="C1048" s="327"/>
      <c r="D1048" s="326" t="str">
        <f t="shared" si="20"/>
        <v>NACE V - 99.0 Activities of extraterritorial organisations and bodies</v>
      </c>
    </row>
    <row r="1049" spans="1:4" x14ac:dyDescent="0.3">
      <c r="A1049" s="327" t="s">
        <v>2648</v>
      </c>
      <c r="B1049" t="s">
        <v>2649</v>
      </c>
      <c r="C1049" s="327"/>
      <c r="D1049" s="327" t="str">
        <f t="shared" si="20"/>
        <v>NACE V - 99.00 Activities of extraterritorial organisations and bodies</v>
      </c>
    </row>
  </sheetData>
  <sheetProtection algorithmName="SHA-512" hashValue="IJMMb1TZThJxOhyQQT9gS9EZ5rW28xSzQIs60wJ0AejRhby/Z7hpnXMXN7nsIAxtPsYi9ScEydxgjBng5WhkPg==" saltValue="OaeDIhBkWDKMybX+aI2zA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K824"/>
  <sheetViews>
    <sheetView zoomScaleNormal="100" workbookViewId="0"/>
  </sheetViews>
  <sheetFormatPr defaultColWidth="11" defaultRowHeight="14.4" x14ac:dyDescent="0.3"/>
  <cols>
    <col min="1" max="1" width="52.21875" customWidth="1"/>
    <col min="2" max="2" width="56.21875" customWidth="1"/>
    <col min="3" max="4" width="50.77734375" customWidth="1"/>
    <col min="5" max="5" width="50.77734375" style="2" customWidth="1"/>
    <col min="6" max="6" width="51.109375" style="2" bestFit="1" customWidth="1"/>
    <col min="7" max="10" width="50.77734375" customWidth="1"/>
    <col min="11" max="11" width="50.77734375" style="2" customWidth="1"/>
  </cols>
  <sheetData>
    <row r="1" spans="1:11" s="118" customFormat="1" x14ac:dyDescent="0.3">
      <c r="A1" s="390" t="s">
        <v>3948</v>
      </c>
      <c r="B1" s="391" t="s">
        <v>5638</v>
      </c>
      <c r="C1" s="496" t="s">
        <v>8502</v>
      </c>
      <c r="D1" s="389" t="s">
        <v>5688</v>
      </c>
      <c r="E1" s="496" t="s">
        <v>8950</v>
      </c>
      <c r="F1" s="496" t="s">
        <v>7555</v>
      </c>
      <c r="G1" s="496" t="s">
        <v>8952</v>
      </c>
      <c r="H1" s="389" t="s">
        <v>7171</v>
      </c>
      <c r="I1" s="389" t="s">
        <v>6463</v>
      </c>
      <c r="J1" s="389" t="s">
        <v>7535</v>
      </c>
      <c r="K1" s="496" t="s">
        <v>6802</v>
      </c>
    </row>
    <row r="2" spans="1:11" s="452" customFormat="1" x14ac:dyDescent="0.3">
      <c r="A2" s="388"/>
      <c r="B2" s="85"/>
      <c r="C2" s="497" t="s">
        <v>8954</v>
      </c>
      <c r="D2" s="387" t="s">
        <v>3949</v>
      </c>
      <c r="E2" s="497" t="s">
        <v>8951</v>
      </c>
      <c r="F2" s="497" t="s">
        <v>4626</v>
      </c>
      <c r="G2" s="497" t="s">
        <v>8953</v>
      </c>
      <c r="H2" s="387" t="s">
        <v>4627</v>
      </c>
      <c r="I2" s="387" t="s">
        <v>4628</v>
      </c>
      <c r="J2" s="387" t="s">
        <v>4629</v>
      </c>
      <c r="K2" s="497" t="s">
        <v>4630</v>
      </c>
    </row>
    <row r="3" spans="1:11" ht="28.8" x14ac:dyDescent="0.3">
      <c r="A3" s="388"/>
      <c r="B3" s="392"/>
      <c r="C3" s="497" t="str">
        <f t="shared" ref="C3" si="0">C1&amp; " [" &amp;C2 &amp; "]"</f>
        <v>Danish - Reviewed translation by Danish Standard Setter [da]</v>
      </c>
      <c r="D3" s="387" t="str">
        <f>D1&amp; " [" &amp;D2 &amp; "]"</f>
        <v>English - Official [en]</v>
      </c>
      <c r="E3" s="497" t="str">
        <f>E1&amp; " [" &amp;E2 &amp; "]"</f>
        <v>French - Reviewed translation by French Standard Setter [fr]</v>
      </c>
      <c r="F3" s="497" t="str">
        <f t="shared" ref="F3" si="1">F1&amp; " [" &amp;F2 &amp; "]"</f>
        <v>German - Reviewed translation by German Standard Setter [de]</v>
      </c>
      <c r="G3" s="497" t="str">
        <f t="shared" ref="G3" si="2">G1&amp; " [" &amp;G2 &amp; "]"</f>
        <v>Italian - Reviewed translation by Italian Standard Setter [it]</v>
      </c>
      <c r="H3" s="387" t="str">
        <f t="shared" ref="H3:K3" si="3">H1&amp; " [" &amp;H2 &amp; "]"</f>
        <v>Lithuanian - Reviewed translation by Lithuanian Standard Setter [lt]</v>
      </c>
      <c r="I3" s="387" t="str">
        <f t="shared" si="3"/>
        <v>Polish - Reviewed translation by Polish Standard Setter [pl]</v>
      </c>
      <c r="J3" s="387" t="str">
        <f t="shared" si="3"/>
        <v>Portuguese - Reviewed translation by Portuguese Standard Setter [pt]</v>
      </c>
      <c r="K3" s="497" t="str">
        <f t="shared" si="3"/>
        <v>Spanish - Reviewed translation by Spanish Standard Setter [es]</v>
      </c>
    </row>
    <row r="4" spans="1:11" s="89" customFormat="1" x14ac:dyDescent="0.3">
      <c r="A4" s="441" t="s">
        <v>5619</v>
      </c>
      <c r="B4" s="442" t="str">
        <f t="shared" ref="B4:B67" si="4">INDEX(D4:K4,MATCH(template_selected_display_language,$D$3:$K$3,0))</f>
        <v>Entity Name</v>
      </c>
      <c r="C4" s="492" t="s">
        <v>8026</v>
      </c>
      <c r="D4" s="89" t="s">
        <v>5612</v>
      </c>
      <c r="E4" s="492" t="s">
        <v>8504</v>
      </c>
      <c r="F4" s="493" t="s">
        <v>7556</v>
      </c>
      <c r="G4" s="89" t="s">
        <v>9066</v>
      </c>
      <c r="H4" s="89" t="s">
        <v>6803</v>
      </c>
      <c r="I4" s="89" t="s">
        <v>5903</v>
      </c>
      <c r="J4" s="89" t="s">
        <v>7180</v>
      </c>
      <c r="K4" s="475" t="s">
        <v>6520</v>
      </c>
    </row>
    <row r="5" spans="1:11" s="89" customFormat="1" x14ac:dyDescent="0.3">
      <c r="A5" s="441" t="s">
        <v>5616</v>
      </c>
      <c r="B5" s="442" t="str">
        <f t="shared" si="4"/>
        <v>Entity Identifier</v>
      </c>
      <c r="C5" s="492" t="s">
        <v>8027</v>
      </c>
      <c r="D5" s="89" t="s">
        <v>5613</v>
      </c>
      <c r="E5" s="492" t="s">
        <v>8505</v>
      </c>
      <c r="F5" s="493" t="s">
        <v>7557</v>
      </c>
      <c r="G5" s="89" t="s">
        <v>9067</v>
      </c>
      <c r="H5" s="89" t="s">
        <v>6804</v>
      </c>
      <c r="I5" s="89" t="s">
        <v>5904</v>
      </c>
      <c r="J5" s="89" t="s">
        <v>7181</v>
      </c>
      <c r="K5" s="475" t="s">
        <v>5701</v>
      </c>
    </row>
    <row r="6" spans="1:11" s="89" customFormat="1" x14ac:dyDescent="0.3">
      <c r="A6" s="441" t="s">
        <v>5617</v>
      </c>
      <c r="B6" s="442" t="str">
        <f t="shared" si="4"/>
        <v>Entity Identifier Scheme</v>
      </c>
      <c r="C6" s="492" t="s">
        <v>8028</v>
      </c>
      <c r="D6" s="89" t="s">
        <v>5614</v>
      </c>
      <c r="E6" s="492" t="s">
        <v>8506</v>
      </c>
      <c r="F6" s="493" t="s">
        <v>7558</v>
      </c>
      <c r="G6" s="89" t="s">
        <v>9068</v>
      </c>
      <c r="H6" s="89" t="s">
        <v>6805</v>
      </c>
      <c r="I6" s="89" t="s">
        <v>6135</v>
      </c>
      <c r="J6" s="89" t="s">
        <v>7182</v>
      </c>
      <c r="K6" s="475" t="s">
        <v>6521</v>
      </c>
    </row>
    <row r="7" spans="1:11" s="89" customFormat="1" x14ac:dyDescent="0.3">
      <c r="A7" s="441" t="s">
        <v>5618</v>
      </c>
      <c r="B7" s="442" t="str">
        <f t="shared" si="4"/>
        <v>Report currency</v>
      </c>
      <c r="C7" s="492" t="s">
        <v>8029</v>
      </c>
      <c r="D7" s="89" t="s">
        <v>5615</v>
      </c>
      <c r="E7" s="492" t="s">
        <v>8507</v>
      </c>
      <c r="F7" s="493" t="s">
        <v>7559</v>
      </c>
      <c r="G7" s="89" t="s">
        <v>9069</v>
      </c>
      <c r="H7" s="89" t="s">
        <v>5991</v>
      </c>
      <c r="I7" s="89" t="s">
        <v>6136</v>
      </c>
      <c r="J7" s="89" t="s">
        <v>7183</v>
      </c>
      <c r="K7" s="475" t="s">
        <v>6503</v>
      </c>
    </row>
    <row r="8" spans="1:11" s="89" customFormat="1" x14ac:dyDescent="0.3">
      <c r="A8" s="441" t="s">
        <v>5621</v>
      </c>
      <c r="B8" s="442" t="str">
        <f t="shared" si="4"/>
        <v>Decimal separator</v>
      </c>
      <c r="C8" s="492" t="s">
        <v>5620</v>
      </c>
      <c r="D8" s="89" t="s">
        <v>5620</v>
      </c>
      <c r="E8" s="492" t="s">
        <v>8508</v>
      </c>
      <c r="F8" s="493" t="s">
        <v>7560</v>
      </c>
      <c r="G8" s="89" t="s">
        <v>9070</v>
      </c>
      <c r="H8" s="89" t="s">
        <v>6806</v>
      </c>
      <c r="I8" s="89" t="s">
        <v>6070</v>
      </c>
      <c r="J8" s="89" t="s">
        <v>5702</v>
      </c>
      <c r="K8" s="475" t="s">
        <v>5702</v>
      </c>
    </row>
    <row r="9" spans="1:11" s="89" customFormat="1" ht="43.2" x14ac:dyDescent="0.3">
      <c r="A9" s="441" t="s">
        <v>5623</v>
      </c>
      <c r="B9" s="442" t="str">
        <f t="shared" si="4"/>
        <v>Report period</v>
      </c>
      <c r="C9" s="492" t="s">
        <v>8030</v>
      </c>
      <c r="D9" s="89" t="s">
        <v>5622</v>
      </c>
      <c r="E9" s="492" t="s">
        <v>8509</v>
      </c>
      <c r="F9" s="493" t="s">
        <v>7561</v>
      </c>
      <c r="G9" s="89" t="s">
        <v>9071</v>
      </c>
      <c r="H9" s="89" t="s">
        <v>6807</v>
      </c>
      <c r="I9" s="89" t="s">
        <v>5905</v>
      </c>
      <c r="J9" s="89" t="s">
        <v>5824</v>
      </c>
      <c r="K9" s="475" t="s">
        <v>6522</v>
      </c>
    </row>
    <row r="10" spans="1:11" s="89" customFormat="1" x14ac:dyDescent="0.3">
      <c r="A10" s="441" t="s">
        <v>5625</v>
      </c>
      <c r="B10" s="442" t="str">
        <f t="shared" si="4"/>
        <v>Report generated</v>
      </c>
      <c r="C10" s="492" t="s">
        <v>8031</v>
      </c>
      <c r="D10" s="89" t="s">
        <v>5624</v>
      </c>
      <c r="E10" s="492" t="s">
        <v>8510</v>
      </c>
      <c r="F10" s="493" t="s">
        <v>7562</v>
      </c>
      <c r="G10" s="89" t="s">
        <v>9072</v>
      </c>
      <c r="H10" s="89" t="s">
        <v>6808</v>
      </c>
      <c r="I10" s="89" t="s">
        <v>6137</v>
      </c>
      <c r="J10" s="89" t="s">
        <v>6087</v>
      </c>
      <c r="K10" s="475" t="s">
        <v>5703</v>
      </c>
    </row>
    <row r="11" spans="1:11" s="89" customFormat="1" ht="28.8" x14ac:dyDescent="0.3">
      <c r="A11" s="441" t="s">
        <v>5627</v>
      </c>
      <c r="B11" s="442" t="str">
        <f t="shared" si="4"/>
        <v>All disclosures are related to the reporting period above unless specified otherwise.</v>
      </c>
      <c r="C11" s="492" t="s">
        <v>8032</v>
      </c>
      <c r="D11" s="89" t="s">
        <v>5626</v>
      </c>
      <c r="E11" s="492" t="s">
        <v>8511</v>
      </c>
      <c r="F11" s="493" t="s">
        <v>7563</v>
      </c>
      <c r="G11" s="89" t="s">
        <v>9073</v>
      </c>
      <c r="H11" s="89" t="s">
        <v>6809</v>
      </c>
      <c r="I11" s="89" t="s">
        <v>6138</v>
      </c>
      <c r="J11" s="89" t="s">
        <v>7184</v>
      </c>
      <c r="K11" s="475" t="s">
        <v>6523</v>
      </c>
    </row>
    <row r="12" spans="1:11" s="89" customFormat="1" ht="43.2" x14ac:dyDescent="0.3">
      <c r="A12" s="441" t="s">
        <v>5628</v>
      </c>
      <c r="B12" s="442" t="str">
        <f t="shared" si="4"/>
        <v>Table of Contents</v>
      </c>
      <c r="C12" s="492" t="s">
        <v>8033</v>
      </c>
      <c r="D12" s="89" t="s">
        <v>3662</v>
      </c>
      <c r="E12" s="492" t="s">
        <v>8512</v>
      </c>
      <c r="F12" s="493" t="s">
        <v>7564</v>
      </c>
      <c r="G12" s="89" t="s">
        <v>9074</v>
      </c>
      <c r="H12" s="89" t="s">
        <v>5992</v>
      </c>
      <c r="I12" s="89" t="s">
        <v>5906</v>
      </c>
      <c r="J12" s="89" t="s">
        <v>5825</v>
      </c>
      <c r="K12" s="475" t="s">
        <v>6524</v>
      </c>
    </row>
    <row r="13" spans="1:11" s="89" customFormat="1" x14ac:dyDescent="0.3">
      <c r="A13" s="441" t="s">
        <v>5630</v>
      </c>
      <c r="B13" s="442" t="str">
        <f t="shared" si="4"/>
        <v>Reporting period:</v>
      </c>
      <c r="C13" s="492" t="s">
        <v>8034</v>
      </c>
      <c r="D13" s="89" t="s">
        <v>5629</v>
      </c>
      <c r="E13" s="492" t="s">
        <v>8513</v>
      </c>
      <c r="F13" s="493" t="s">
        <v>7565</v>
      </c>
      <c r="G13" s="89" t="s">
        <v>9071</v>
      </c>
      <c r="H13" s="89" t="s">
        <v>6810</v>
      </c>
      <c r="I13" s="89" t="s">
        <v>5905</v>
      </c>
      <c r="J13" s="89" t="s">
        <v>5826</v>
      </c>
      <c r="K13" s="475" t="s">
        <v>6525</v>
      </c>
    </row>
    <row r="14" spans="1:11" s="443" customFormat="1" ht="29.4" thickBot="1" x14ac:dyDescent="0.35">
      <c r="A14" s="453" t="s">
        <v>5632</v>
      </c>
      <c r="B14" s="476" t="str">
        <f t="shared" si="4"/>
        <v>This report contains {{ ns.fact_count }} XBRL facts ({{ facts | count }} unique facts).</v>
      </c>
      <c r="C14" s="500" t="s">
        <v>8035</v>
      </c>
      <c r="D14" s="443" t="s">
        <v>5631</v>
      </c>
      <c r="E14" s="500" t="s">
        <v>8514</v>
      </c>
      <c r="F14" s="494" t="s">
        <v>7566</v>
      </c>
      <c r="G14" s="443" t="s">
        <v>9075</v>
      </c>
      <c r="H14" s="443" t="s">
        <v>7537</v>
      </c>
      <c r="I14" s="443" t="s">
        <v>7534</v>
      </c>
      <c r="J14" s="443" t="s">
        <v>7533</v>
      </c>
      <c r="K14" s="498" t="s">
        <v>7536</v>
      </c>
    </row>
    <row r="15" spans="1:11" s="89" customFormat="1" x14ac:dyDescent="0.3">
      <c r="A15" s="441" t="s">
        <v>4468</v>
      </c>
      <c r="B15" s="442" t="str">
        <f t="shared" si="4"/>
        <v>Version:</v>
      </c>
      <c r="C15" s="492" t="s">
        <v>2881</v>
      </c>
      <c r="D15" s="89" t="s">
        <v>2881</v>
      </c>
      <c r="E15" s="492" t="s">
        <v>8515</v>
      </c>
      <c r="F15" s="493" t="s">
        <v>2881</v>
      </c>
      <c r="G15" s="89" t="s">
        <v>9076</v>
      </c>
      <c r="H15" s="89" t="s">
        <v>6051</v>
      </c>
      <c r="I15" s="89" t="s">
        <v>6139</v>
      </c>
      <c r="J15" s="89" t="s">
        <v>5827</v>
      </c>
      <c r="K15" s="475" t="s">
        <v>5704</v>
      </c>
    </row>
    <row r="16" spans="1:11" x14ac:dyDescent="0.3">
      <c r="A16" s="441" t="s">
        <v>4469</v>
      </c>
      <c r="B16" s="442" t="str">
        <f t="shared" si="4"/>
        <v>Publication date:</v>
      </c>
      <c r="C16" s="492" t="s">
        <v>8036</v>
      </c>
      <c r="D16" s="89" t="s">
        <v>2883</v>
      </c>
      <c r="E16" s="492" t="s">
        <v>8516</v>
      </c>
      <c r="F16" s="493" t="s">
        <v>7567</v>
      </c>
      <c r="G16" t="s">
        <v>9077</v>
      </c>
      <c r="H16" s="89" t="s">
        <v>6811</v>
      </c>
      <c r="I16" s="89" t="s">
        <v>5907</v>
      </c>
      <c r="J16" s="89" t="s">
        <v>6088</v>
      </c>
      <c r="K16" s="475" t="s">
        <v>5705</v>
      </c>
    </row>
    <row r="17" spans="1:11" x14ac:dyDescent="0.3">
      <c r="A17" s="441" t="s">
        <v>4470</v>
      </c>
      <c r="B17" s="442" t="str">
        <f t="shared" si="4"/>
        <v>Taxonomy entry point:</v>
      </c>
      <c r="C17" s="492" t="s">
        <v>8037</v>
      </c>
      <c r="D17" s="89" t="s">
        <v>3615</v>
      </c>
      <c r="E17" s="492" t="s">
        <v>8517</v>
      </c>
      <c r="F17" s="493" t="s">
        <v>7568</v>
      </c>
      <c r="G17" t="s">
        <v>9078</v>
      </c>
      <c r="H17" s="89" t="s">
        <v>6812</v>
      </c>
      <c r="I17" s="89" t="s">
        <v>6140</v>
      </c>
      <c r="J17" s="89" t="s">
        <v>7185</v>
      </c>
      <c r="K17" s="475" t="s">
        <v>6526</v>
      </c>
    </row>
    <row r="18" spans="1:11" x14ac:dyDescent="0.3">
      <c r="A18" s="441" t="s">
        <v>4471</v>
      </c>
      <c r="B18" s="442" t="str">
        <f t="shared" si="4"/>
        <v>Select Template Display Language:</v>
      </c>
      <c r="C18" s="492" t="s">
        <v>8038</v>
      </c>
      <c r="D18" s="89" t="s">
        <v>4028</v>
      </c>
      <c r="E18" s="492" t="s">
        <v>8518</v>
      </c>
      <c r="F18" s="493" t="s">
        <v>7569</v>
      </c>
      <c r="G18" t="s">
        <v>9079</v>
      </c>
      <c r="H18" s="89" t="s">
        <v>6813</v>
      </c>
      <c r="I18" s="89" t="s">
        <v>5908</v>
      </c>
      <c r="J18" s="89" t="s">
        <v>7186</v>
      </c>
      <c r="K18" s="475" t="s">
        <v>6527</v>
      </c>
    </row>
    <row r="19" spans="1:11" x14ac:dyDescent="0.3">
      <c r="A19" s="441" t="s">
        <v>6109</v>
      </c>
      <c r="B19" s="442" t="str">
        <f t="shared" si="4"/>
        <v>Main title of the report</v>
      </c>
      <c r="C19" s="492" t="s">
        <v>8039</v>
      </c>
      <c r="D19" s="89" t="s">
        <v>4634</v>
      </c>
      <c r="E19" s="492" t="s">
        <v>8519</v>
      </c>
      <c r="F19" s="493" t="s">
        <v>7570</v>
      </c>
      <c r="G19" t="s">
        <v>9080</v>
      </c>
      <c r="H19" s="89" t="s">
        <v>6110</v>
      </c>
      <c r="I19" s="89" t="s">
        <v>6141</v>
      </c>
      <c r="J19" s="89" t="s">
        <v>6111</v>
      </c>
      <c r="K19" s="475" t="s">
        <v>6112</v>
      </c>
    </row>
    <row r="20" spans="1:11" x14ac:dyDescent="0.3">
      <c r="A20" s="441" t="s">
        <v>6107</v>
      </c>
      <c r="B20" s="442" t="str">
        <f t="shared" si="4"/>
        <v xml:space="preserve">Sustainability Report </v>
      </c>
      <c r="C20" s="492" t="s">
        <v>8040</v>
      </c>
      <c r="D20" s="89" t="s">
        <v>4635</v>
      </c>
      <c r="E20" s="492" t="s">
        <v>8520</v>
      </c>
      <c r="F20" s="493" t="s">
        <v>7571</v>
      </c>
      <c r="G20" t="s">
        <v>9081</v>
      </c>
      <c r="H20" s="89" t="s">
        <v>5993</v>
      </c>
      <c r="I20" s="89" t="s">
        <v>6142</v>
      </c>
      <c r="J20" s="89" t="s">
        <v>6089</v>
      </c>
      <c r="K20" s="475" t="s">
        <v>6528</v>
      </c>
    </row>
    <row r="21" spans="1:11" ht="43.2" x14ac:dyDescent="0.3">
      <c r="A21" s="441" t="s">
        <v>6113</v>
      </c>
      <c r="B21" s="442" t="str">
        <f t="shared" si="4"/>
        <v>Subtitle of the report</v>
      </c>
      <c r="C21" s="492" t="s">
        <v>8041</v>
      </c>
      <c r="D21" s="89" t="s">
        <v>4658</v>
      </c>
      <c r="E21" s="492" t="s">
        <v>8521</v>
      </c>
      <c r="F21" s="493" t="s">
        <v>7572</v>
      </c>
      <c r="G21" t="s">
        <v>9082</v>
      </c>
      <c r="H21" s="89" t="s">
        <v>6814</v>
      </c>
      <c r="I21" s="89" t="s">
        <v>6143</v>
      </c>
      <c r="J21" s="89" t="s">
        <v>6114</v>
      </c>
      <c r="K21" s="475" t="s">
        <v>6529</v>
      </c>
    </row>
    <row r="22" spans="1:11" ht="57.6" x14ac:dyDescent="0.3">
      <c r="A22" s="441" t="s">
        <v>6108</v>
      </c>
      <c r="B22" s="442" t="str">
        <f t="shared" si="4"/>
        <v>Prepared in accordance with the Voluntary Sustainability Reporting Standard for small and medium-sized undertakings (VSME), released by the European Commission on 30 July 2025.</v>
      </c>
      <c r="C22" s="492" t="s">
        <v>8042</v>
      </c>
      <c r="D22" s="89" t="s">
        <v>6466</v>
      </c>
      <c r="E22" s="492" t="s">
        <v>8522</v>
      </c>
      <c r="F22" s="493" t="s">
        <v>7573</v>
      </c>
      <c r="G22" t="s">
        <v>9083</v>
      </c>
      <c r="H22" s="89" t="s">
        <v>7178</v>
      </c>
      <c r="I22" s="89" t="s">
        <v>7176</v>
      </c>
      <c r="J22" s="89" t="s">
        <v>7538</v>
      </c>
      <c r="K22" s="475" t="s">
        <v>7174</v>
      </c>
    </row>
    <row r="23" spans="1:11" x14ac:dyDescent="0.3">
      <c r="A23" s="441" t="s">
        <v>4472</v>
      </c>
      <c r="B23" s="442" t="str">
        <f t="shared" si="4"/>
        <v>VSME Digital Template</v>
      </c>
      <c r="C23" s="492" t="s">
        <v>8043</v>
      </c>
      <c r="D23" s="89" t="s">
        <v>3724</v>
      </c>
      <c r="E23" s="492" t="s">
        <v>8523</v>
      </c>
      <c r="F23" s="493" t="s">
        <v>7574</v>
      </c>
      <c r="G23" t="s">
        <v>9084</v>
      </c>
      <c r="H23" s="89" t="s">
        <v>6815</v>
      </c>
      <c r="I23" s="89" t="s">
        <v>6144</v>
      </c>
      <c r="J23" s="89" t="s">
        <v>6090</v>
      </c>
      <c r="K23" s="475" t="s">
        <v>6530</v>
      </c>
    </row>
    <row r="24" spans="1:11" ht="16.05" customHeight="1" x14ac:dyDescent="0.3">
      <c r="A24" s="441" t="s">
        <v>4473</v>
      </c>
      <c r="B24" s="442" t="str">
        <f t="shared" si="4"/>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92" t="s">
        <v>8044</v>
      </c>
      <c r="D24" s="475" t="s">
        <v>5687</v>
      </c>
      <c r="E24" s="492" t="s">
        <v>8524</v>
      </c>
      <c r="F24" s="493" t="s">
        <v>7575</v>
      </c>
      <c r="G24" t="s">
        <v>9085</v>
      </c>
      <c r="H24" s="89" t="s">
        <v>6816</v>
      </c>
      <c r="I24" s="89" t="s">
        <v>6145</v>
      </c>
      <c r="J24" s="89" t="s">
        <v>7281</v>
      </c>
      <c r="K24" s="475" t="s">
        <v>6504</v>
      </c>
    </row>
    <row r="25" spans="1:11" x14ac:dyDescent="0.3">
      <c r="A25" s="441" t="s">
        <v>4474</v>
      </c>
      <c r="B25" s="442" t="str">
        <f t="shared" si="4"/>
        <v>How to use it:</v>
      </c>
      <c r="C25" s="492" t="s">
        <v>8045</v>
      </c>
      <c r="D25" s="89" t="s">
        <v>2882</v>
      </c>
      <c r="E25" s="492" t="s">
        <v>8525</v>
      </c>
      <c r="F25" s="493" t="s">
        <v>7576</v>
      </c>
      <c r="G25" t="s">
        <v>9086</v>
      </c>
      <c r="H25" s="89" t="s">
        <v>6817</v>
      </c>
      <c r="I25" s="89" t="s">
        <v>6146</v>
      </c>
      <c r="J25" s="89" t="s">
        <v>7187</v>
      </c>
      <c r="K25" s="475" t="s">
        <v>6531</v>
      </c>
    </row>
    <row r="26" spans="1:11" ht="28.8" x14ac:dyDescent="0.3">
      <c r="A26" s="441" t="s">
        <v>4475</v>
      </c>
      <c r="B26" s="442" t="str">
        <f t="shared" si="4"/>
        <v>0. Provide information that is mandatory in order to generate the VSME and XBRL Report.</v>
      </c>
      <c r="C26" s="492" t="s">
        <v>8046</v>
      </c>
      <c r="D26" s="89" t="s">
        <v>3531</v>
      </c>
      <c r="E26" s="492" t="s">
        <v>8526</v>
      </c>
      <c r="F26" s="493" t="s">
        <v>7577</v>
      </c>
      <c r="G26" t="s">
        <v>9087</v>
      </c>
      <c r="H26" s="89" t="s">
        <v>6818</v>
      </c>
      <c r="I26" s="89" t="s">
        <v>6147</v>
      </c>
      <c r="J26" s="89" t="s">
        <v>7188</v>
      </c>
      <c r="K26" s="475" t="s">
        <v>6783</v>
      </c>
    </row>
    <row r="27" spans="1:11" ht="129.6" x14ac:dyDescent="0.3">
      <c r="A27" s="441" t="s">
        <v>4476</v>
      </c>
      <c r="B27" s="442" t="str">
        <f t="shared" si="4"/>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492" t="s">
        <v>8047</v>
      </c>
      <c r="D27" s="89" t="s">
        <v>4467</v>
      </c>
      <c r="E27" s="492" t="s">
        <v>8527</v>
      </c>
      <c r="F27" s="493" t="s">
        <v>7578</v>
      </c>
      <c r="G27" t="s">
        <v>9088</v>
      </c>
      <c r="H27" s="89" t="s">
        <v>6819</v>
      </c>
      <c r="I27" s="89" t="s">
        <v>6148</v>
      </c>
      <c r="J27" s="89" t="s">
        <v>7522</v>
      </c>
      <c r="K27" s="475" t="s">
        <v>6784</v>
      </c>
    </row>
    <row r="28" spans="1:11" ht="86.4" x14ac:dyDescent="0.3">
      <c r="A28" s="441" t="s">
        <v>4492</v>
      </c>
      <c r="B28" s="442" t="str">
        <f t="shared" si="4"/>
        <v>2. Find more information on the actual disclosure requirements in the VSME Standard and the related guidance linked to each cell. Additional or entity-specific disclosures can be provided in each text box at the end of each worksheet.</v>
      </c>
      <c r="C28" s="492" t="s">
        <v>8048</v>
      </c>
      <c r="D28" s="89" t="s">
        <v>3772</v>
      </c>
      <c r="E28" s="492" t="s">
        <v>8528</v>
      </c>
      <c r="F28" s="493" t="s">
        <v>7579</v>
      </c>
      <c r="G28" t="s">
        <v>9089</v>
      </c>
      <c r="H28" s="89" t="s">
        <v>6820</v>
      </c>
      <c r="I28" s="89" t="s">
        <v>6149</v>
      </c>
      <c r="J28" s="89" t="s">
        <v>7523</v>
      </c>
      <c r="K28" s="475" t="s">
        <v>6532</v>
      </c>
    </row>
    <row r="29" spans="1:11" ht="115.2" x14ac:dyDescent="0.3">
      <c r="A29" s="441" t="s">
        <v>4496</v>
      </c>
      <c r="B29" s="442" t="str">
        <f t="shared" si="4"/>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492" t="s">
        <v>8049</v>
      </c>
      <c r="D29" s="89" t="s">
        <v>7548</v>
      </c>
      <c r="E29" s="492" t="s">
        <v>8529</v>
      </c>
      <c r="F29" s="493" t="s">
        <v>7580</v>
      </c>
      <c r="G29" t="s">
        <v>9090</v>
      </c>
      <c r="H29" s="89" t="s">
        <v>6821</v>
      </c>
      <c r="I29" s="89" t="s">
        <v>6150</v>
      </c>
      <c r="J29" s="89" t="s">
        <v>7524</v>
      </c>
      <c r="K29" s="475" t="s">
        <v>6785</v>
      </c>
    </row>
    <row r="30" spans="1:11" ht="86.4" x14ac:dyDescent="0.3">
      <c r="A30" s="441" t="s">
        <v>4493</v>
      </c>
      <c r="B30" s="442" t="str">
        <f t="shared" si="4"/>
        <v>4. Validate the data entered by checking the validation status. The report is considered incomplete or erroneous if the validation fails, which might result in an invalid XBRL report.</v>
      </c>
      <c r="C30" s="492" t="s">
        <v>8050</v>
      </c>
      <c r="D30" s="89" t="s">
        <v>7549</v>
      </c>
      <c r="E30" s="492" t="s">
        <v>8530</v>
      </c>
      <c r="F30" s="493" t="s">
        <v>7581</v>
      </c>
      <c r="G30" t="s">
        <v>9091</v>
      </c>
      <c r="H30" s="89" t="s">
        <v>6822</v>
      </c>
      <c r="I30" s="89" t="s">
        <v>6151</v>
      </c>
      <c r="J30" s="89" t="s">
        <v>7189</v>
      </c>
      <c r="K30" s="475" t="s">
        <v>6533</v>
      </c>
    </row>
    <row r="31" spans="1:11" ht="57.6" x14ac:dyDescent="0.3">
      <c r="A31" s="441" t="s">
        <v>4494</v>
      </c>
      <c r="B31" s="442" t="str">
        <f t="shared" si="4"/>
        <v>5. Convert this template to an Inline XBRL report (or XBRL-JSON, XBRL-CSV), using the online converter. Pay attention to the XBRL validation performed by the validator.</v>
      </c>
      <c r="C31" s="492" t="s">
        <v>8051</v>
      </c>
      <c r="D31" s="89" t="s">
        <v>6467</v>
      </c>
      <c r="E31" s="492" t="s">
        <v>8531</v>
      </c>
      <c r="F31" s="493" t="s">
        <v>7582</v>
      </c>
      <c r="G31" t="s">
        <v>9092</v>
      </c>
      <c r="H31" s="89" t="s">
        <v>7179</v>
      </c>
      <c r="I31" s="89" t="s">
        <v>7177</v>
      </c>
      <c r="J31" s="89" t="s">
        <v>7539</v>
      </c>
      <c r="K31" s="475" t="s">
        <v>7175</v>
      </c>
    </row>
    <row r="32" spans="1:11" ht="28.8" x14ac:dyDescent="0.3">
      <c r="A32" s="441" t="s">
        <v>4495</v>
      </c>
      <c r="B32" s="442" t="str">
        <f t="shared" si="4"/>
        <v>6. The undertaking may also upload the report to public repositories or a webpage.</v>
      </c>
      <c r="C32" s="492" t="s">
        <v>8052</v>
      </c>
      <c r="D32" s="89" t="s">
        <v>3095</v>
      </c>
      <c r="E32" s="492" t="s">
        <v>8532</v>
      </c>
      <c r="F32" s="493" t="s">
        <v>7583</v>
      </c>
      <c r="G32" t="s">
        <v>9093</v>
      </c>
      <c r="H32" s="89" t="s">
        <v>6823</v>
      </c>
      <c r="I32" s="89" t="s">
        <v>6152</v>
      </c>
      <c r="J32" s="89" t="s">
        <v>7525</v>
      </c>
      <c r="K32" s="475" t="s">
        <v>6786</v>
      </c>
    </row>
    <row r="33" spans="1:11" ht="28.8" x14ac:dyDescent="0.3">
      <c r="A33" s="441" t="s">
        <v>4477</v>
      </c>
      <c r="B33" s="442" t="str">
        <f t="shared" si="4"/>
        <v>Cell background color index:</v>
      </c>
      <c r="C33" s="492" t="s">
        <v>8053</v>
      </c>
      <c r="D33" s="89" t="s">
        <v>2887</v>
      </c>
      <c r="E33" s="492" t="s">
        <v>8533</v>
      </c>
      <c r="F33" s="493" t="s">
        <v>7584</v>
      </c>
      <c r="G33" t="s">
        <v>9094</v>
      </c>
      <c r="H33" s="89" t="s">
        <v>5994</v>
      </c>
      <c r="I33" s="89" t="s">
        <v>6071</v>
      </c>
      <c r="J33" s="89" t="s">
        <v>7190</v>
      </c>
      <c r="K33" s="475" t="s">
        <v>5706</v>
      </c>
    </row>
    <row r="34" spans="1:11" ht="43.2" x14ac:dyDescent="0.3">
      <c r="A34" s="441" t="s">
        <v>4478</v>
      </c>
      <c r="B34" s="442" t="str">
        <f t="shared" si="4"/>
        <v>General Principles</v>
      </c>
      <c r="C34" s="492" t="s">
        <v>8054</v>
      </c>
      <c r="D34" s="89" t="s">
        <v>2911</v>
      </c>
      <c r="E34" s="492" t="s">
        <v>8534</v>
      </c>
      <c r="F34" s="493" t="s">
        <v>7585</v>
      </c>
      <c r="G34" t="s">
        <v>9095</v>
      </c>
      <c r="H34" s="89" t="s">
        <v>5995</v>
      </c>
      <c r="I34" s="89" t="s">
        <v>5909</v>
      </c>
      <c r="J34" s="89" t="s">
        <v>5828</v>
      </c>
      <c r="K34" s="475" t="s">
        <v>6534</v>
      </c>
    </row>
    <row r="35" spans="1:11" ht="28.8" x14ac:dyDescent="0.3">
      <c r="A35" s="441" t="s">
        <v>4479</v>
      </c>
      <c r="B35" s="442" t="str">
        <f t="shared" si="4"/>
        <v>Indicates that the disclosure is from the general principles of the VSME.</v>
      </c>
      <c r="C35" s="492" t="s">
        <v>8055</v>
      </c>
      <c r="D35" s="89" t="s">
        <v>2912</v>
      </c>
      <c r="E35" s="492" t="s">
        <v>8535</v>
      </c>
      <c r="F35" s="493" t="s">
        <v>7586</v>
      </c>
      <c r="G35" t="s">
        <v>9096</v>
      </c>
      <c r="H35" s="89" t="s">
        <v>6824</v>
      </c>
      <c r="I35" s="89" t="s">
        <v>6153</v>
      </c>
      <c r="J35" s="89" t="s">
        <v>7191</v>
      </c>
      <c r="K35" s="475" t="s">
        <v>6535</v>
      </c>
    </row>
    <row r="36" spans="1:11" x14ac:dyDescent="0.3">
      <c r="A36" s="441" t="s">
        <v>4480</v>
      </c>
      <c r="B36" s="442" t="str">
        <f t="shared" si="4"/>
        <v>Basic Module</v>
      </c>
      <c r="C36" s="492" t="s">
        <v>8056</v>
      </c>
      <c r="D36" s="89" t="s">
        <v>2884</v>
      </c>
      <c r="E36" s="492" t="s">
        <v>8536</v>
      </c>
      <c r="F36" s="493" t="s">
        <v>7587</v>
      </c>
      <c r="G36" t="s">
        <v>9097</v>
      </c>
      <c r="H36" s="89" t="s">
        <v>6825</v>
      </c>
      <c r="I36" s="89" t="s">
        <v>5910</v>
      </c>
      <c r="J36" s="89" t="s">
        <v>7192</v>
      </c>
      <c r="K36" s="475" t="s">
        <v>5707</v>
      </c>
    </row>
    <row r="37" spans="1:11" ht="28.8" x14ac:dyDescent="0.3">
      <c r="A37" s="441" t="s">
        <v>4481</v>
      </c>
      <c r="B37" s="442" t="str">
        <f t="shared" si="4"/>
        <v>Indicates that the disclosure is from the VSME Basic Module.</v>
      </c>
      <c r="C37" s="492" t="s">
        <v>8057</v>
      </c>
      <c r="D37" s="89" t="s">
        <v>2910</v>
      </c>
      <c r="E37" s="492" t="s">
        <v>8537</v>
      </c>
      <c r="F37" s="493" t="s">
        <v>7588</v>
      </c>
      <c r="G37" t="s">
        <v>9098</v>
      </c>
      <c r="H37" s="89" t="s">
        <v>6826</v>
      </c>
      <c r="I37" s="89" t="s">
        <v>5911</v>
      </c>
      <c r="J37" s="89" t="s">
        <v>7193</v>
      </c>
      <c r="K37" s="475" t="s">
        <v>6536</v>
      </c>
    </row>
    <row r="38" spans="1:11" x14ac:dyDescent="0.3">
      <c r="A38" s="441" t="s">
        <v>4482</v>
      </c>
      <c r="B38" s="442" t="str">
        <f t="shared" si="4"/>
        <v>Comprehensive Module</v>
      </c>
      <c r="C38" s="492" t="s">
        <v>8058</v>
      </c>
      <c r="D38" s="89" t="s">
        <v>2885</v>
      </c>
      <c r="E38" s="492" t="s">
        <v>8538</v>
      </c>
      <c r="F38" s="493" t="s">
        <v>7589</v>
      </c>
      <c r="G38" t="s">
        <v>9099</v>
      </c>
      <c r="H38" s="89" t="s">
        <v>6827</v>
      </c>
      <c r="I38" s="89" t="s">
        <v>6154</v>
      </c>
      <c r="J38" s="89" t="s">
        <v>7193</v>
      </c>
      <c r="K38" s="475" t="s">
        <v>5708</v>
      </c>
    </row>
    <row r="39" spans="1:11" ht="28.8" x14ac:dyDescent="0.3">
      <c r="A39" s="441" t="s">
        <v>4483</v>
      </c>
      <c r="B39" s="442" t="str">
        <f t="shared" si="4"/>
        <v>Indicates that the disclosure is from the VSME Comprehensive Module.</v>
      </c>
      <c r="C39" s="492" t="s">
        <v>8059</v>
      </c>
      <c r="D39" s="89" t="s">
        <v>2909</v>
      </c>
      <c r="E39" s="492" t="s">
        <v>8539</v>
      </c>
      <c r="F39" s="493" t="s">
        <v>7590</v>
      </c>
      <c r="G39" t="s">
        <v>9100</v>
      </c>
      <c r="H39" s="89" t="s">
        <v>6828</v>
      </c>
      <c r="I39" s="89" t="s">
        <v>6155</v>
      </c>
      <c r="J39" s="89" t="s">
        <v>7193</v>
      </c>
      <c r="K39" s="475" t="s">
        <v>6537</v>
      </c>
    </row>
    <row r="40" spans="1:11" ht="57.6" x14ac:dyDescent="0.3">
      <c r="A40" s="441" t="s">
        <v>4484</v>
      </c>
      <c r="B40" s="442" t="str">
        <f t="shared" si="4"/>
        <v>Indicates that the cell is automatically calculated and that no data entry is required.</v>
      </c>
      <c r="C40" s="492" t="s">
        <v>8060</v>
      </c>
      <c r="D40" s="89" t="s">
        <v>3773</v>
      </c>
      <c r="E40" s="492" t="s">
        <v>8539</v>
      </c>
      <c r="F40" s="493" t="s">
        <v>7591</v>
      </c>
      <c r="G40" t="s">
        <v>9101</v>
      </c>
      <c r="H40" s="89" t="s">
        <v>6829</v>
      </c>
      <c r="I40" s="89" t="s">
        <v>6156</v>
      </c>
      <c r="J40" s="89" t="s">
        <v>7194</v>
      </c>
      <c r="K40" s="475" t="s">
        <v>6538</v>
      </c>
    </row>
    <row r="41" spans="1:11" ht="144" x14ac:dyDescent="0.3">
      <c r="A41" s="441" t="s">
        <v>4497</v>
      </c>
      <c r="B41" s="442" t="str">
        <f t="shared" si="4"/>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492" t="s">
        <v>8061</v>
      </c>
      <c r="D41" s="89" t="s">
        <v>3559</v>
      </c>
      <c r="E41" s="492" t="s">
        <v>8540</v>
      </c>
      <c r="F41" s="493" t="s">
        <v>7592</v>
      </c>
      <c r="G41" t="s">
        <v>9102</v>
      </c>
      <c r="H41" s="89" t="s">
        <v>6830</v>
      </c>
      <c r="I41" s="89" t="s">
        <v>6157</v>
      </c>
      <c r="J41" s="89" t="s">
        <v>7195</v>
      </c>
      <c r="K41" s="475" t="s">
        <v>6539</v>
      </c>
    </row>
    <row r="42" spans="1:11" ht="57.6" x14ac:dyDescent="0.3">
      <c r="A42" s="441" t="s">
        <v>4485</v>
      </c>
      <c r="B42" s="442" t="str">
        <f t="shared" si="4"/>
        <v>Indicates that no data entry is required unless certain logics are selected in the disclosure itself. When one of these logics is selected, then this cell will turn white.</v>
      </c>
      <c r="C42" s="492" t="s">
        <v>8062</v>
      </c>
      <c r="D42" s="89" t="s">
        <v>3066</v>
      </c>
      <c r="E42" s="492" t="s">
        <v>8541</v>
      </c>
      <c r="F42" s="493" t="s">
        <v>7593</v>
      </c>
      <c r="G42" t="s">
        <v>9103</v>
      </c>
      <c r="H42" s="89" t="s">
        <v>6831</v>
      </c>
      <c r="I42" s="89" t="s">
        <v>6158</v>
      </c>
      <c r="J42" s="89" t="s">
        <v>7196</v>
      </c>
      <c r="K42" s="475" t="s">
        <v>6540</v>
      </c>
    </row>
    <row r="43" spans="1:11" ht="43.2" x14ac:dyDescent="0.3">
      <c r="A43" s="441" t="s">
        <v>4498</v>
      </c>
      <c r="B43" s="442" t="str">
        <f t="shared" si="4"/>
        <v>Validation MISSING VALUE/ERROR/VALUE INCONSISTENCY/INVALID URL</v>
      </c>
      <c r="C43" s="492" t="s">
        <v>8063</v>
      </c>
      <c r="D43" s="442" t="s">
        <v>3774</v>
      </c>
      <c r="E43" s="492" t="s">
        <v>8542</v>
      </c>
      <c r="F43" s="493" t="s">
        <v>7594</v>
      </c>
      <c r="G43" t="s">
        <v>9104</v>
      </c>
      <c r="H43" s="89" t="s">
        <v>6832</v>
      </c>
      <c r="I43" s="89" t="s">
        <v>6159</v>
      </c>
      <c r="J43" s="89" t="s">
        <v>7197</v>
      </c>
      <c r="K43" s="475" t="s">
        <v>6480</v>
      </c>
    </row>
    <row r="44" spans="1:11" ht="43.2" x14ac:dyDescent="0.3">
      <c r="A44" s="441" t="s">
        <v>4486</v>
      </c>
      <c r="B44" s="442" t="str">
        <f t="shared" si="4"/>
        <v>Indicates that either data entry is incorrect in terms of format or that certain information is missing in order to correctly report on the disclosure.</v>
      </c>
      <c r="C44" s="492" t="s">
        <v>8064</v>
      </c>
      <c r="D44" s="89" t="s">
        <v>3015</v>
      </c>
      <c r="E44" s="492" t="s">
        <v>8543</v>
      </c>
      <c r="F44" s="493" t="s">
        <v>7595</v>
      </c>
      <c r="G44" t="s">
        <v>9105</v>
      </c>
      <c r="H44" s="89" t="s">
        <v>6833</v>
      </c>
      <c r="I44" s="89" t="s">
        <v>6160</v>
      </c>
      <c r="J44" s="89" t="s">
        <v>7198</v>
      </c>
      <c r="K44" s="475" t="s">
        <v>6541</v>
      </c>
    </row>
    <row r="45" spans="1:11" x14ac:dyDescent="0.3">
      <c r="A45" s="441" t="s">
        <v>4499</v>
      </c>
      <c r="B45" s="442" t="str">
        <f t="shared" si="4"/>
        <v>Validation OK</v>
      </c>
      <c r="C45" s="492" t="s">
        <v>8065</v>
      </c>
      <c r="D45" s="89" t="s">
        <v>2886</v>
      </c>
      <c r="E45" s="492" t="s">
        <v>2886</v>
      </c>
      <c r="F45" s="493" t="s">
        <v>7596</v>
      </c>
      <c r="G45" t="s">
        <v>9106</v>
      </c>
      <c r="H45" s="89" t="s">
        <v>9539</v>
      </c>
      <c r="I45" s="89" t="s">
        <v>5912</v>
      </c>
      <c r="J45" s="89" t="s">
        <v>5829</v>
      </c>
      <c r="K45" s="475" t="s">
        <v>6481</v>
      </c>
    </row>
    <row r="46" spans="1:11" ht="28.8" x14ac:dyDescent="0.3">
      <c r="A46" s="441" t="s">
        <v>4487</v>
      </c>
      <c r="B46" s="442" t="str">
        <f t="shared" si="4"/>
        <v>Indicates that data entry is OK and the undertaking can proceed to the next disclosure.</v>
      </c>
      <c r="C46" s="492" t="s">
        <v>8066</v>
      </c>
      <c r="D46" s="89" t="s">
        <v>2913</v>
      </c>
      <c r="E46" s="492" t="s">
        <v>8544</v>
      </c>
      <c r="F46" s="493" t="s">
        <v>7597</v>
      </c>
      <c r="G46" t="s">
        <v>9107</v>
      </c>
      <c r="H46" s="89" t="s">
        <v>6834</v>
      </c>
      <c r="I46" s="89" t="s">
        <v>6161</v>
      </c>
      <c r="J46" s="89" t="s">
        <v>7199</v>
      </c>
      <c r="K46" s="475" t="s">
        <v>5709</v>
      </c>
    </row>
    <row r="47" spans="1:11" x14ac:dyDescent="0.3">
      <c r="A47" s="441" t="s">
        <v>4488</v>
      </c>
      <c r="B47" s="442" t="str">
        <f t="shared" si="4"/>
        <v>No value can be entered in the cell.</v>
      </c>
      <c r="C47" s="492" t="s">
        <v>8067</v>
      </c>
      <c r="D47" s="89" t="s">
        <v>3063</v>
      </c>
      <c r="E47" s="492" t="s">
        <v>8545</v>
      </c>
      <c r="F47" s="493" t="s">
        <v>7598</v>
      </c>
      <c r="G47" t="s">
        <v>9108</v>
      </c>
      <c r="H47" s="89" t="s">
        <v>6054</v>
      </c>
      <c r="I47" s="89" t="s">
        <v>5913</v>
      </c>
      <c r="J47" s="89" t="s">
        <v>5830</v>
      </c>
      <c r="K47" s="475" t="s">
        <v>5710</v>
      </c>
    </row>
    <row r="48" spans="1:11" ht="72" x14ac:dyDescent="0.3">
      <c r="A48" s="441" t="s">
        <v>4489</v>
      </c>
      <c r="B48" s="442" t="str">
        <f t="shared" si="4"/>
        <v>Lists can be expanded using the plus [+] button on the left. If the number of rows is not sufficient, additional rows can be added by right clicking the second row and selecting "Insert row".</v>
      </c>
      <c r="C48" s="492" t="s">
        <v>8068</v>
      </c>
      <c r="D48" s="89" t="s">
        <v>3016</v>
      </c>
      <c r="E48" s="492" t="s">
        <v>8546</v>
      </c>
      <c r="F48" s="493" t="s">
        <v>7599</v>
      </c>
      <c r="G48" t="s">
        <v>9109</v>
      </c>
      <c r="H48" s="89" t="s">
        <v>6835</v>
      </c>
      <c r="I48" s="89" t="s">
        <v>6162</v>
      </c>
      <c r="J48" s="89" t="s">
        <v>7200</v>
      </c>
      <c r="K48" s="475" t="s">
        <v>6542</v>
      </c>
    </row>
    <row r="49" spans="1:11" ht="201.6" x14ac:dyDescent="0.3">
      <c r="A49" s="441" t="s">
        <v>4490</v>
      </c>
      <c r="B49" s="442" t="str">
        <f t="shared" si="4"/>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492" t="s">
        <v>8069</v>
      </c>
      <c r="D49" s="89" t="s">
        <v>2923</v>
      </c>
      <c r="E49" s="492" t="s">
        <v>8547</v>
      </c>
      <c r="F49" s="493" t="s">
        <v>7600</v>
      </c>
      <c r="G49" t="s">
        <v>9110</v>
      </c>
      <c r="H49" s="89" t="s">
        <v>6836</v>
      </c>
      <c r="I49" s="89" t="s">
        <v>6163</v>
      </c>
      <c r="J49" s="89" t="s">
        <v>7201</v>
      </c>
      <c r="K49" s="475" t="s">
        <v>6543</v>
      </c>
    </row>
    <row r="50" spans="1:11" s="12" customFormat="1" ht="72.599999999999994" thickBot="1" x14ac:dyDescent="0.35">
      <c r="A50" s="453" t="s">
        <v>4491</v>
      </c>
      <c r="B50" s="476" t="str">
        <f t="shared" si="4"/>
        <v>Reproduction and use rights are strictly limited. For further details please contact efragsecretariat@efrag.org</v>
      </c>
      <c r="C50" s="500" t="s">
        <v>8070</v>
      </c>
      <c r="D50" s="443" t="s">
        <v>2922</v>
      </c>
      <c r="E50" s="500" t="s">
        <v>8548</v>
      </c>
      <c r="F50" s="494" t="s">
        <v>7601</v>
      </c>
      <c r="G50" s="12" t="s">
        <v>9111</v>
      </c>
      <c r="H50" s="443" t="s">
        <v>6837</v>
      </c>
      <c r="I50" s="443" t="s">
        <v>6164</v>
      </c>
      <c r="J50" s="443" t="s">
        <v>7202</v>
      </c>
      <c r="K50" s="498" t="s">
        <v>6544</v>
      </c>
    </row>
    <row r="51" spans="1:11" ht="43.2" x14ac:dyDescent="0.3">
      <c r="A51" s="441" t="s">
        <v>4405</v>
      </c>
      <c r="B51" s="442" t="str">
        <f t="shared" si="4"/>
        <v>Overall Validation Status</v>
      </c>
      <c r="C51" s="492" t="s">
        <v>8071</v>
      </c>
      <c r="D51" s="441" t="s">
        <v>3661</v>
      </c>
      <c r="E51" s="492" t="s">
        <v>8549</v>
      </c>
      <c r="F51" s="493" t="s">
        <v>7602</v>
      </c>
      <c r="G51" t="s">
        <v>9112</v>
      </c>
      <c r="H51" s="89" t="s">
        <v>6838</v>
      </c>
      <c r="I51" s="89" t="s">
        <v>6165</v>
      </c>
      <c r="J51" s="89" t="s">
        <v>7203</v>
      </c>
      <c r="K51" s="475" t="s">
        <v>6545</v>
      </c>
    </row>
    <row r="52" spans="1:11" x14ac:dyDescent="0.3">
      <c r="A52" s="441" t="s">
        <v>4406</v>
      </c>
      <c r="B52" s="442" t="str">
        <f t="shared" si="4"/>
        <v>Table of Contents</v>
      </c>
      <c r="C52" s="492" t="s">
        <v>8072</v>
      </c>
      <c r="D52" s="441" t="s">
        <v>3662</v>
      </c>
      <c r="E52" s="492" t="s">
        <v>8512</v>
      </c>
      <c r="F52" s="493" t="s">
        <v>7564</v>
      </c>
      <c r="G52" t="s">
        <v>9074</v>
      </c>
      <c r="H52" s="89" t="s">
        <v>5992</v>
      </c>
      <c r="I52" s="89" t="s">
        <v>5906</v>
      </c>
      <c r="J52" s="89" t="s">
        <v>5825</v>
      </c>
      <c r="K52" s="475" t="s">
        <v>5825</v>
      </c>
    </row>
    <row r="53" spans="1:11" ht="28.8" x14ac:dyDescent="0.3">
      <c r="A53" s="441" t="s">
        <v>4407</v>
      </c>
      <c r="B53" s="442" t="str">
        <f t="shared" si="4"/>
        <v>Contents grouping follows template's framework</v>
      </c>
      <c r="C53" s="492" t="s">
        <v>8073</v>
      </c>
      <c r="D53" s="441" t="s">
        <v>3663</v>
      </c>
      <c r="E53" s="492" t="s">
        <v>8550</v>
      </c>
      <c r="F53" s="493" t="s">
        <v>7603</v>
      </c>
      <c r="G53" t="s">
        <v>9113</v>
      </c>
      <c r="H53" s="89" t="s">
        <v>6839</v>
      </c>
      <c r="I53" s="89" t="s">
        <v>6166</v>
      </c>
      <c r="J53" s="89" t="s">
        <v>7204</v>
      </c>
      <c r="K53" s="475" t="s">
        <v>6546</v>
      </c>
    </row>
    <row r="54" spans="1:11" x14ac:dyDescent="0.3">
      <c r="A54" s="441" t="s">
        <v>4408</v>
      </c>
      <c r="B54" s="442" t="str">
        <f t="shared" si="4"/>
        <v>Specific Content Validation Status</v>
      </c>
      <c r="C54" s="492" t="s">
        <v>8074</v>
      </c>
      <c r="D54" s="441" t="s">
        <v>3664</v>
      </c>
      <c r="E54" s="492" t="s">
        <v>8551</v>
      </c>
      <c r="F54" s="493" t="s">
        <v>7604</v>
      </c>
      <c r="G54" t="s">
        <v>9114</v>
      </c>
      <c r="H54" s="89" t="s">
        <v>5996</v>
      </c>
      <c r="I54" s="89" t="s">
        <v>6167</v>
      </c>
      <c r="J54" s="89" t="s">
        <v>7205</v>
      </c>
      <c r="K54" s="475" t="s">
        <v>6547</v>
      </c>
    </row>
    <row r="55" spans="1:11" ht="28.8" x14ac:dyDescent="0.3">
      <c r="A55" s="441" t="s">
        <v>4409</v>
      </c>
      <c r="B55" s="442" t="str">
        <f t="shared" si="4"/>
        <v>General Information</v>
      </c>
      <c r="C55" s="492" t="s">
        <v>8075</v>
      </c>
      <c r="D55" s="441" t="s">
        <v>3665</v>
      </c>
      <c r="E55" s="492" t="s">
        <v>8552</v>
      </c>
      <c r="F55" s="493" t="s">
        <v>7605</v>
      </c>
      <c r="G55" t="s">
        <v>9115</v>
      </c>
      <c r="H55" s="89" t="s">
        <v>6840</v>
      </c>
      <c r="I55" s="89" t="s">
        <v>5914</v>
      </c>
      <c r="J55" s="89" t="s">
        <v>7206</v>
      </c>
      <c r="K55" s="475" t="s">
        <v>5711</v>
      </c>
    </row>
    <row r="56" spans="1:11" ht="28.8" x14ac:dyDescent="0.3">
      <c r="A56" s="441" t="s">
        <v>4404</v>
      </c>
      <c r="B56" s="442" t="str">
        <f t="shared" si="4"/>
        <v>· Information on the report necessary for  XBRL</v>
      </c>
      <c r="C56" s="492" t="s">
        <v>8076</v>
      </c>
      <c r="D56" s="441" t="s">
        <v>3685</v>
      </c>
      <c r="E56" s="492" t="s">
        <v>8553</v>
      </c>
      <c r="F56" s="493" t="s">
        <v>7606</v>
      </c>
      <c r="G56" t="s">
        <v>9116</v>
      </c>
      <c r="H56" s="89" t="s">
        <v>6841</v>
      </c>
      <c r="I56" s="89" t="s">
        <v>9008</v>
      </c>
      <c r="J56" s="89" t="s">
        <v>7532</v>
      </c>
      <c r="K56" s="475" t="s">
        <v>6548</v>
      </c>
    </row>
    <row r="57" spans="1:11" x14ac:dyDescent="0.3">
      <c r="A57" s="441" t="s">
        <v>4410</v>
      </c>
      <c r="B57" s="442" t="str">
        <f t="shared" si="4"/>
        <v>· Information on previous reporting period</v>
      </c>
      <c r="C57" s="492" t="s">
        <v>8077</v>
      </c>
      <c r="D57" s="441" t="s">
        <v>3686</v>
      </c>
      <c r="E57" s="492" t="s">
        <v>8554</v>
      </c>
      <c r="F57" s="493" t="s">
        <v>7607</v>
      </c>
      <c r="G57" t="s">
        <v>9117</v>
      </c>
      <c r="H57" s="89" t="s">
        <v>5997</v>
      </c>
      <c r="I57" s="89" t="s">
        <v>9009</v>
      </c>
      <c r="J57" s="89" t="s">
        <v>7208</v>
      </c>
      <c r="K57" s="475" t="s">
        <v>9047</v>
      </c>
    </row>
    <row r="58" spans="1:11" x14ac:dyDescent="0.3">
      <c r="A58" s="441" t="s">
        <v>4411</v>
      </c>
      <c r="B58" s="442" t="str">
        <f t="shared" si="4"/>
        <v>Basic Module</v>
      </c>
      <c r="C58" s="492" t="s">
        <v>7587</v>
      </c>
      <c r="D58" s="441" t="s">
        <v>2884</v>
      </c>
      <c r="E58" s="492" t="s">
        <v>8555</v>
      </c>
      <c r="F58" s="493" t="s">
        <v>7587</v>
      </c>
      <c r="G58" t="s">
        <v>9097</v>
      </c>
      <c r="H58" s="89" t="s">
        <v>6825</v>
      </c>
      <c r="I58" s="89" t="s">
        <v>5910</v>
      </c>
      <c r="J58" s="89" t="s">
        <v>7192</v>
      </c>
      <c r="K58" s="475" t="s">
        <v>5707</v>
      </c>
    </row>
    <row r="59" spans="1:11" x14ac:dyDescent="0.3">
      <c r="A59" s="441" t="s">
        <v>4412</v>
      </c>
      <c r="B59" s="442" t="str">
        <f t="shared" si="4"/>
        <v>· B1 - Basis for Preparation</v>
      </c>
      <c r="C59" s="492" t="s">
        <v>8078</v>
      </c>
      <c r="D59" s="441" t="s">
        <v>3687</v>
      </c>
      <c r="E59" s="492" t="s">
        <v>8955</v>
      </c>
      <c r="F59" s="493" t="s">
        <v>7608</v>
      </c>
      <c r="G59" t="s">
        <v>9118</v>
      </c>
      <c r="H59" s="89" t="s">
        <v>8985</v>
      </c>
      <c r="I59" s="89" t="s">
        <v>9010</v>
      </c>
      <c r="J59" s="89" t="s">
        <v>7526</v>
      </c>
      <c r="K59" s="475" t="s">
        <v>9048</v>
      </c>
    </row>
    <row r="60" spans="1:11" ht="28.8" x14ac:dyDescent="0.3">
      <c r="A60" s="441" t="s">
        <v>4413</v>
      </c>
      <c r="B60" s="442" t="str">
        <f t="shared" si="4"/>
        <v>Basis for Preparation and other undertaking's general information</v>
      </c>
      <c r="C60" s="492" t="s">
        <v>8079</v>
      </c>
      <c r="D60" s="441" t="s">
        <v>4379</v>
      </c>
      <c r="E60" s="492" t="s">
        <v>8556</v>
      </c>
      <c r="F60" s="493" t="s">
        <v>7609</v>
      </c>
      <c r="G60" t="s">
        <v>9119</v>
      </c>
      <c r="H60" s="89" t="s">
        <v>6842</v>
      </c>
      <c r="I60" s="89" t="s">
        <v>6168</v>
      </c>
      <c r="J60" s="89" t="s">
        <v>7209</v>
      </c>
      <c r="K60" s="475" t="s">
        <v>6550</v>
      </c>
    </row>
    <row r="61" spans="1:11" x14ac:dyDescent="0.3">
      <c r="A61" s="441" t="s">
        <v>4414</v>
      </c>
      <c r="B61" s="442" t="str">
        <f t="shared" si="4"/>
        <v>List of subsidiaries</v>
      </c>
      <c r="C61" s="492" t="s">
        <v>8080</v>
      </c>
      <c r="D61" s="441" t="s">
        <v>4380</v>
      </c>
      <c r="E61" s="492" t="s">
        <v>8557</v>
      </c>
      <c r="F61" s="493" t="s">
        <v>7610</v>
      </c>
      <c r="G61" t="s">
        <v>9120</v>
      </c>
      <c r="H61" s="89" t="s">
        <v>6843</v>
      </c>
      <c r="I61" s="89" t="s">
        <v>6169</v>
      </c>
      <c r="J61" s="89" t="s">
        <v>7210</v>
      </c>
      <c r="K61" s="475" t="s">
        <v>6551</v>
      </c>
    </row>
    <row r="62" spans="1:11" ht="28.8" x14ac:dyDescent="0.3">
      <c r="A62" s="441" t="s">
        <v>4415</v>
      </c>
      <c r="B62" s="442" t="str">
        <f t="shared" si="4"/>
        <v>Disclosure of sustainability-related certification(s) or label(s)</v>
      </c>
      <c r="C62" s="492" t="s">
        <v>8081</v>
      </c>
      <c r="D62" s="441" t="s">
        <v>4381</v>
      </c>
      <c r="E62" s="492" t="s">
        <v>8558</v>
      </c>
      <c r="F62" s="493" t="s">
        <v>7611</v>
      </c>
      <c r="G62" t="s">
        <v>9121</v>
      </c>
      <c r="H62" s="89" t="s">
        <v>6844</v>
      </c>
      <c r="I62" s="89" t="s">
        <v>6170</v>
      </c>
      <c r="J62" s="89" t="s">
        <v>7211</v>
      </c>
      <c r="K62" s="475" t="s">
        <v>6552</v>
      </c>
    </row>
    <row r="63" spans="1:11" x14ac:dyDescent="0.3">
      <c r="A63" s="441" t="s">
        <v>4416</v>
      </c>
      <c r="B63" s="442" t="str">
        <f t="shared" si="4"/>
        <v>List of site(s)</v>
      </c>
      <c r="C63" s="492" t="s">
        <v>8082</v>
      </c>
      <c r="D63" s="441" t="s">
        <v>4382</v>
      </c>
      <c r="E63" s="492" t="s">
        <v>8559</v>
      </c>
      <c r="F63" s="493" t="s">
        <v>7612</v>
      </c>
      <c r="G63" t="s">
        <v>9122</v>
      </c>
      <c r="H63" s="89" t="s">
        <v>6845</v>
      </c>
      <c r="I63" s="89" t="s">
        <v>6171</v>
      </c>
      <c r="J63" s="89" t="s">
        <v>7212</v>
      </c>
      <c r="K63" s="475" t="s">
        <v>6553</v>
      </c>
    </row>
    <row r="64" spans="1:11" ht="28.8" x14ac:dyDescent="0.3">
      <c r="A64" s="441" t="s">
        <v>4417</v>
      </c>
      <c r="B64" s="442" t="str">
        <f t="shared" si="4"/>
        <v>· B2 - Practices, policies and future initiatives for transitioning towards a more sustainable economy</v>
      </c>
      <c r="C64" s="492" t="s">
        <v>8083</v>
      </c>
      <c r="D64" s="441" t="s">
        <v>3675</v>
      </c>
      <c r="E64" s="492" t="s">
        <v>8956</v>
      </c>
      <c r="F64" s="493" t="s">
        <v>7613</v>
      </c>
      <c r="G64" t="s">
        <v>9123</v>
      </c>
      <c r="H64" s="89" t="s">
        <v>8986</v>
      </c>
      <c r="I64" s="89" t="s">
        <v>9011</v>
      </c>
      <c r="J64" s="89" t="s">
        <v>7527</v>
      </c>
      <c r="K64" s="475" t="s">
        <v>9049</v>
      </c>
    </row>
    <row r="65" spans="1:11" ht="28.8" x14ac:dyDescent="0.3">
      <c r="A65" s="441" t="s">
        <v>4418</v>
      </c>
      <c r="B65" s="442" t="str">
        <f t="shared" si="4"/>
        <v>Practices, policies and future initiatives for transitioning towards a more sustainable economy</v>
      </c>
      <c r="C65" s="492" t="s">
        <v>8084</v>
      </c>
      <c r="D65" s="441" t="s">
        <v>4383</v>
      </c>
      <c r="E65" s="492" t="s">
        <v>8561</v>
      </c>
      <c r="F65" s="493" t="s">
        <v>7614</v>
      </c>
      <c r="G65" t="s">
        <v>9124</v>
      </c>
      <c r="H65" s="89" t="s">
        <v>6846</v>
      </c>
      <c r="I65" s="89" t="s">
        <v>6072</v>
      </c>
      <c r="J65" s="89" t="s">
        <v>5831</v>
      </c>
      <c r="K65" s="475" t="s">
        <v>5712</v>
      </c>
    </row>
    <row r="66" spans="1:11" x14ac:dyDescent="0.3">
      <c r="A66" s="441" t="s">
        <v>4419</v>
      </c>
      <c r="B66" s="442" t="str">
        <f t="shared" si="4"/>
        <v>Cooperative specific disclosures</v>
      </c>
      <c r="C66" s="492" t="s">
        <v>8085</v>
      </c>
      <c r="D66" s="441" t="s">
        <v>4384</v>
      </c>
      <c r="E66" s="492" t="s">
        <v>8562</v>
      </c>
      <c r="F66" s="493" t="s">
        <v>7615</v>
      </c>
      <c r="G66" t="s">
        <v>9125</v>
      </c>
      <c r="H66" s="89" t="s">
        <v>6847</v>
      </c>
      <c r="I66" s="89" t="s">
        <v>6172</v>
      </c>
      <c r="J66" s="89" t="s">
        <v>7214</v>
      </c>
      <c r="K66" s="475" t="s">
        <v>6554</v>
      </c>
    </row>
    <row r="67" spans="1:11" x14ac:dyDescent="0.3">
      <c r="A67" s="441" t="s">
        <v>4420</v>
      </c>
      <c r="B67" s="442" t="str">
        <f t="shared" si="4"/>
        <v>Environmental Disclosures</v>
      </c>
      <c r="C67" s="492" t="s">
        <v>8086</v>
      </c>
      <c r="D67" s="441" t="s">
        <v>3666</v>
      </c>
      <c r="E67" s="492" t="s">
        <v>8563</v>
      </c>
      <c r="F67" s="493" t="s">
        <v>7616</v>
      </c>
      <c r="G67" t="s">
        <v>9126</v>
      </c>
      <c r="H67" s="89" t="s">
        <v>6848</v>
      </c>
      <c r="I67" s="89" t="s">
        <v>6173</v>
      </c>
      <c r="J67" s="89" t="s">
        <v>5832</v>
      </c>
      <c r="K67" s="475" t="s">
        <v>6555</v>
      </c>
    </row>
    <row r="68" spans="1:11" x14ac:dyDescent="0.3">
      <c r="A68" s="441" t="s">
        <v>4421</v>
      </c>
      <c r="B68" s="442" t="str">
        <f t="shared" ref="B68:B131" si="5">INDEX(D68:K68,MATCH(template_selected_display_language,$D$3:$K$3,0))</f>
        <v>· B3 - Energy and greenhouse gas emissions</v>
      </c>
      <c r="C68" s="492" t="s">
        <v>8087</v>
      </c>
      <c r="D68" s="441" t="s">
        <v>3691</v>
      </c>
      <c r="E68" s="492" t="s">
        <v>8957</v>
      </c>
      <c r="F68" s="493" t="s">
        <v>7617</v>
      </c>
      <c r="G68" t="s">
        <v>9127</v>
      </c>
      <c r="H68" s="89" t="s">
        <v>6849</v>
      </c>
      <c r="I68" s="89" t="s">
        <v>9012</v>
      </c>
      <c r="J68" s="89" t="s">
        <v>7528</v>
      </c>
      <c r="K68" s="475" t="s">
        <v>9050</v>
      </c>
    </row>
    <row r="69" spans="1:11" x14ac:dyDescent="0.3">
      <c r="A69" s="441" t="s">
        <v>4422</v>
      </c>
      <c r="B69" s="442" t="str">
        <f t="shared" si="5"/>
        <v>Total Energy Consumption (in MWh)</v>
      </c>
      <c r="C69" s="492" t="s">
        <v>8088</v>
      </c>
      <c r="D69" s="441" t="s">
        <v>4385</v>
      </c>
      <c r="E69" s="492" t="s">
        <v>8564</v>
      </c>
      <c r="F69" s="493" t="s">
        <v>7618</v>
      </c>
      <c r="G69" t="s">
        <v>9128</v>
      </c>
      <c r="H69" s="89" t="s">
        <v>6055</v>
      </c>
      <c r="I69" s="89" t="s">
        <v>5915</v>
      </c>
      <c r="J69" s="89" t="s">
        <v>7215</v>
      </c>
      <c r="K69" s="475" t="s">
        <v>5713</v>
      </c>
    </row>
    <row r="70" spans="1:11" x14ac:dyDescent="0.3">
      <c r="A70" s="441" t="s">
        <v>4423</v>
      </c>
      <c r="B70" s="442" t="str">
        <f t="shared" si="5"/>
        <v>Breakdown of energy consumption (in MWh)</v>
      </c>
      <c r="C70" s="492" t="s">
        <v>8089</v>
      </c>
      <c r="D70" s="441" t="s">
        <v>4386</v>
      </c>
      <c r="E70" s="492" t="s">
        <v>8565</v>
      </c>
      <c r="F70" s="493" t="s">
        <v>7619</v>
      </c>
      <c r="G70" t="s">
        <v>9129</v>
      </c>
      <c r="H70" s="89" t="s">
        <v>6850</v>
      </c>
      <c r="I70" s="89" t="s">
        <v>5916</v>
      </c>
      <c r="J70" s="89" t="s">
        <v>7216</v>
      </c>
      <c r="K70" s="475" t="s">
        <v>5714</v>
      </c>
    </row>
    <row r="71" spans="1:11" ht="43.2" x14ac:dyDescent="0.3">
      <c r="A71" s="441" t="s">
        <v>4424</v>
      </c>
      <c r="B71" s="442" t="str">
        <f t="shared" si="5"/>
        <v>Estimated Greenhouse Gas Emissions considering the GHG Protocol Version 2004 (in tCO2e)</v>
      </c>
      <c r="C71" s="492" t="s">
        <v>8090</v>
      </c>
      <c r="D71" s="441" t="s">
        <v>4387</v>
      </c>
      <c r="E71" s="492" t="s">
        <v>8566</v>
      </c>
      <c r="F71" s="493" t="s">
        <v>7620</v>
      </c>
      <c r="G71" t="s">
        <v>9130</v>
      </c>
      <c r="H71" s="89" t="s">
        <v>6851</v>
      </c>
      <c r="I71" s="89" t="s">
        <v>6174</v>
      </c>
      <c r="J71" s="89" t="s">
        <v>7217</v>
      </c>
      <c r="K71" s="475" t="s">
        <v>6556</v>
      </c>
    </row>
    <row r="72" spans="1:11" ht="28.8" x14ac:dyDescent="0.3">
      <c r="A72" s="441" t="s">
        <v>4425</v>
      </c>
      <c r="B72" s="442" t="str">
        <f t="shared" si="5"/>
        <v>Greenhouse gas emission intensity per turnover</v>
      </c>
      <c r="C72" s="492" t="s">
        <v>8091</v>
      </c>
      <c r="D72" s="441" t="s">
        <v>4388</v>
      </c>
      <c r="E72" s="492" t="s">
        <v>8567</v>
      </c>
      <c r="F72" s="493" t="s">
        <v>7621</v>
      </c>
      <c r="G72" t="s">
        <v>9131</v>
      </c>
      <c r="H72" s="89" t="s">
        <v>6852</v>
      </c>
      <c r="I72" s="89" t="s">
        <v>6175</v>
      </c>
      <c r="J72" s="89" t="s">
        <v>5833</v>
      </c>
      <c r="K72" s="475" t="s">
        <v>6557</v>
      </c>
    </row>
    <row r="73" spans="1:11" x14ac:dyDescent="0.3">
      <c r="A73" s="441" t="s">
        <v>4426</v>
      </c>
      <c r="B73" s="442" t="str">
        <f t="shared" si="5"/>
        <v>· B4 - Pollution of air, water and soil</v>
      </c>
      <c r="C73" s="492" t="s">
        <v>8092</v>
      </c>
      <c r="D73" s="441" t="s">
        <v>3692</v>
      </c>
      <c r="E73" s="492" t="s">
        <v>8958</v>
      </c>
      <c r="F73" s="493" t="s">
        <v>7622</v>
      </c>
      <c r="G73" t="s">
        <v>9132</v>
      </c>
      <c r="H73" s="89" t="s">
        <v>8987</v>
      </c>
      <c r="I73" s="89" t="s">
        <v>9013</v>
      </c>
      <c r="J73" s="89" t="s">
        <v>7529</v>
      </c>
      <c r="K73" s="475" t="s">
        <v>9051</v>
      </c>
    </row>
    <row r="74" spans="1:11" ht="43.2" x14ac:dyDescent="0.3">
      <c r="A74" s="441" t="s">
        <v>4427</v>
      </c>
      <c r="B74" s="442" t="str">
        <f t="shared" si="5"/>
        <v>· B5 - Biodiversity</v>
      </c>
      <c r="C74" s="492" t="s">
        <v>8093</v>
      </c>
      <c r="D74" s="441" t="s">
        <v>3669</v>
      </c>
      <c r="E74" s="492" t="s">
        <v>8959</v>
      </c>
      <c r="F74" s="493" t="s">
        <v>7623</v>
      </c>
      <c r="G74" t="s">
        <v>9133</v>
      </c>
      <c r="H74" s="475" t="s">
        <v>8988</v>
      </c>
      <c r="I74" s="89" t="s">
        <v>9014</v>
      </c>
      <c r="J74" s="89" t="s">
        <v>7530</v>
      </c>
      <c r="K74" s="475" t="s">
        <v>9052</v>
      </c>
    </row>
    <row r="75" spans="1:11" ht="28.8" x14ac:dyDescent="0.3">
      <c r="A75" s="441" t="s">
        <v>4428</v>
      </c>
      <c r="B75" s="442" t="str">
        <f t="shared" si="5"/>
        <v>Sites in biodiversity sensitive areas</v>
      </c>
      <c r="C75" s="492" t="s">
        <v>8094</v>
      </c>
      <c r="D75" s="441" t="s">
        <v>4389</v>
      </c>
      <c r="E75" s="492" t="s">
        <v>8568</v>
      </c>
      <c r="F75" s="493" t="s">
        <v>7624</v>
      </c>
      <c r="G75" t="s">
        <v>9134</v>
      </c>
      <c r="H75" s="89" t="s">
        <v>6853</v>
      </c>
      <c r="I75" s="89" t="s">
        <v>6176</v>
      </c>
      <c r="J75" s="89" t="s">
        <v>7219</v>
      </c>
      <c r="K75" s="475" t="s">
        <v>6559</v>
      </c>
    </row>
    <row r="76" spans="1:11" x14ac:dyDescent="0.3">
      <c r="A76" s="441" t="s">
        <v>4429</v>
      </c>
      <c r="B76" s="442" t="str">
        <f t="shared" si="5"/>
        <v>Biodiversity - Land-use</v>
      </c>
      <c r="C76" s="492" t="s">
        <v>8095</v>
      </c>
      <c r="D76" s="441" t="s">
        <v>4390</v>
      </c>
      <c r="E76" s="492" t="s">
        <v>8569</v>
      </c>
      <c r="F76" s="493" t="s">
        <v>7625</v>
      </c>
      <c r="G76" t="s">
        <v>9135</v>
      </c>
      <c r="H76" s="89" t="s">
        <v>6854</v>
      </c>
      <c r="I76" s="89" t="s">
        <v>6177</v>
      </c>
      <c r="J76" s="89" t="s">
        <v>5834</v>
      </c>
      <c r="K76" s="475" t="s">
        <v>5715</v>
      </c>
    </row>
    <row r="77" spans="1:11" x14ac:dyDescent="0.3">
      <c r="A77" s="441" t="s">
        <v>4430</v>
      </c>
      <c r="B77" s="442" t="str">
        <f t="shared" si="5"/>
        <v>· B6 - Water</v>
      </c>
      <c r="C77" s="492" t="s">
        <v>8096</v>
      </c>
      <c r="D77" s="441" t="s">
        <v>3693</v>
      </c>
      <c r="E77" s="492" t="s">
        <v>8960</v>
      </c>
      <c r="F77" s="493" t="s">
        <v>7626</v>
      </c>
      <c r="G77" t="s">
        <v>9136</v>
      </c>
      <c r="H77" s="89" t="s">
        <v>8989</v>
      </c>
      <c r="I77" s="89" t="s">
        <v>9015</v>
      </c>
      <c r="J77" s="89" t="s">
        <v>7531</v>
      </c>
      <c r="K77" s="475" t="s">
        <v>9053</v>
      </c>
    </row>
    <row r="78" spans="1:11" x14ac:dyDescent="0.3">
      <c r="A78" s="441" t="s">
        <v>4431</v>
      </c>
      <c r="B78" s="442" t="str">
        <f t="shared" si="5"/>
        <v>Water Withdrawal</v>
      </c>
      <c r="C78" s="492" t="s">
        <v>8097</v>
      </c>
      <c r="D78" s="441" t="s">
        <v>4391</v>
      </c>
      <c r="E78" s="492" t="s">
        <v>8570</v>
      </c>
      <c r="F78" s="493" t="s">
        <v>7627</v>
      </c>
      <c r="G78" t="s">
        <v>9137</v>
      </c>
      <c r="H78" s="89" t="s">
        <v>6855</v>
      </c>
      <c r="I78" s="89" t="s">
        <v>5917</v>
      </c>
      <c r="J78" s="89" t="s">
        <v>7220</v>
      </c>
      <c r="K78" s="475" t="s">
        <v>5716</v>
      </c>
    </row>
    <row r="79" spans="1:11" x14ac:dyDescent="0.3">
      <c r="A79" s="441" t="s">
        <v>4432</v>
      </c>
      <c r="B79" s="442" t="str">
        <f t="shared" si="5"/>
        <v>Water Consumption</v>
      </c>
      <c r="C79" s="492" t="s">
        <v>8098</v>
      </c>
      <c r="D79" s="441" t="s">
        <v>4392</v>
      </c>
      <c r="E79" s="492" t="s">
        <v>8571</v>
      </c>
      <c r="F79" s="493" t="s">
        <v>7628</v>
      </c>
      <c r="G79" t="s">
        <v>9138</v>
      </c>
      <c r="H79" s="89" t="s">
        <v>5998</v>
      </c>
      <c r="I79" s="89" t="s">
        <v>5918</v>
      </c>
      <c r="J79" s="89" t="s">
        <v>7221</v>
      </c>
      <c r="K79" s="475" t="s">
        <v>5717</v>
      </c>
    </row>
    <row r="80" spans="1:11" ht="28.8" x14ac:dyDescent="0.3">
      <c r="A80" s="441" t="s">
        <v>4433</v>
      </c>
      <c r="B80" s="442" t="str">
        <f t="shared" si="5"/>
        <v>· B7 - Resource use, circular economy and waste management</v>
      </c>
      <c r="C80" s="492" t="s">
        <v>8099</v>
      </c>
      <c r="D80" s="441" t="s">
        <v>3694</v>
      </c>
      <c r="E80" s="492" t="s">
        <v>8961</v>
      </c>
      <c r="F80" s="493" t="s">
        <v>7629</v>
      </c>
      <c r="G80" t="s">
        <v>9139</v>
      </c>
      <c r="H80" s="89" t="s">
        <v>6856</v>
      </c>
      <c r="I80" s="89" t="s">
        <v>9016</v>
      </c>
      <c r="J80" s="89" t="s">
        <v>7521</v>
      </c>
      <c r="K80" s="475" t="s">
        <v>6560</v>
      </c>
    </row>
    <row r="81" spans="1:11" x14ac:dyDescent="0.3">
      <c r="A81" s="441" t="s">
        <v>4434</v>
      </c>
      <c r="B81" s="442" t="str">
        <f t="shared" si="5"/>
        <v>Description of circular economy principles</v>
      </c>
      <c r="C81" s="492" t="s">
        <v>8100</v>
      </c>
      <c r="D81" s="441" t="s">
        <v>4393</v>
      </c>
      <c r="E81" s="492" t="s">
        <v>8572</v>
      </c>
      <c r="F81" s="493" t="s">
        <v>7630</v>
      </c>
      <c r="G81" t="s">
        <v>9140</v>
      </c>
      <c r="H81" s="89" t="s">
        <v>5999</v>
      </c>
      <c r="I81" s="89" t="s">
        <v>6178</v>
      </c>
      <c r="J81" s="89" t="s">
        <v>5835</v>
      </c>
      <c r="K81" s="475" t="s">
        <v>5718</v>
      </c>
    </row>
    <row r="82" spans="1:11" x14ac:dyDescent="0.3">
      <c r="A82" s="441" t="s">
        <v>4435</v>
      </c>
      <c r="B82" s="442" t="str">
        <f t="shared" si="5"/>
        <v>Waste generated</v>
      </c>
      <c r="C82" s="492" t="s">
        <v>8101</v>
      </c>
      <c r="D82" s="441" t="s">
        <v>4394</v>
      </c>
      <c r="E82" s="492" t="s">
        <v>8573</v>
      </c>
      <c r="F82" s="493" t="s">
        <v>7631</v>
      </c>
      <c r="G82" t="s">
        <v>9141</v>
      </c>
      <c r="H82" s="89" t="s">
        <v>6000</v>
      </c>
      <c r="I82" s="89" t="s">
        <v>6179</v>
      </c>
      <c r="J82" s="89" t="s">
        <v>7222</v>
      </c>
      <c r="K82" s="475" t="s">
        <v>5719</v>
      </c>
    </row>
    <row r="83" spans="1:11" ht="28.8" x14ac:dyDescent="0.3">
      <c r="A83" s="441" t="s">
        <v>4436</v>
      </c>
      <c r="B83" s="442" t="str">
        <f t="shared" si="5"/>
        <v>Annual mass-flow of relevant materials used</v>
      </c>
      <c r="C83" s="492" t="s">
        <v>8102</v>
      </c>
      <c r="D83" s="441" t="s">
        <v>4395</v>
      </c>
      <c r="E83" s="501" t="s">
        <v>8574</v>
      </c>
      <c r="F83" s="493" t="s">
        <v>7632</v>
      </c>
      <c r="G83" t="s">
        <v>9142</v>
      </c>
      <c r="H83" s="89" t="s">
        <v>6857</v>
      </c>
      <c r="I83" s="89" t="s">
        <v>6180</v>
      </c>
      <c r="J83" s="89" t="s">
        <v>7223</v>
      </c>
      <c r="K83" s="475" t="s">
        <v>6561</v>
      </c>
    </row>
    <row r="84" spans="1:11" x14ac:dyDescent="0.3">
      <c r="A84" s="441" t="s">
        <v>4437</v>
      </c>
      <c r="B84" s="442" t="str">
        <f t="shared" si="5"/>
        <v>Social Disclosures</v>
      </c>
      <c r="C84" s="492" t="s">
        <v>8103</v>
      </c>
      <c r="D84" s="441" t="s">
        <v>3667</v>
      </c>
      <c r="E84" s="492" t="s">
        <v>8575</v>
      </c>
      <c r="F84" s="493" t="s">
        <v>7633</v>
      </c>
      <c r="G84" t="s">
        <v>9143</v>
      </c>
      <c r="H84" s="89" t="s">
        <v>6858</v>
      </c>
      <c r="I84" s="89" t="s">
        <v>6181</v>
      </c>
      <c r="J84" s="89" t="s">
        <v>7224</v>
      </c>
      <c r="K84" s="475" t="s">
        <v>6562</v>
      </c>
    </row>
    <row r="85" spans="1:11" x14ac:dyDescent="0.3">
      <c r="A85" s="441" t="s">
        <v>4438</v>
      </c>
      <c r="B85" s="442" t="str">
        <f t="shared" si="5"/>
        <v>· B8 - Workforce - General characteristics</v>
      </c>
      <c r="C85" s="492" t="s">
        <v>8104</v>
      </c>
      <c r="D85" s="441" t="s">
        <v>3697</v>
      </c>
      <c r="E85" s="492" t="s">
        <v>8962</v>
      </c>
      <c r="F85" s="493" t="s">
        <v>7634</v>
      </c>
      <c r="G85" t="s">
        <v>9144</v>
      </c>
      <c r="H85" s="89" t="s">
        <v>8990</v>
      </c>
      <c r="I85" s="89" t="s">
        <v>9017</v>
      </c>
      <c r="J85" s="89" t="s">
        <v>7520</v>
      </c>
      <c r="K85" s="475" t="s">
        <v>9054</v>
      </c>
    </row>
    <row r="86" spans="1:11" x14ac:dyDescent="0.3">
      <c r="A86" s="441" t="s">
        <v>4439</v>
      </c>
      <c r="B86" s="442" t="str">
        <f t="shared" si="5"/>
        <v>Type of contract</v>
      </c>
      <c r="C86" s="492" t="s">
        <v>8105</v>
      </c>
      <c r="D86" s="441" t="s">
        <v>22</v>
      </c>
      <c r="E86" s="492" t="s">
        <v>8576</v>
      </c>
      <c r="F86" s="493" t="s">
        <v>7635</v>
      </c>
      <c r="G86" t="s">
        <v>9145</v>
      </c>
      <c r="H86" s="89" t="s">
        <v>6859</v>
      </c>
      <c r="I86" s="89" t="s">
        <v>5919</v>
      </c>
      <c r="J86" s="89" t="s">
        <v>5720</v>
      </c>
      <c r="K86" s="475" t="s">
        <v>5720</v>
      </c>
    </row>
    <row r="87" spans="1:11" x14ac:dyDescent="0.3">
      <c r="A87" s="441" t="s">
        <v>4440</v>
      </c>
      <c r="B87" s="442" t="str">
        <f t="shared" si="5"/>
        <v>Gender</v>
      </c>
      <c r="C87" s="492" t="s">
        <v>8106</v>
      </c>
      <c r="D87" s="441" t="s">
        <v>25</v>
      </c>
      <c r="E87" s="492" t="s">
        <v>8577</v>
      </c>
      <c r="F87" s="493" t="s">
        <v>7636</v>
      </c>
      <c r="G87" t="s">
        <v>9146</v>
      </c>
      <c r="H87" s="89" t="s">
        <v>6001</v>
      </c>
      <c r="I87" s="89" t="s">
        <v>5920</v>
      </c>
      <c r="J87" s="89" t="s">
        <v>5721</v>
      </c>
      <c r="K87" s="475" t="s">
        <v>5721</v>
      </c>
    </row>
    <row r="88" spans="1:11" x14ac:dyDescent="0.3">
      <c r="A88" s="441" t="s">
        <v>4441</v>
      </c>
      <c r="B88" s="442" t="str">
        <f t="shared" si="5"/>
        <v>Country of employment</v>
      </c>
      <c r="C88" s="492" t="s">
        <v>8107</v>
      </c>
      <c r="D88" s="441" t="s">
        <v>4396</v>
      </c>
      <c r="E88" s="492" t="s">
        <v>8578</v>
      </c>
      <c r="F88" s="493" t="s">
        <v>7637</v>
      </c>
      <c r="G88" t="s">
        <v>9147</v>
      </c>
      <c r="H88" s="89" t="s">
        <v>6860</v>
      </c>
      <c r="I88" s="89" t="s">
        <v>5921</v>
      </c>
      <c r="J88" s="89" t="s">
        <v>5836</v>
      </c>
      <c r="K88" s="475" t="s">
        <v>5722</v>
      </c>
    </row>
    <row r="89" spans="1:11" x14ac:dyDescent="0.3">
      <c r="A89" s="441" t="s">
        <v>4442</v>
      </c>
      <c r="B89" s="442" t="str">
        <f t="shared" si="5"/>
        <v>Turnover rate</v>
      </c>
      <c r="C89" s="492" t="s">
        <v>8108</v>
      </c>
      <c r="D89" s="441" t="s">
        <v>4397</v>
      </c>
      <c r="E89" s="492" t="s">
        <v>8579</v>
      </c>
      <c r="F89" s="493" t="s">
        <v>7638</v>
      </c>
      <c r="G89" t="s">
        <v>9148</v>
      </c>
      <c r="H89" s="89" t="s">
        <v>6002</v>
      </c>
      <c r="I89" s="89" t="s">
        <v>5922</v>
      </c>
      <c r="J89" s="89" t="s">
        <v>5837</v>
      </c>
      <c r="K89" s="475" t="s">
        <v>5723</v>
      </c>
    </row>
    <row r="90" spans="1:11" x14ac:dyDescent="0.3">
      <c r="A90" s="441" t="s">
        <v>4443</v>
      </c>
      <c r="B90" s="442" t="str">
        <f t="shared" si="5"/>
        <v>· B9 - Workforce – Health and safety</v>
      </c>
      <c r="C90" s="492" t="s">
        <v>8109</v>
      </c>
      <c r="D90" s="441" t="s">
        <v>3698</v>
      </c>
      <c r="E90" s="492" t="s">
        <v>8963</v>
      </c>
      <c r="F90" s="493" t="s">
        <v>7639</v>
      </c>
      <c r="G90" t="s">
        <v>9149</v>
      </c>
      <c r="H90" s="89" t="s">
        <v>8991</v>
      </c>
      <c r="I90" s="89" t="s">
        <v>9018</v>
      </c>
      <c r="J90" s="89" t="s">
        <v>7519</v>
      </c>
      <c r="K90" s="475" t="s">
        <v>9055</v>
      </c>
    </row>
    <row r="91" spans="1:11" ht="28.8" x14ac:dyDescent="0.3">
      <c r="A91" s="441" t="s">
        <v>4444</v>
      </c>
      <c r="B91" s="442" t="str">
        <f t="shared" si="5"/>
        <v>· B10 - Workforce – Remuneration, collective bargaining and training</v>
      </c>
      <c r="C91" s="492" t="s">
        <v>8110</v>
      </c>
      <c r="D91" s="441" t="s">
        <v>4398</v>
      </c>
      <c r="E91" s="492" t="s">
        <v>8964</v>
      </c>
      <c r="F91" s="493" t="s">
        <v>7640</v>
      </c>
      <c r="G91" t="s">
        <v>9150</v>
      </c>
      <c r="H91" s="89" t="s">
        <v>8992</v>
      </c>
      <c r="I91" s="89" t="s">
        <v>9019</v>
      </c>
      <c r="J91" s="89" t="s">
        <v>6091</v>
      </c>
      <c r="K91" s="475" t="s">
        <v>9056</v>
      </c>
    </row>
    <row r="92" spans="1:11" x14ac:dyDescent="0.3">
      <c r="A92" s="441" t="s">
        <v>4445</v>
      </c>
      <c r="B92" s="442" t="str">
        <f t="shared" si="5"/>
        <v>Governance Disclosures</v>
      </c>
      <c r="C92" s="492" t="s">
        <v>8111</v>
      </c>
      <c r="D92" s="441" t="s">
        <v>3668</v>
      </c>
      <c r="E92" s="492" t="s">
        <v>8581</v>
      </c>
      <c r="F92" s="493" t="s">
        <v>7641</v>
      </c>
      <c r="G92" t="s">
        <v>9151</v>
      </c>
      <c r="H92" s="89" t="s">
        <v>6861</v>
      </c>
      <c r="I92" s="89" t="s">
        <v>6183</v>
      </c>
      <c r="J92" s="89" t="s">
        <v>7226</v>
      </c>
      <c r="K92" s="475" t="s">
        <v>6482</v>
      </c>
    </row>
    <row r="93" spans="1:11" ht="28.8" x14ac:dyDescent="0.3">
      <c r="A93" s="441" t="s">
        <v>4446</v>
      </c>
      <c r="B93" s="442" t="str">
        <f t="shared" si="5"/>
        <v>· B11 - Convictions and fines for corruption and bribery</v>
      </c>
      <c r="C93" s="492" t="s">
        <v>8112</v>
      </c>
      <c r="D93" s="441" t="s">
        <v>3703</v>
      </c>
      <c r="E93" s="492" t="s">
        <v>8965</v>
      </c>
      <c r="F93" s="493" t="s">
        <v>7642</v>
      </c>
      <c r="G93" t="s">
        <v>9152</v>
      </c>
      <c r="H93" s="89" t="s">
        <v>8993</v>
      </c>
      <c r="I93" s="89" t="s">
        <v>9020</v>
      </c>
      <c r="J93" s="89" t="s">
        <v>7518</v>
      </c>
      <c r="K93" s="475" t="s">
        <v>9057</v>
      </c>
    </row>
    <row r="94" spans="1:11" x14ac:dyDescent="0.3">
      <c r="A94" s="441" t="s">
        <v>4447</v>
      </c>
      <c r="B94" s="442" t="str">
        <f t="shared" si="5"/>
        <v>Comprehensive Module</v>
      </c>
      <c r="C94" s="492" t="s">
        <v>8113</v>
      </c>
      <c r="D94" s="441" t="s">
        <v>2885</v>
      </c>
      <c r="E94" s="492" t="s">
        <v>8537</v>
      </c>
      <c r="F94" s="493" t="s">
        <v>7589</v>
      </c>
      <c r="G94" t="s">
        <v>9153</v>
      </c>
      <c r="H94" s="89" t="s">
        <v>6862</v>
      </c>
      <c r="I94" s="89" t="s">
        <v>6154</v>
      </c>
      <c r="J94" s="89" t="s">
        <v>7227</v>
      </c>
      <c r="K94" s="475" t="s">
        <v>5708</v>
      </c>
    </row>
    <row r="95" spans="1:11" ht="57.6" x14ac:dyDescent="0.3">
      <c r="A95" s="441" t="s">
        <v>4448</v>
      </c>
      <c r="B95" s="442" t="str">
        <f t="shared" si="5"/>
        <v>· C1 - Strategy: Business Model and Sustainability – Related Initiatives</v>
      </c>
      <c r="C95" s="492" t="s">
        <v>8114</v>
      </c>
      <c r="D95" s="441" t="s">
        <v>3688</v>
      </c>
      <c r="E95" s="492" t="s">
        <v>8966</v>
      </c>
      <c r="F95" s="493" t="s">
        <v>7643</v>
      </c>
      <c r="G95" t="s">
        <v>9154</v>
      </c>
      <c r="H95" s="89" t="s">
        <v>8994</v>
      </c>
      <c r="I95" s="89" t="s">
        <v>9021</v>
      </c>
      <c r="J95" s="89" t="s">
        <v>7228</v>
      </c>
      <c r="K95" s="475" t="s">
        <v>6505</v>
      </c>
    </row>
    <row r="96" spans="1:11" ht="43.2" x14ac:dyDescent="0.3">
      <c r="A96" s="441" t="s">
        <v>4449</v>
      </c>
      <c r="B96" s="442" t="str">
        <f t="shared" si="5"/>
        <v>· C2 - Description of practices, policies and future initiatives for transitioning towards a more sustainable economy</v>
      </c>
      <c r="C96" s="492" t="s">
        <v>8115</v>
      </c>
      <c r="D96" s="441" t="s">
        <v>3689</v>
      </c>
      <c r="E96" s="492" t="s">
        <v>8967</v>
      </c>
      <c r="F96" s="493" t="s">
        <v>7644</v>
      </c>
      <c r="G96" t="s">
        <v>9155</v>
      </c>
      <c r="H96" s="89" t="s">
        <v>8995</v>
      </c>
      <c r="I96" s="89" t="s">
        <v>9022</v>
      </c>
      <c r="J96" s="89" t="s">
        <v>5838</v>
      </c>
      <c r="K96" s="475" t="s">
        <v>6787</v>
      </c>
    </row>
    <row r="97" spans="1:11" ht="28.8" x14ac:dyDescent="0.3">
      <c r="A97" s="441" t="s">
        <v>4450</v>
      </c>
      <c r="B97" s="442" t="str">
        <f t="shared" si="5"/>
        <v>· C3 - GHG reduction targets and climate transition</v>
      </c>
      <c r="C97" s="492" t="s">
        <v>8116</v>
      </c>
      <c r="D97" s="441" t="s">
        <v>3695</v>
      </c>
      <c r="E97" s="492" t="s">
        <v>8968</v>
      </c>
      <c r="F97" s="493" t="s">
        <v>7645</v>
      </c>
      <c r="G97" t="s">
        <v>9156</v>
      </c>
      <c r="H97" s="89" t="s">
        <v>8996</v>
      </c>
      <c r="I97" s="89" t="s">
        <v>9023</v>
      </c>
      <c r="J97" s="89" t="s">
        <v>7229</v>
      </c>
      <c r="K97" s="475" t="s">
        <v>6564</v>
      </c>
    </row>
    <row r="98" spans="1:11" x14ac:dyDescent="0.3">
      <c r="A98" s="441" t="s">
        <v>4451</v>
      </c>
      <c r="B98" s="442" t="str">
        <f t="shared" si="5"/>
        <v>GHG reduction targets (in tC02e)</v>
      </c>
      <c r="C98" s="492" t="s">
        <v>8117</v>
      </c>
      <c r="D98" s="441" t="s">
        <v>4399</v>
      </c>
      <c r="E98" s="474" t="s">
        <v>8584</v>
      </c>
      <c r="F98" s="493" t="s">
        <v>7646</v>
      </c>
      <c r="G98" t="s">
        <v>9157</v>
      </c>
      <c r="H98" s="89" t="s">
        <v>6863</v>
      </c>
      <c r="I98" s="89" t="s">
        <v>6185</v>
      </c>
      <c r="J98" s="89" t="s">
        <v>7282</v>
      </c>
      <c r="K98" s="475" t="s">
        <v>6565</v>
      </c>
    </row>
    <row r="99" spans="1:11" ht="28.8" x14ac:dyDescent="0.3">
      <c r="A99" s="441" t="s">
        <v>4452</v>
      </c>
      <c r="B99" s="442" t="str">
        <f t="shared" si="5"/>
        <v>Disclosure of list of main actions the entity seeks in order  to achieve its targets</v>
      </c>
      <c r="C99" s="492" t="s">
        <v>8118</v>
      </c>
      <c r="D99" s="441" t="s">
        <v>4400</v>
      </c>
      <c r="E99" s="492" t="s">
        <v>8585</v>
      </c>
      <c r="F99" s="493" t="s">
        <v>7647</v>
      </c>
      <c r="G99" t="s">
        <v>9158</v>
      </c>
      <c r="H99" s="89" t="s">
        <v>6864</v>
      </c>
      <c r="I99" s="89" t="s">
        <v>6186</v>
      </c>
      <c r="J99" s="89" t="s">
        <v>7230</v>
      </c>
      <c r="K99" s="475" t="s">
        <v>6566</v>
      </c>
    </row>
    <row r="100" spans="1:11" ht="28.8" x14ac:dyDescent="0.3">
      <c r="A100" s="441" t="s">
        <v>4453</v>
      </c>
      <c r="B100" s="442" t="str">
        <f t="shared" si="5"/>
        <v>Transition plan for undertakings operating in high climate impact sectors</v>
      </c>
      <c r="C100" s="492" t="s">
        <v>8119</v>
      </c>
      <c r="D100" s="441" t="s">
        <v>4401</v>
      </c>
      <c r="E100" s="492" t="s">
        <v>8586</v>
      </c>
      <c r="F100" s="493" t="s">
        <v>7648</v>
      </c>
      <c r="G100" t="s">
        <v>9159</v>
      </c>
      <c r="H100" s="89" t="s">
        <v>6865</v>
      </c>
      <c r="I100" s="89" t="s">
        <v>6187</v>
      </c>
      <c r="J100" s="89" t="s">
        <v>5839</v>
      </c>
      <c r="K100" s="475" t="s">
        <v>6567</v>
      </c>
    </row>
    <row r="101" spans="1:11" x14ac:dyDescent="0.3">
      <c r="A101" s="441" t="s">
        <v>4454</v>
      </c>
      <c r="B101" s="442" t="str">
        <f t="shared" si="5"/>
        <v>· C4 - Climate risks</v>
      </c>
      <c r="C101" s="492" t="s">
        <v>8120</v>
      </c>
      <c r="D101" s="441" t="s">
        <v>3696</v>
      </c>
      <c r="E101" s="492" t="s">
        <v>8969</v>
      </c>
      <c r="F101" s="493" t="s">
        <v>7649</v>
      </c>
      <c r="G101" t="s">
        <v>9160</v>
      </c>
      <c r="H101" s="89" t="s">
        <v>8997</v>
      </c>
      <c r="I101" s="89" t="s">
        <v>9024</v>
      </c>
      <c r="J101" s="89" t="s">
        <v>7517</v>
      </c>
      <c r="K101" s="475" t="s">
        <v>5724</v>
      </c>
    </row>
    <row r="102" spans="1:11" ht="28.8" x14ac:dyDescent="0.3">
      <c r="A102" s="441" t="s">
        <v>4455</v>
      </c>
      <c r="B102" s="442" t="str">
        <f t="shared" si="5"/>
        <v>· C5 - Additional (general) workforce characteristics</v>
      </c>
      <c r="C102" s="492" t="s">
        <v>8121</v>
      </c>
      <c r="D102" s="441" t="s">
        <v>3699</v>
      </c>
      <c r="E102" s="492" t="s">
        <v>8970</v>
      </c>
      <c r="F102" s="493" t="s">
        <v>7650</v>
      </c>
      <c r="G102" t="s">
        <v>9161</v>
      </c>
      <c r="H102" s="89" t="s">
        <v>6866</v>
      </c>
      <c r="I102" s="89" t="s">
        <v>9025</v>
      </c>
      <c r="J102" s="89" t="s">
        <v>7232</v>
      </c>
      <c r="K102" s="475" t="s">
        <v>9058</v>
      </c>
    </row>
    <row r="103" spans="1:11" ht="43.2" x14ac:dyDescent="0.3">
      <c r="A103" s="441" t="s">
        <v>4456</v>
      </c>
      <c r="B103" s="442" t="str">
        <f t="shared" si="5"/>
        <v>· C6 - Additional own workforce information - Human rights policies and processes</v>
      </c>
      <c r="C103" s="492" t="s">
        <v>8122</v>
      </c>
      <c r="D103" s="441" t="s">
        <v>3700</v>
      </c>
      <c r="E103" s="492" t="s">
        <v>8971</v>
      </c>
      <c r="F103" s="493" t="s">
        <v>7651</v>
      </c>
      <c r="G103" t="s">
        <v>9162</v>
      </c>
      <c r="H103" s="89" t="s">
        <v>8998</v>
      </c>
      <c r="I103" s="89" t="s">
        <v>9026</v>
      </c>
      <c r="J103" s="89" t="s">
        <v>7233</v>
      </c>
      <c r="K103" s="475" t="s">
        <v>9059</v>
      </c>
    </row>
    <row r="104" spans="1:11" ht="28.8" x14ac:dyDescent="0.3">
      <c r="A104" s="441" t="s">
        <v>4457</v>
      </c>
      <c r="B104" s="442" t="str">
        <f t="shared" si="5"/>
        <v>· C7 - Severe negative human rights incidents</v>
      </c>
      <c r="C104" s="492" t="s">
        <v>8123</v>
      </c>
      <c r="D104" s="441" t="s">
        <v>3701</v>
      </c>
      <c r="E104" s="492" t="s">
        <v>8972</v>
      </c>
      <c r="F104" s="493" t="s">
        <v>7652</v>
      </c>
      <c r="G104" t="s">
        <v>9163</v>
      </c>
      <c r="H104" s="89" t="s">
        <v>8999</v>
      </c>
      <c r="I104" s="89" t="s">
        <v>9027</v>
      </c>
      <c r="J104" s="89" t="s">
        <v>7234</v>
      </c>
      <c r="K104" s="475" t="s">
        <v>6570</v>
      </c>
    </row>
    <row r="105" spans="1:11" ht="28.8" x14ac:dyDescent="0.3">
      <c r="A105" s="441" t="s">
        <v>4458</v>
      </c>
      <c r="B105" s="442" t="str">
        <f t="shared" si="5"/>
        <v>· C8 - Revenues from certain activities and exclusion from EU reference benchmarks</v>
      </c>
      <c r="C105" s="492" t="s">
        <v>8124</v>
      </c>
      <c r="D105" s="441" t="s">
        <v>6464</v>
      </c>
      <c r="E105" s="492" t="s">
        <v>8973</v>
      </c>
      <c r="F105" s="493" t="s">
        <v>7653</v>
      </c>
      <c r="G105" t="s">
        <v>9164</v>
      </c>
      <c r="H105" s="89" t="s">
        <v>9000</v>
      </c>
      <c r="I105" s="89" t="s">
        <v>9028</v>
      </c>
      <c r="J105" s="89" t="s">
        <v>7541</v>
      </c>
      <c r="K105" s="475" t="s">
        <v>9060</v>
      </c>
    </row>
    <row r="106" spans="1:11" x14ac:dyDescent="0.3">
      <c r="A106" s="441" t="s">
        <v>4459</v>
      </c>
      <c r="B106" s="442" t="str">
        <f t="shared" si="5"/>
        <v>Revenues from certain activities</v>
      </c>
      <c r="C106" s="492" t="s">
        <v>8125</v>
      </c>
      <c r="D106" s="441" t="s">
        <v>6465</v>
      </c>
      <c r="E106" s="492" t="s">
        <v>8590</v>
      </c>
      <c r="F106" s="493" t="s">
        <v>7654</v>
      </c>
      <c r="G106" t="s">
        <v>9165</v>
      </c>
      <c r="H106" t="s">
        <v>7172</v>
      </c>
      <c r="I106" s="89" t="s">
        <v>6191</v>
      </c>
      <c r="J106" s="89" t="s">
        <v>7540</v>
      </c>
      <c r="K106" s="475" t="s">
        <v>6801</v>
      </c>
    </row>
    <row r="107" spans="1:11" x14ac:dyDescent="0.3">
      <c r="A107" s="441" t="s">
        <v>4460</v>
      </c>
      <c r="B107" s="442" t="str">
        <f t="shared" si="5"/>
        <v>Exclusion from EU reference benchmarks</v>
      </c>
      <c r="C107" s="492" t="s">
        <v>8126</v>
      </c>
      <c r="D107" s="441" t="s">
        <v>4402</v>
      </c>
      <c r="E107" s="492" t="s">
        <v>8591</v>
      </c>
      <c r="F107" s="493" t="s">
        <v>7655</v>
      </c>
      <c r="G107" t="s">
        <v>9166</v>
      </c>
      <c r="H107" s="89" t="s">
        <v>6867</v>
      </c>
      <c r="I107" s="89" t="s">
        <v>5923</v>
      </c>
      <c r="J107" s="89" t="s">
        <v>5840</v>
      </c>
      <c r="K107" s="475" t="s">
        <v>5725</v>
      </c>
    </row>
    <row r="108" spans="1:11" x14ac:dyDescent="0.3">
      <c r="A108" s="441" t="s">
        <v>4461</v>
      </c>
      <c r="B108" s="442" t="str">
        <f t="shared" si="5"/>
        <v>· C9 - Gender diversity ratio in the governance body</v>
      </c>
      <c r="C108" s="492" t="s">
        <v>8127</v>
      </c>
      <c r="D108" s="441" t="s">
        <v>3704</v>
      </c>
      <c r="E108" s="492" t="s">
        <v>8974</v>
      </c>
      <c r="F108" s="493" t="s">
        <v>7656</v>
      </c>
      <c r="G108" t="s">
        <v>9167</v>
      </c>
      <c r="H108" s="89" t="s">
        <v>9001</v>
      </c>
      <c r="I108" s="89" t="s">
        <v>9029</v>
      </c>
      <c r="J108" s="89" t="s">
        <v>5841</v>
      </c>
      <c r="K108" s="475" t="s">
        <v>9061</v>
      </c>
    </row>
    <row r="109" spans="1:11" x14ac:dyDescent="0.3">
      <c r="A109" s="441" t="s">
        <v>4462</v>
      </c>
      <c r="B109" s="442" t="str">
        <f t="shared" si="5"/>
        <v>Additional Disclosures</v>
      </c>
      <c r="C109" s="492" t="s">
        <v>8128</v>
      </c>
      <c r="D109" s="441" t="s">
        <v>3723</v>
      </c>
      <c r="E109" s="492" t="s">
        <v>8593</v>
      </c>
      <c r="F109" s="493" t="s">
        <v>7657</v>
      </c>
      <c r="G109" t="s">
        <v>9168</v>
      </c>
      <c r="H109" s="89" t="s">
        <v>6868</v>
      </c>
      <c r="I109" s="89" t="s">
        <v>6192</v>
      </c>
      <c r="J109" s="89" t="s">
        <v>7235</v>
      </c>
      <c r="K109" s="475" t="s">
        <v>5726</v>
      </c>
    </row>
    <row r="110" spans="1:11" ht="57.6" x14ac:dyDescent="0.3">
      <c r="A110" s="441" t="s">
        <v>4463</v>
      </c>
      <c r="B110" s="442" t="str">
        <f t="shared" si="5"/>
        <v>· Disclosure of any other general and/or entity specific information on the reporting period</v>
      </c>
      <c r="C110" s="492" t="s">
        <v>8129</v>
      </c>
      <c r="D110" s="441" t="s">
        <v>3690</v>
      </c>
      <c r="E110" s="492" t="s">
        <v>8975</v>
      </c>
      <c r="F110" s="493" t="s">
        <v>7658</v>
      </c>
      <c r="G110" t="s">
        <v>9169</v>
      </c>
      <c r="H110" s="89" t="s">
        <v>6869</v>
      </c>
      <c r="I110" s="89" t="s">
        <v>9030</v>
      </c>
      <c r="J110" s="89" t="s">
        <v>9043</v>
      </c>
      <c r="K110" s="475" t="s">
        <v>9062</v>
      </c>
    </row>
    <row r="111" spans="1:11" ht="28.8" x14ac:dyDescent="0.3">
      <c r="A111" s="441" t="s">
        <v>4464</v>
      </c>
      <c r="B111" s="442" t="str">
        <f t="shared" si="5"/>
        <v>· Disclosure of any other environmental and/or entity specific environmental disclosures</v>
      </c>
      <c r="C111" s="492" t="s">
        <v>8130</v>
      </c>
      <c r="D111" s="441" t="s">
        <v>4403</v>
      </c>
      <c r="E111" s="492" t="s">
        <v>8976</v>
      </c>
      <c r="F111" s="493" t="s">
        <v>7659</v>
      </c>
      <c r="G111" t="s">
        <v>9170</v>
      </c>
      <c r="H111" s="89" t="s">
        <v>6870</v>
      </c>
      <c r="I111" s="89" t="s">
        <v>9031</v>
      </c>
      <c r="J111" s="89" t="s">
        <v>9044</v>
      </c>
      <c r="K111" s="475" t="s">
        <v>9063</v>
      </c>
    </row>
    <row r="112" spans="1:11" ht="28.8" x14ac:dyDescent="0.3">
      <c r="A112" s="441" t="s">
        <v>4465</v>
      </c>
      <c r="B112" s="442" t="str">
        <f t="shared" si="5"/>
        <v>· Disclosure of any other social and/or entity specific social disclosures</v>
      </c>
      <c r="C112" s="492" t="s">
        <v>8131</v>
      </c>
      <c r="D112" s="441" t="s">
        <v>3702</v>
      </c>
      <c r="E112" s="492" t="s">
        <v>8977</v>
      </c>
      <c r="F112" s="493" t="s">
        <v>7660</v>
      </c>
      <c r="G112" t="s">
        <v>9171</v>
      </c>
      <c r="H112" s="89" t="s">
        <v>6871</v>
      </c>
      <c r="I112" s="89" t="s">
        <v>9032</v>
      </c>
      <c r="J112" s="89" t="s">
        <v>9045</v>
      </c>
      <c r="K112" s="475" t="s">
        <v>9064</v>
      </c>
    </row>
    <row r="113" spans="1:11" s="12" customFormat="1" ht="29.4" thickBot="1" x14ac:dyDescent="0.35">
      <c r="A113" s="453" t="s">
        <v>4466</v>
      </c>
      <c r="B113" s="476" t="str">
        <f t="shared" si="5"/>
        <v>· Disclosure of any other governance and/or entity specific governance disclosures</v>
      </c>
      <c r="C113" s="500" t="s">
        <v>8132</v>
      </c>
      <c r="D113" s="453" t="s">
        <v>3705</v>
      </c>
      <c r="E113" s="500" t="s">
        <v>8978</v>
      </c>
      <c r="F113" s="494" t="s">
        <v>7661</v>
      </c>
      <c r="G113" s="12" t="s">
        <v>9172</v>
      </c>
      <c r="H113" s="443" t="s">
        <v>6872</v>
      </c>
      <c r="I113" s="443" t="s">
        <v>9033</v>
      </c>
      <c r="J113" s="443" t="s">
        <v>9046</v>
      </c>
      <c r="K113" s="498" t="s">
        <v>6507</v>
      </c>
    </row>
    <row r="114" spans="1:11" x14ac:dyDescent="0.3">
      <c r="A114" t="s">
        <v>4078</v>
      </c>
      <c r="B114" s="442" t="str">
        <f t="shared" si="5"/>
        <v>Paragraph Reference</v>
      </c>
      <c r="C114" s="492" t="s">
        <v>8133</v>
      </c>
      <c r="D114" t="s">
        <v>3729</v>
      </c>
      <c r="E114" s="492" t="s">
        <v>8597</v>
      </c>
      <c r="F114" s="493" t="s">
        <v>7662</v>
      </c>
      <c r="G114" t="s">
        <v>9173</v>
      </c>
      <c r="H114" s="89" t="s">
        <v>6003</v>
      </c>
      <c r="I114" s="89" t="s">
        <v>6194</v>
      </c>
      <c r="J114" s="89" t="s">
        <v>7236</v>
      </c>
      <c r="K114" s="475" t="s">
        <v>6572</v>
      </c>
    </row>
    <row r="115" spans="1:11" x14ac:dyDescent="0.3">
      <c r="A115" t="s">
        <v>4079</v>
      </c>
      <c r="B115" s="442" t="str">
        <f t="shared" si="5"/>
        <v>Paragraph Guidance Reference</v>
      </c>
      <c r="C115" s="492" t="s">
        <v>8134</v>
      </c>
      <c r="D115" t="s">
        <v>3728</v>
      </c>
      <c r="E115" s="492" t="s">
        <v>8598</v>
      </c>
      <c r="F115" s="493" t="s">
        <v>7663</v>
      </c>
      <c r="G115" t="s">
        <v>9174</v>
      </c>
      <c r="H115" s="89" t="s">
        <v>6873</v>
      </c>
      <c r="I115" s="89" t="s">
        <v>6195</v>
      </c>
      <c r="J115" s="89" t="s">
        <v>7237</v>
      </c>
      <c r="K115" s="475" t="s">
        <v>6483</v>
      </c>
    </row>
    <row r="116" spans="1:11" x14ac:dyDescent="0.3">
      <c r="A116" t="s">
        <v>4368</v>
      </c>
      <c r="B116" s="442" t="str">
        <f t="shared" si="5"/>
        <v>from</v>
      </c>
      <c r="C116" s="492" t="s">
        <v>8135</v>
      </c>
      <c r="D116" t="s">
        <v>4371</v>
      </c>
      <c r="E116" s="492" t="s">
        <v>8599</v>
      </c>
      <c r="F116" s="493" t="s">
        <v>7664</v>
      </c>
      <c r="G116" t="s">
        <v>8954</v>
      </c>
      <c r="H116" s="89" t="s">
        <v>6056</v>
      </c>
      <c r="I116" s="89" t="s">
        <v>5822</v>
      </c>
      <c r="J116" s="89" t="s">
        <v>4626</v>
      </c>
      <c r="K116" s="475" t="s">
        <v>4626</v>
      </c>
    </row>
    <row r="117" spans="1:11" x14ac:dyDescent="0.3">
      <c r="A117" t="s">
        <v>4369</v>
      </c>
      <c r="B117" s="442" t="str">
        <f t="shared" si="5"/>
        <v>to</v>
      </c>
      <c r="C117" s="492" t="s">
        <v>8136</v>
      </c>
      <c r="D117" t="s">
        <v>2930</v>
      </c>
      <c r="E117" s="492" t="s">
        <v>8600</v>
      </c>
      <c r="F117" s="493" t="s">
        <v>7665</v>
      </c>
      <c r="G117" t="s">
        <v>5697</v>
      </c>
      <c r="H117" s="89" t="s">
        <v>6004</v>
      </c>
      <c r="I117" s="89" t="s">
        <v>5690</v>
      </c>
      <c r="J117" s="89" t="s">
        <v>7238</v>
      </c>
      <c r="K117" s="475" t="s">
        <v>5697</v>
      </c>
    </row>
    <row r="118" spans="1:11" s="12" customFormat="1" ht="43.8" thickBot="1" x14ac:dyDescent="0.35">
      <c r="A118" s="12" t="s">
        <v>4370</v>
      </c>
      <c r="B118" s="476" t="str">
        <f t="shared" si="5"/>
        <v>at</v>
      </c>
      <c r="C118" s="500" t="s">
        <v>8137</v>
      </c>
      <c r="D118" s="12" t="s">
        <v>4372</v>
      </c>
      <c r="E118" s="500" t="s">
        <v>8601</v>
      </c>
      <c r="F118" s="494" t="s">
        <v>7666</v>
      </c>
      <c r="G118" s="12" t="s">
        <v>5697</v>
      </c>
      <c r="H118" s="443" t="s">
        <v>6874</v>
      </c>
      <c r="I118" s="443" t="s">
        <v>6196</v>
      </c>
      <c r="J118" s="443" t="s">
        <v>5842</v>
      </c>
      <c r="K118" s="498" t="s">
        <v>3949</v>
      </c>
    </row>
    <row r="119" spans="1:11" ht="43.2" x14ac:dyDescent="0.3">
      <c r="A119" t="s">
        <v>4080</v>
      </c>
      <c r="B119" s="442" t="str">
        <f t="shared" si="5"/>
        <v>[Always to be reported]</v>
      </c>
      <c r="C119" s="492" t="s">
        <v>8138</v>
      </c>
      <c r="D119" t="s">
        <v>3991</v>
      </c>
      <c r="E119" s="492" t="s">
        <v>8602</v>
      </c>
      <c r="F119" s="493" t="s">
        <v>7667</v>
      </c>
      <c r="G119" t="s">
        <v>9175</v>
      </c>
      <c r="H119" s="89" t="s">
        <v>6875</v>
      </c>
      <c r="I119" s="89" t="s">
        <v>5924</v>
      </c>
      <c r="J119" s="89" t="s">
        <v>7239</v>
      </c>
      <c r="K119" s="475" t="s">
        <v>6484</v>
      </c>
    </row>
    <row r="120" spans="1:11" x14ac:dyDescent="0.3">
      <c r="A120" t="s">
        <v>4081</v>
      </c>
      <c r="B120" s="442" t="str">
        <f t="shared" si="5"/>
        <v>[If applicable]</v>
      </c>
      <c r="C120" s="492" t="s">
        <v>8139</v>
      </c>
      <c r="D120" t="s">
        <v>3995</v>
      </c>
      <c r="E120" s="492" t="s">
        <v>8603</v>
      </c>
      <c r="F120" s="493" t="s">
        <v>7668</v>
      </c>
      <c r="G120" t="s">
        <v>9176</v>
      </c>
      <c r="H120" s="89" t="s">
        <v>6876</v>
      </c>
      <c r="I120" s="89" t="s">
        <v>6197</v>
      </c>
      <c r="J120" s="89" t="s">
        <v>5843</v>
      </c>
      <c r="K120" s="475" t="s">
        <v>6573</v>
      </c>
    </row>
    <row r="121" spans="1:11" x14ac:dyDescent="0.3">
      <c r="A121" t="s">
        <v>4082</v>
      </c>
      <c r="B121" s="442" t="str">
        <f t="shared" si="5"/>
        <v>[May (optional)]</v>
      </c>
      <c r="C121" s="492" t="s">
        <v>8140</v>
      </c>
      <c r="D121" t="s">
        <v>3996</v>
      </c>
      <c r="E121" s="492" t="s">
        <v>8604</v>
      </c>
      <c r="F121" s="493" t="s">
        <v>7669</v>
      </c>
      <c r="G121" t="s">
        <v>9177</v>
      </c>
      <c r="H121" s="89" t="s">
        <v>6877</v>
      </c>
      <c r="I121" s="89" t="s">
        <v>5925</v>
      </c>
      <c r="J121" s="89" t="s">
        <v>7240</v>
      </c>
      <c r="K121" s="475" t="s">
        <v>6485</v>
      </c>
    </row>
    <row r="122" spans="1:11" x14ac:dyDescent="0.3">
      <c r="A122" t="s">
        <v>4378</v>
      </c>
      <c r="B122" s="442" t="str">
        <f t="shared" si="5"/>
        <v>May (optional)</v>
      </c>
      <c r="C122" s="492" t="s">
        <v>8141</v>
      </c>
      <c r="D122" t="s">
        <v>4377</v>
      </c>
      <c r="E122" s="492" t="s">
        <v>8605</v>
      </c>
      <c r="F122" s="493" t="s">
        <v>7670</v>
      </c>
      <c r="G122" t="s">
        <v>9178</v>
      </c>
      <c r="H122" s="89" t="s">
        <v>6878</v>
      </c>
      <c r="I122" s="89" t="s">
        <v>5926</v>
      </c>
      <c r="J122" s="89" t="s">
        <v>7240</v>
      </c>
      <c r="K122" s="475" t="s">
        <v>6486</v>
      </c>
    </row>
    <row r="123" spans="1:11" x14ac:dyDescent="0.3">
      <c r="A123" t="s">
        <v>4083</v>
      </c>
      <c r="B123" s="442" t="str">
        <f t="shared" si="5"/>
        <v>[Always to be reported + If applicable]</v>
      </c>
      <c r="C123" s="492" t="s">
        <v>8142</v>
      </c>
      <c r="D123" t="s">
        <v>3999</v>
      </c>
      <c r="E123" s="492" t="s">
        <v>8606</v>
      </c>
      <c r="F123" s="493" t="s">
        <v>7671</v>
      </c>
      <c r="G123" t="s">
        <v>9179</v>
      </c>
      <c r="H123" s="89" t="s">
        <v>6879</v>
      </c>
      <c r="I123" s="89" t="s">
        <v>6198</v>
      </c>
      <c r="J123" s="89" t="s">
        <v>7241</v>
      </c>
      <c r="K123" s="475" t="s">
        <v>6574</v>
      </c>
    </row>
    <row r="124" spans="1:11" x14ac:dyDescent="0.3">
      <c r="A124" t="s">
        <v>4366</v>
      </c>
      <c r="B124" s="442" t="str">
        <f t="shared" si="5"/>
        <v>[If applicable linked with B2]</v>
      </c>
      <c r="C124" s="492" t="s">
        <v>8143</v>
      </c>
      <c r="D124" t="s">
        <v>4365</v>
      </c>
      <c r="E124" s="492" t="s">
        <v>8607</v>
      </c>
      <c r="F124" s="493" t="s">
        <v>7672</v>
      </c>
      <c r="G124" t="s">
        <v>9180</v>
      </c>
      <c r="H124" s="89" t="s">
        <v>6880</v>
      </c>
      <c r="I124" s="89" t="s">
        <v>6199</v>
      </c>
      <c r="J124" s="89" t="s">
        <v>7242</v>
      </c>
      <c r="K124" s="475" t="s">
        <v>5727</v>
      </c>
    </row>
    <row r="125" spans="1:11" s="12" customFormat="1" ht="58.2" thickBot="1" x14ac:dyDescent="0.35">
      <c r="A125" s="12" t="s">
        <v>4507</v>
      </c>
      <c r="B125" s="476" t="str">
        <f t="shared" si="5"/>
        <v>amount in</v>
      </c>
      <c r="C125" s="500" t="s">
        <v>8144</v>
      </c>
      <c r="D125" s="12" t="s">
        <v>4508</v>
      </c>
      <c r="E125" s="500" t="s">
        <v>8608</v>
      </c>
      <c r="F125" s="494" t="s">
        <v>7673</v>
      </c>
      <c r="G125" s="12" t="s">
        <v>9181</v>
      </c>
      <c r="H125" s="443" t="s">
        <v>6881</v>
      </c>
      <c r="I125" s="443" t="s">
        <v>5927</v>
      </c>
      <c r="J125" s="443" t="s">
        <v>7243</v>
      </c>
      <c r="K125" s="498" t="s">
        <v>6575</v>
      </c>
    </row>
    <row r="126" spans="1:11" x14ac:dyDescent="0.3">
      <c r="A126" t="s">
        <v>4084</v>
      </c>
      <c r="B126" s="442" t="str">
        <f t="shared" si="5"/>
        <v>Information on the report necessary for  XBRL</v>
      </c>
      <c r="C126" s="492" t="s">
        <v>8145</v>
      </c>
      <c r="D126" t="s">
        <v>3990</v>
      </c>
      <c r="E126" s="492" t="s">
        <v>8609</v>
      </c>
      <c r="F126" s="493" t="s">
        <v>7674</v>
      </c>
      <c r="G126" t="s">
        <v>9182</v>
      </c>
      <c r="H126" s="89" t="s">
        <v>6882</v>
      </c>
      <c r="I126" s="89" t="s">
        <v>6200</v>
      </c>
      <c r="J126" s="89" t="s">
        <v>7207</v>
      </c>
      <c r="K126" s="475" t="s">
        <v>6576</v>
      </c>
    </row>
    <row r="127" spans="1:11" ht="28.8" x14ac:dyDescent="0.3">
      <c r="A127" t="s">
        <v>4085</v>
      </c>
      <c r="B127" s="442" t="str">
        <f t="shared" si="5"/>
        <v>Name of the reporting entity</v>
      </c>
      <c r="C127" s="492" t="s">
        <v>8146</v>
      </c>
      <c r="D127" t="s">
        <v>0</v>
      </c>
      <c r="E127" s="492" t="s">
        <v>8610</v>
      </c>
      <c r="F127" s="493" t="s">
        <v>7675</v>
      </c>
      <c r="G127" t="s">
        <v>9183</v>
      </c>
      <c r="H127" s="89" t="s">
        <v>6883</v>
      </c>
      <c r="I127" s="89" t="s">
        <v>6201</v>
      </c>
      <c r="J127" s="89" t="s">
        <v>7244</v>
      </c>
      <c r="K127" s="475" t="s">
        <v>5728</v>
      </c>
    </row>
    <row r="128" spans="1:11" ht="28.8" x14ac:dyDescent="0.3">
      <c r="A128" t="s">
        <v>4086</v>
      </c>
      <c r="B128" s="442" t="str">
        <f t="shared" si="5"/>
        <v>Identifier of the reporting entity (select and specify on the right)</v>
      </c>
      <c r="C128" s="492" t="s">
        <v>8147</v>
      </c>
      <c r="D128" t="s">
        <v>3684</v>
      </c>
      <c r="E128" s="492" t="s">
        <v>8611</v>
      </c>
      <c r="F128" s="493" t="s">
        <v>7676</v>
      </c>
      <c r="G128" t="s">
        <v>9184</v>
      </c>
      <c r="H128" s="89" t="s">
        <v>6884</v>
      </c>
      <c r="I128" s="89" t="s">
        <v>6202</v>
      </c>
      <c r="J128" s="89" t="s">
        <v>7245</v>
      </c>
      <c r="K128" s="475" t="s">
        <v>6577</v>
      </c>
    </row>
    <row r="129" spans="1:11" x14ac:dyDescent="0.3">
      <c r="A129" t="s">
        <v>4087</v>
      </c>
      <c r="B129" s="442" t="str">
        <f t="shared" si="5"/>
        <v>Currency of the monetary values in the report</v>
      </c>
      <c r="C129" s="492" t="s">
        <v>8148</v>
      </c>
      <c r="D129" t="s">
        <v>3950</v>
      </c>
      <c r="E129" s="492" t="s">
        <v>8612</v>
      </c>
      <c r="F129" s="493" t="s">
        <v>7677</v>
      </c>
      <c r="G129" t="s">
        <v>9185</v>
      </c>
      <c r="H129" s="89" t="s">
        <v>6885</v>
      </c>
      <c r="I129" s="89" t="s">
        <v>6203</v>
      </c>
      <c r="J129" s="89" t="s">
        <v>7246</v>
      </c>
      <c r="K129" s="475" t="s">
        <v>6487</v>
      </c>
    </row>
    <row r="130" spans="1:11" x14ac:dyDescent="0.3">
      <c r="A130" t="s">
        <v>4088</v>
      </c>
      <c r="B130" s="442" t="str">
        <f t="shared" si="5"/>
        <v>Starting year</v>
      </c>
      <c r="C130" s="492" t="s">
        <v>8149</v>
      </c>
      <c r="D130" t="s">
        <v>3055</v>
      </c>
      <c r="E130" s="492" t="s">
        <v>8613</v>
      </c>
      <c r="F130" s="493" t="s">
        <v>7678</v>
      </c>
      <c r="G130" t="s">
        <v>9186</v>
      </c>
      <c r="H130" s="89" t="s">
        <v>6886</v>
      </c>
      <c r="I130" s="89" t="s">
        <v>5928</v>
      </c>
      <c r="J130" s="89" t="s">
        <v>7247</v>
      </c>
      <c r="K130" s="475" t="s">
        <v>5729</v>
      </c>
    </row>
    <row r="131" spans="1:11" x14ac:dyDescent="0.3">
      <c r="A131" t="s">
        <v>4089</v>
      </c>
      <c r="B131" s="442" t="str">
        <f t="shared" si="5"/>
        <v>Starting month</v>
      </c>
      <c r="C131" s="492" t="s">
        <v>8150</v>
      </c>
      <c r="D131" t="s">
        <v>3056</v>
      </c>
      <c r="E131" s="492" t="s">
        <v>8614</v>
      </c>
      <c r="F131" s="493" t="s">
        <v>7679</v>
      </c>
      <c r="G131" t="s">
        <v>9187</v>
      </c>
      <c r="H131" s="89" t="s">
        <v>6887</v>
      </c>
      <c r="I131" s="89" t="s">
        <v>6204</v>
      </c>
      <c r="J131" s="89" t="s">
        <v>7248</v>
      </c>
      <c r="K131" s="475" t="s">
        <v>5730</v>
      </c>
    </row>
    <row r="132" spans="1:11" x14ac:dyDescent="0.3">
      <c r="A132" t="s">
        <v>4090</v>
      </c>
      <c r="B132" s="442" t="str">
        <f t="shared" ref="B132:B195" si="6">INDEX(D132:K132,MATCH(template_selected_display_language,$D$3:$K$3,0))</f>
        <v>Starting day</v>
      </c>
      <c r="C132" s="492" t="s">
        <v>8151</v>
      </c>
      <c r="D132" t="s">
        <v>3057</v>
      </c>
      <c r="E132" s="492" t="s">
        <v>8615</v>
      </c>
      <c r="F132" s="493" t="s">
        <v>7680</v>
      </c>
      <c r="G132" t="s">
        <v>9188</v>
      </c>
      <c r="H132" s="89" t="s">
        <v>6888</v>
      </c>
      <c r="I132" s="89" t="s">
        <v>6205</v>
      </c>
      <c r="J132" s="89" t="s">
        <v>5844</v>
      </c>
      <c r="K132" s="475" t="s">
        <v>5731</v>
      </c>
    </row>
    <row r="133" spans="1:11" x14ac:dyDescent="0.3">
      <c r="A133" t="s">
        <v>4091</v>
      </c>
      <c r="B133" s="442" t="str">
        <f t="shared" si="6"/>
        <v>Reporting period start date (yyyy-mm-dd)</v>
      </c>
      <c r="C133" s="492" t="s">
        <v>8152</v>
      </c>
      <c r="D133" t="s">
        <v>4062</v>
      </c>
      <c r="E133" s="492" t="s">
        <v>8616</v>
      </c>
      <c r="F133" s="493" t="s">
        <v>7681</v>
      </c>
      <c r="G133" t="s">
        <v>9189</v>
      </c>
      <c r="H133" s="89" t="s">
        <v>6889</v>
      </c>
      <c r="I133" s="89" t="s">
        <v>5929</v>
      </c>
      <c r="J133" s="89" t="s">
        <v>5845</v>
      </c>
      <c r="K133" s="475" t="s">
        <v>6578</v>
      </c>
    </row>
    <row r="134" spans="1:11" ht="28.8" x14ac:dyDescent="0.3">
      <c r="A134" t="s">
        <v>4092</v>
      </c>
      <c r="B134" s="442" t="str">
        <f t="shared" si="6"/>
        <v>Ending year</v>
      </c>
      <c r="C134" s="492" t="s">
        <v>8153</v>
      </c>
      <c r="D134" t="s">
        <v>3058</v>
      </c>
      <c r="E134" s="492" t="s">
        <v>8617</v>
      </c>
      <c r="F134" s="493" t="s">
        <v>7682</v>
      </c>
      <c r="G134" t="s">
        <v>9190</v>
      </c>
      <c r="H134" s="89" t="s">
        <v>6890</v>
      </c>
      <c r="I134" s="89" t="s">
        <v>6206</v>
      </c>
      <c r="J134" s="89" t="s">
        <v>7249</v>
      </c>
      <c r="K134" s="475" t="s">
        <v>5732</v>
      </c>
    </row>
    <row r="135" spans="1:11" ht="28.8" x14ac:dyDescent="0.3">
      <c r="A135" t="s">
        <v>4093</v>
      </c>
      <c r="B135" s="442" t="str">
        <f t="shared" si="6"/>
        <v>Ending month</v>
      </c>
      <c r="C135" s="492" t="s">
        <v>8154</v>
      </c>
      <c r="D135" t="s">
        <v>3059</v>
      </c>
      <c r="E135" s="492" t="s">
        <v>8618</v>
      </c>
      <c r="F135" s="493" t="s">
        <v>7683</v>
      </c>
      <c r="G135" t="s">
        <v>9191</v>
      </c>
      <c r="H135" s="89" t="s">
        <v>6891</v>
      </c>
      <c r="I135" s="89" t="s">
        <v>6207</v>
      </c>
      <c r="J135" s="89" t="s">
        <v>5846</v>
      </c>
      <c r="K135" s="475" t="s">
        <v>5733</v>
      </c>
    </row>
    <row r="136" spans="1:11" x14ac:dyDescent="0.3">
      <c r="A136" t="s">
        <v>4094</v>
      </c>
      <c r="B136" s="442" t="str">
        <f t="shared" si="6"/>
        <v>Ending day</v>
      </c>
      <c r="C136" s="492" t="s">
        <v>8155</v>
      </c>
      <c r="D136" t="s">
        <v>3060</v>
      </c>
      <c r="E136" s="492" t="s">
        <v>8619</v>
      </c>
      <c r="F136" s="493" t="s">
        <v>7684</v>
      </c>
      <c r="G136" t="s">
        <v>9192</v>
      </c>
      <c r="H136" s="89" t="s">
        <v>6892</v>
      </c>
      <c r="I136" s="89" t="s">
        <v>6208</v>
      </c>
      <c r="J136" s="89" t="s">
        <v>5847</v>
      </c>
      <c r="K136" s="475" t="s">
        <v>6579</v>
      </c>
    </row>
    <row r="137" spans="1:11" s="12" customFormat="1" ht="15" thickBot="1" x14ac:dyDescent="0.35">
      <c r="A137" s="12" t="s">
        <v>4095</v>
      </c>
      <c r="B137" s="476" t="str">
        <f t="shared" si="6"/>
        <v>Reporting period end date  (yyyy-mm-dd)</v>
      </c>
      <c r="C137" s="500" t="s">
        <v>8156</v>
      </c>
      <c r="D137" s="12" t="s">
        <v>4063</v>
      </c>
      <c r="E137" s="500" t="s">
        <v>8620</v>
      </c>
      <c r="F137" s="494" t="s">
        <v>7685</v>
      </c>
      <c r="G137" s="12" t="s">
        <v>9193</v>
      </c>
      <c r="H137" s="443" t="s">
        <v>6893</v>
      </c>
      <c r="I137" s="443" t="s">
        <v>5930</v>
      </c>
      <c r="J137" s="443" t="s">
        <v>7250</v>
      </c>
      <c r="K137" s="498" t="s">
        <v>6580</v>
      </c>
    </row>
    <row r="138" spans="1:11" x14ac:dyDescent="0.3">
      <c r="A138" t="s">
        <v>4073</v>
      </c>
      <c r="B138" s="442" t="str">
        <f t="shared" si="6"/>
        <v>Information on previous reporting period</v>
      </c>
      <c r="C138" s="492" t="s">
        <v>8157</v>
      </c>
      <c r="D138" t="s">
        <v>2921</v>
      </c>
      <c r="E138" s="492" t="s">
        <v>8621</v>
      </c>
      <c r="F138" s="493" t="s">
        <v>7686</v>
      </c>
      <c r="G138" t="s">
        <v>9194</v>
      </c>
      <c r="H138" s="89" t="s">
        <v>6057</v>
      </c>
      <c r="I138" s="89" t="s">
        <v>6209</v>
      </c>
      <c r="J138" s="89" t="s">
        <v>7251</v>
      </c>
      <c r="K138" s="475" t="s">
        <v>6549</v>
      </c>
    </row>
    <row r="139" spans="1:11" ht="43.2" x14ac:dyDescent="0.3">
      <c r="A139" t="s">
        <v>4074</v>
      </c>
      <c r="B139" s="442" t="str">
        <f t="shared" si="6"/>
        <v>This report contains disclosures from the previous reporting period that remain unchanged</v>
      </c>
      <c r="C139" s="492" t="s">
        <v>8158</v>
      </c>
      <c r="D139" t="s">
        <v>2</v>
      </c>
      <c r="E139" s="492" t="s">
        <v>8622</v>
      </c>
      <c r="F139" s="493" t="s">
        <v>7687</v>
      </c>
      <c r="G139" t="s">
        <v>9195</v>
      </c>
      <c r="H139" s="89" t="s">
        <v>6894</v>
      </c>
      <c r="I139" s="89" t="s">
        <v>6210</v>
      </c>
      <c r="J139" s="89" t="s">
        <v>7252</v>
      </c>
      <c r="K139" s="475" t="s">
        <v>6581</v>
      </c>
    </row>
    <row r="140" spans="1:11" ht="28.8" x14ac:dyDescent="0.3">
      <c r="A140" t="s">
        <v>4075</v>
      </c>
      <c r="B140" s="442" t="str">
        <f t="shared" si="6"/>
        <v>List of disclosures for which no changes are reported compared to the previous period reporting</v>
      </c>
      <c r="C140" s="492" t="s">
        <v>8159</v>
      </c>
      <c r="D140" t="s">
        <v>3951</v>
      </c>
      <c r="E140" s="492" t="s">
        <v>8623</v>
      </c>
      <c r="F140" s="493" t="s">
        <v>7688</v>
      </c>
      <c r="G140" t="s">
        <v>9196</v>
      </c>
      <c r="H140" s="89" t="s">
        <v>6895</v>
      </c>
      <c r="I140" s="89" t="s">
        <v>6211</v>
      </c>
      <c r="J140" s="89" t="s">
        <v>7253</v>
      </c>
      <c r="K140" s="475" t="s">
        <v>6582</v>
      </c>
    </row>
    <row r="141" spans="1:11" s="12" customFormat="1" ht="29.4" thickBot="1" x14ac:dyDescent="0.35">
      <c r="A141" s="12" t="s">
        <v>4076</v>
      </c>
      <c r="B141" s="476" t="str">
        <f t="shared" si="6"/>
        <v>Link to previous report containing disclosures that remain unchanged</v>
      </c>
      <c r="C141" s="500" t="s">
        <v>8160</v>
      </c>
      <c r="D141" s="12" t="s">
        <v>2900</v>
      </c>
      <c r="E141" s="500" t="s">
        <v>8624</v>
      </c>
      <c r="F141" s="494" t="s">
        <v>7689</v>
      </c>
      <c r="G141" s="12" t="s">
        <v>9197</v>
      </c>
      <c r="H141" s="443" t="s">
        <v>6896</v>
      </c>
      <c r="I141" s="443" t="s">
        <v>6212</v>
      </c>
      <c r="J141" s="443" t="s">
        <v>7254</v>
      </c>
      <c r="K141" s="498" t="s">
        <v>5734</v>
      </c>
    </row>
    <row r="142" spans="1:11" ht="28.8" x14ac:dyDescent="0.3">
      <c r="A142" t="s">
        <v>4077</v>
      </c>
      <c r="B142" s="442" t="str">
        <f t="shared" si="6"/>
        <v>B1 - Basis for Preparation and other undertaking's general information</v>
      </c>
      <c r="C142" s="492" t="s">
        <v>8161</v>
      </c>
      <c r="D142" t="s">
        <v>3952</v>
      </c>
      <c r="E142" s="492" t="s">
        <v>8625</v>
      </c>
      <c r="F142" s="493" t="s">
        <v>7690</v>
      </c>
      <c r="G142" t="s">
        <v>9198</v>
      </c>
      <c r="H142" s="89" t="s">
        <v>6897</v>
      </c>
      <c r="I142" s="89" t="s">
        <v>6213</v>
      </c>
      <c r="J142" s="89" t="s">
        <v>7283</v>
      </c>
      <c r="K142" s="475" t="s">
        <v>6583</v>
      </c>
    </row>
    <row r="143" spans="1:11" ht="28.8" x14ac:dyDescent="0.3">
      <c r="A143" t="s">
        <v>4096</v>
      </c>
      <c r="B143" s="442" t="str">
        <f t="shared" si="6"/>
        <v>Basis for preparation (Basic Module Only or Basic &amp; Comprehensive Module)</v>
      </c>
      <c r="C143" s="492" t="s">
        <v>8162</v>
      </c>
      <c r="D143" t="s">
        <v>3046</v>
      </c>
      <c r="E143" s="492" t="s">
        <v>8626</v>
      </c>
      <c r="F143" s="493" t="s">
        <v>7691</v>
      </c>
      <c r="G143" t="s">
        <v>9199</v>
      </c>
      <c r="H143" s="89" t="s">
        <v>6898</v>
      </c>
      <c r="I143" s="89" t="s">
        <v>6214</v>
      </c>
      <c r="J143" s="89" t="s">
        <v>7255</v>
      </c>
      <c r="K143" s="475" t="s">
        <v>6584</v>
      </c>
    </row>
    <row r="144" spans="1:11" ht="28.8" x14ac:dyDescent="0.3">
      <c r="A144" t="s">
        <v>4097</v>
      </c>
      <c r="B144" s="442" t="str">
        <f t="shared" si="6"/>
        <v>List of omitted disclosures deemed to be classified or sensitive information</v>
      </c>
      <c r="C144" s="492" t="s">
        <v>8163</v>
      </c>
      <c r="D144" t="s">
        <v>3953</v>
      </c>
      <c r="E144" s="492" t="s">
        <v>8627</v>
      </c>
      <c r="F144" s="493" t="s">
        <v>7692</v>
      </c>
      <c r="G144" t="s">
        <v>9200</v>
      </c>
      <c r="H144" s="89" t="s">
        <v>6899</v>
      </c>
      <c r="I144" s="89" t="s">
        <v>6215</v>
      </c>
      <c r="J144" s="89" t="s">
        <v>7256</v>
      </c>
      <c r="K144" s="475" t="s">
        <v>6585</v>
      </c>
    </row>
    <row r="145" spans="1:11" ht="28.8" x14ac:dyDescent="0.3">
      <c r="A145" t="s">
        <v>4098</v>
      </c>
      <c r="B145" s="442" t="str">
        <f t="shared" si="6"/>
        <v>Basis for reporting (consolidated or individual basis)</v>
      </c>
      <c r="C145" s="492" t="s">
        <v>8164</v>
      </c>
      <c r="D145" t="s">
        <v>3093</v>
      </c>
      <c r="E145" s="492" t="s">
        <v>8628</v>
      </c>
      <c r="F145" s="493" t="s">
        <v>7693</v>
      </c>
      <c r="G145" t="s">
        <v>9201</v>
      </c>
      <c r="H145" s="89" t="s">
        <v>6900</v>
      </c>
      <c r="I145" s="89" t="s">
        <v>6216</v>
      </c>
      <c r="J145" s="89" t="s">
        <v>7257</v>
      </c>
      <c r="K145" s="475" t="s">
        <v>5735</v>
      </c>
    </row>
    <row r="146" spans="1:11" x14ac:dyDescent="0.3">
      <c r="A146" t="s">
        <v>4099</v>
      </c>
      <c r="B146" s="442" t="str">
        <f t="shared" si="6"/>
        <v>Undertakings legal form</v>
      </c>
      <c r="C146" s="492" t="s">
        <v>8165</v>
      </c>
      <c r="D146" t="s">
        <v>3</v>
      </c>
      <c r="E146" s="492" t="s">
        <v>8629</v>
      </c>
      <c r="F146" s="493" t="s">
        <v>7694</v>
      </c>
      <c r="G146" t="s">
        <v>9202</v>
      </c>
      <c r="H146" s="89" t="s">
        <v>6901</v>
      </c>
      <c r="I146" s="89" t="s">
        <v>6217</v>
      </c>
      <c r="J146" s="89" t="s">
        <v>7258</v>
      </c>
      <c r="K146" s="475" t="s">
        <v>6586</v>
      </c>
    </row>
    <row r="147" spans="1:11" x14ac:dyDescent="0.3">
      <c r="A147" t="s">
        <v>4100</v>
      </c>
      <c r="B147" s="442" t="str">
        <f t="shared" si="6"/>
        <v>Other undertaking's legal form specification</v>
      </c>
      <c r="C147" s="492" t="s">
        <v>8166</v>
      </c>
      <c r="D147" t="s">
        <v>3049</v>
      </c>
      <c r="E147" s="492" t="s">
        <v>8630</v>
      </c>
      <c r="F147" s="493" t="s">
        <v>7695</v>
      </c>
      <c r="G147" t="s">
        <v>9203</v>
      </c>
      <c r="H147" s="89" t="s">
        <v>6005</v>
      </c>
      <c r="I147" s="89" t="s">
        <v>6218</v>
      </c>
      <c r="J147" s="89" t="s">
        <v>7259</v>
      </c>
      <c r="K147" s="475" t="s">
        <v>5736</v>
      </c>
    </row>
    <row r="148" spans="1:11" x14ac:dyDescent="0.3">
      <c r="A148" t="s">
        <v>4101</v>
      </c>
      <c r="B148" s="442" t="str">
        <f t="shared" si="6"/>
        <v>NACE sector classification code(s)</v>
      </c>
      <c r="C148" s="492" t="s">
        <v>8167</v>
      </c>
      <c r="D148" t="s">
        <v>2758</v>
      </c>
      <c r="E148" s="501" t="s">
        <v>8631</v>
      </c>
      <c r="F148" s="493" t="s">
        <v>7696</v>
      </c>
      <c r="G148" t="s">
        <v>9204</v>
      </c>
      <c r="H148" s="89" t="s">
        <v>6902</v>
      </c>
      <c r="I148" s="89" t="s">
        <v>6219</v>
      </c>
      <c r="J148" s="89" t="s">
        <v>7260</v>
      </c>
      <c r="K148" s="475" t="s">
        <v>6587</v>
      </c>
    </row>
    <row r="149" spans="1:11" x14ac:dyDescent="0.3">
      <c r="A149" t="s">
        <v>4102</v>
      </c>
      <c r="B149" s="442" t="str">
        <f t="shared" si="6"/>
        <v>Size of balance sheet (total assets) in</v>
      </c>
      <c r="C149" s="492" t="s">
        <v>8168</v>
      </c>
      <c r="D149" t="s">
        <v>5671</v>
      </c>
      <c r="E149" s="501" t="s">
        <v>8632</v>
      </c>
      <c r="F149" s="493" t="s">
        <v>7697</v>
      </c>
      <c r="G149" t="s">
        <v>9205</v>
      </c>
      <c r="H149" s="89" t="s">
        <v>6903</v>
      </c>
      <c r="I149" s="89" t="s">
        <v>6220</v>
      </c>
      <c r="J149" s="89" t="s">
        <v>7261</v>
      </c>
      <c r="K149" s="475" t="s">
        <v>6588</v>
      </c>
    </row>
    <row r="150" spans="1:11" x14ac:dyDescent="0.3">
      <c r="A150" t="s">
        <v>4103</v>
      </c>
      <c r="B150" s="442" t="str">
        <f t="shared" si="6"/>
        <v>Turnover in</v>
      </c>
      <c r="C150" s="492" t="s">
        <v>8169</v>
      </c>
      <c r="D150" t="s">
        <v>3954</v>
      </c>
      <c r="E150" s="492" t="s">
        <v>8633</v>
      </c>
      <c r="F150" s="493" t="s">
        <v>7698</v>
      </c>
      <c r="G150" t="s">
        <v>9206</v>
      </c>
      <c r="H150" s="89" t="s">
        <v>6904</v>
      </c>
      <c r="I150" s="89" t="s">
        <v>6221</v>
      </c>
      <c r="J150" s="89" t="s">
        <v>5848</v>
      </c>
      <c r="K150" s="475" t="s">
        <v>5737</v>
      </c>
    </row>
    <row r="151" spans="1:11" x14ac:dyDescent="0.3">
      <c r="A151" t="s">
        <v>4104</v>
      </c>
      <c r="B151" s="442" t="str">
        <f t="shared" si="6"/>
        <v>Number of employees</v>
      </c>
      <c r="C151" s="492" t="s">
        <v>8170</v>
      </c>
      <c r="D151" t="s">
        <v>4</v>
      </c>
      <c r="E151" s="492" t="s">
        <v>8634</v>
      </c>
      <c r="F151" s="493" t="s">
        <v>7699</v>
      </c>
      <c r="G151" t="s">
        <v>9207</v>
      </c>
      <c r="H151" s="89" t="s">
        <v>6058</v>
      </c>
      <c r="I151" s="89" t="s">
        <v>6222</v>
      </c>
      <c r="J151" s="89" t="s">
        <v>7262</v>
      </c>
      <c r="K151" s="475" t="s">
        <v>6589</v>
      </c>
    </row>
    <row r="152" spans="1:11" ht="43.2" x14ac:dyDescent="0.3">
      <c r="A152" t="s">
        <v>4105</v>
      </c>
      <c r="B152" s="442" t="str">
        <f t="shared" si="6"/>
        <v>Employee counting methodology (At the end of reporting period or as an average during the reporting period)</v>
      </c>
      <c r="C152" s="492" t="s">
        <v>8171</v>
      </c>
      <c r="D152" t="s">
        <v>3097</v>
      </c>
      <c r="E152" s="492" t="s">
        <v>8635</v>
      </c>
      <c r="F152" s="493" t="s">
        <v>7700</v>
      </c>
      <c r="G152" t="s">
        <v>9208</v>
      </c>
      <c r="H152" s="89" t="s">
        <v>6905</v>
      </c>
      <c r="I152" s="89" t="s">
        <v>6223</v>
      </c>
      <c r="J152" s="89" t="s">
        <v>7263</v>
      </c>
      <c r="K152" s="475" t="s">
        <v>6508</v>
      </c>
    </row>
    <row r="153" spans="1:11" ht="28.8" x14ac:dyDescent="0.3">
      <c r="A153" t="s">
        <v>4106</v>
      </c>
      <c r="B153" s="442" t="str">
        <f t="shared" si="6"/>
        <v>Employee counting methodology (Headcount or Full-time equivalent)</v>
      </c>
      <c r="C153" s="492" t="s">
        <v>8172</v>
      </c>
      <c r="D153" t="s">
        <v>3098</v>
      </c>
      <c r="E153" s="492" t="s">
        <v>8636</v>
      </c>
      <c r="F153" s="493" t="s">
        <v>7701</v>
      </c>
      <c r="G153" t="s">
        <v>9209</v>
      </c>
      <c r="H153" s="89" t="s">
        <v>6906</v>
      </c>
      <c r="I153" s="89" t="s">
        <v>6224</v>
      </c>
      <c r="J153" s="89" t="s">
        <v>7264</v>
      </c>
      <c r="K153" s="475" t="s">
        <v>6509</v>
      </c>
    </row>
    <row r="154" spans="1:11" s="12" customFormat="1" ht="29.4" thickBot="1" x14ac:dyDescent="0.35">
      <c r="A154" s="12" t="s">
        <v>4107</v>
      </c>
      <c r="B154" s="476" t="str">
        <f t="shared" si="6"/>
        <v>Country of primary operations and location of significant asset(s)</v>
      </c>
      <c r="C154" s="500" t="s">
        <v>8173</v>
      </c>
      <c r="D154" s="12" t="s">
        <v>5</v>
      </c>
      <c r="E154" s="500" t="s">
        <v>8637</v>
      </c>
      <c r="F154" s="494" t="s">
        <v>7702</v>
      </c>
      <c r="G154" s="12" t="s">
        <v>9210</v>
      </c>
      <c r="H154" s="443" t="s">
        <v>6907</v>
      </c>
      <c r="I154" s="443" t="s">
        <v>6225</v>
      </c>
      <c r="J154" s="443" t="s">
        <v>7265</v>
      </c>
      <c r="K154" s="498" t="s">
        <v>6590</v>
      </c>
    </row>
    <row r="155" spans="1:11" x14ac:dyDescent="0.3">
      <c r="A155" t="s">
        <v>4108</v>
      </c>
      <c r="B155" s="442" t="str">
        <f t="shared" si="6"/>
        <v>B1 - List of subsidiaries</v>
      </c>
      <c r="C155" s="492" t="s">
        <v>8174</v>
      </c>
      <c r="D155" t="s">
        <v>4360</v>
      </c>
      <c r="E155" s="492" t="s">
        <v>8638</v>
      </c>
      <c r="F155" s="493" t="s">
        <v>7703</v>
      </c>
      <c r="G155" t="s">
        <v>9211</v>
      </c>
      <c r="H155" s="89" t="s">
        <v>6908</v>
      </c>
      <c r="I155" s="89" t="s">
        <v>6226</v>
      </c>
      <c r="J155" s="89" t="s">
        <v>5849</v>
      </c>
      <c r="K155" s="475" t="s">
        <v>5738</v>
      </c>
    </row>
    <row r="156" spans="1:11" x14ac:dyDescent="0.3">
      <c r="A156" t="s">
        <v>4109</v>
      </c>
      <c r="B156" s="442" t="str">
        <f t="shared" si="6"/>
        <v>ID</v>
      </c>
      <c r="C156" s="492" t="s">
        <v>6</v>
      </c>
      <c r="D156" t="s">
        <v>6</v>
      </c>
      <c r="E156" s="492" t="s">
        <v>6</v>
      </c>
      <c r="F156" s="493" t="s">
        <v>7704</v>
      </c>
      <c r="G156" t="s">
        <v>6</v>
      </c>
      <c r="H156" s="89" t="s">
        <v>6</v>
      </c>
      <c r="I156" s="89" t="s">
        <v>6</v>
      </c>
      <c r="J156" s="89" t="s">
        <v>6</v>
      </c>
      <c r="K156" s="475" t="s">
        <v>6</v>
      </c>
    </row>
    <row r="157" spans="1:11" x14ac:dyDescent="0.3">
      <c r="A157" t="s">
        <v>4110</v>
      </c>
      <c r="B157" s="442" t="str">
        <f t="shared" si="6"/>
        <v>Name</v>
      </c>
      <c r="C157" s="492" t="s">
        <v>8175</v>
      </c>
      <c r="D157" t="s">
        <v>7</v>
      </c>
      <c r="E157" s="492" t="s">
        <v>8639</v>
      </c>
      <c r="F157" s="493" t="s">
        <v>7</v>
      </c>
      <c r="G157" t="s">
        <v>5698</v>
      </c>
      <c r="H157" s="89" t="s">
        <v>6909</v>
      </c>
      <c r="I157" s="89" t="s">
        <v>6073</v>
      </c>
      <c r="J157" s="89" t="s">
        <v>5698</v>
      </c>
      <c r="K157" s="475" t="s">
        <v>5739</v>
      </c>
    </row>
    <row r="158" spans="1:11" s="12" customFormat="1" ht="29.4" thickBot="1" x14ac:dyDescent="0.35">
      <c r="A158" s="12" t="s">
        <v>4111</v>
      </c>
      <c r="B158" s="476" t="str">
        <f t="shared" si="6"/>
        <v>Registered Address</v>
      </c>
      <c r="C158" s="500" t="s">
        <v>8176</v>
      </c>
      <c r="D158" s="12" t="s">
        <v>3018</v>
      </c>
      <c r="E158" s="500" t="s">
        <v>8640</v>
      </c>
      <c r="F158" s="494" t="s">
        <v>7705</v>
      </c>
      <c r="G158" s="12" t="s">
        <v>9212</v>
      </c>
      <c r="H158" s="443" t="s">
        <v>6006</v>
      </c>
      <c r="I158" s="443" t="s">
        <v>6074</v>
      </c>
      <c r="J158" s="443" t="s">
        <v>7266</v>
      </c>
      <c r="K158" s="498" t="s">
        <v>6591</v>
      </c>
    </row>
    <row r="159" spans="1:11" ht="28.8" x14ac:dyDescent="0.3">
      <c r="A159" t="s">
        <v>4112</v>
      </c>
      <c r="B159" s="442" t="str">
        <f t="shared" si="6"/>
        <v>B1 - Disclosure of sustainability-related certification(s) or label(s)</v>
      </c>
      <c r="C159" s="492" t="s">
        <v>8177</v>
      </c>
      <c r="D159" t="s">
        <v>4361</v>
      </c>
      <c r="E159" s="492" t="s">
        <v>8641</v>
      </c>
      <c r="F159" s="493" t="s">
        <v>7706</v>
      </c>
      <c r="G159" t="s">
        <v>9213</v>
      </c>
      <c r="H159" s="89" t="s">
        <v>6910</v>
      </c>
      <c r="I159" s="89" t="s">
        <v>6227</v>
      </c>
      <c r="J159" s="89" t="s">
        <v>7267</v>
      </c>
      <c r="K159" s="475" t="s">
        <v>6592</v>
      </c>
    </row>
    <row r="160" spans="1:11" ht="28.8" x14ac:dyDescent="0.3">
      <c r="A160" t="s">
        <v>4113</v>
      </c>
      <c r="B160" s="442" t="str">
        <f t="shared" si="6"/>
        <v>Has the undertaking obtained any sustainability-related certification(s) or label(s) ?</v>
      </c>
      <c r="C160" s="492" t="s">
        <v>8178</v>
      </c>
      <c r="D160" t="s">
        <v>3092</v>
      </c>
      <c r="E160" s="492" t="s">
        <v>8642</v>
      </c>
      <c r="F160" s="493" t="s">
        <v>7707</v>
      </c>
      <c r="G160" t="s">
        <v>9214</v>
      </c>
      <c r="H160" s="89" t="s">
        <v>6911</v>
      </c>
      <c r="I160" s="89" t="s">
        <v>6228</v>
      </c>
      <c r="J160" s="89" t="s">
        <v>7268</v>
      </c>
      <c r="K160" s="475" t="s">
        <v>5740</v>
      </c>
    </row>
    <row r="161" spans="1:11" s="12" customFormat="1" ht="58.2" thickBot="1" x14ac:dyDescent="0.35">
      <c r="A161" s="12" t="s">
        <v>4114</v>
      </c>
      <c r="B161" s="476" t="str">
        <f t="shared" si="6"/>
        <v>Description of sustainability-related certification(s) or label(s) including where relevant the issuers of the certification or label date and rating score</v>
      </c>
      <c r="C161" s="500" t="s">
        <v>8179</v>
      </c>
      <c r="D161" s="12" t="s">
        <v>4031</v>
      </c>
      <c r="E161" s="500" t="s">
        <v>8643</v>
      </c>
      <c r="F161" s="494" t="s">
        <v>7708</v>
      </c>
      <c r="G161" s="12" t="s">
        <v>9215</v>
      </c>
      <c r="H161" s="443" t="s">
        <v>6912</v>
      </c>
      <c r="I161" s="443" t="s">
        <v>6229</v>
      </c>
      <c r="J161" s="443" t="s">
        <v>7269</v>
      </c>
      <c r="K161" s="498" t="s">
        <v>6593</v>
      </c>
    </row>
    <row r="162" spans="1:11" ht="28.8" x14ac:dyDescent="0.3">
      <c r="A162" t="s">
        <v>4115</v>
      </c>
      <c r="B162" s="442" t="str">
        <f t="shared" si="6"/>
        <v>B1 - List of site(s)</v>
      </c>
      <c r="C162" s="492" t="s">
        <v>8180</v>
      </c>
      <c r="D162" t="s">
        <v>4362</v>
      </c>
      <c r="E162" s="492" t="s">
        <v>8644</v>
      </c>
      <c r="F162" s="493" t="s">
        <v>7709</v>
      </c>
      <c r="G162" t="s">
        <v>9216</v>
      </c>
      <c r="H162" s="89" t="s">
        <v>6913</v>
      </c>
      <c r="I162" s="89" t="s">
        <v>6230</v>
      </c>
      <c r="J162" s="89" t="s">
        <v>7270</v>
      </c>
      <c r="K162" s="475" t="s">
        <v>6594</v>
      </c>
    </row>
    <row r="163" spans="1:11" x14ac:dyDescent="0.3">
      <c r="A163" t="s">
        <v>4116</v>
      </c>
      <c r="B163" s="442" t="str">
        <f t="shared" si="6"/>
        <v>Address</v>
      </c>
      <c r="C163" s="492" t="s">
        <v>7710</v>
      </c>
      <c r="D163" t="s">
        <v>8</v>
      </c>
      <c r="E163" s="492" t="s">
        <v>7710</v>
      </c>
      <c r="F163" s="493" t="s">
        <v>7710</v>
      </c>
      <c r="G163" t="s">
        <v>9217</v>
      </c>
      <c r="H163" s="89" t="s">
        <v>6007</v>
      </c>
      <c r="I163" s="89" t="s">
        <v>5694</v>
      </c>
      <c r="J163" s="89" t="s">
        <v>7271</v>
      </c>
      <c r="K163" s="475" t="s">
        <v>5741</v>
      </c>
    </row>
    <row r="164" spans="1:11" x14ac:dyDescent="0.3">
      <c r="A164" t="s">
        <v>4117</v>
      </c>
      <c r="B164" s="442" t="str">
        <f t="shared" si="6"/>
        <v>Postal code</v>
      </c>
      <c r="C164" s="492" t="s">
        <v>8181</v>
      </c>
      <c r="D164" t="s">
        <v>9</v>
      </c>
      <c r="E164" s="492" t="s">
        <v>8645</v>
      </c>
      <c r="F164" s="493" t="s">
        <v>7711</v>
      </c>
      <c r="G164" t="s">
        <v>9218</v>
      </c>
      <c r="H164" s="89" t="s">
        <v>6008</v>
      </c>
      <c r="I164" s="89" t="s">
        <v>5931</v>
      </c>
      <c r="J164" s="89" t="s">
        <v>5742</v>
      </c>
      <c r="K164" s="475" t="s">
        <v>5742</v>
      </c>
    </row>
    <row r="165" spans="1:11" ht="43.2" x14ac:dyDescent="0.3">
      <c r="A165" t="s">
        <v>4118</v>
      </c>
      <c r="B165" s="442" t="str">
        <f t="shared" si="6"/>
        <v>City</v>
      </c>
      <c r="C165" s="492" t="s">
        <v>8182</v>
      </c>
      <c r="D165" t="s">
        <v>10</v>
      </c>
      <c r="E165" s="492" t="s">
        <v>8646</v>
      </c>
      <c r="F165" s="493" t="s">
        <v>7712</v>
      </c>
      <c r="G165" t="s">
        <v>9219</v>
      </c>
      <c r="H165" s="89" t="s">
        <v>6914</v>
      </c>
      <c r="I165" s="89" t="s">
        <v>5932</v>
      </c>
      <c r="J165" s="89" t="s">
        <v>5850</v>
      </c>
      <c r="K165" s="475" t="s">
        <v>5743</v>
      </c>
    </row>
    <row r="166" spans="1:11" x14ac:dyDescent="0.3">
      <c r="A166" t="s">
        <v>4119</v>
      </c>
      <c r="B166" s="442" t="str">
        <f t="shared" si="6"/>
        <v>Country</v>
      </c>
      <c r="C166" s="492" t="s">
        <v>7713</v>
      </c>
      <c r="D166" t="s">
        <v>11</v>
      </c>
      <c r="E166" s="492" t="s">
        <v>8647</v>
      </c>
      <c r="F166" s="493" t="s">
        <v>7713</v>
      </c>
      <c r="G166" t="s">
        <v>9220</v>
      </c>
      <c r="H166" s="89" t="s">
        <v>6915</v>
      </c>
      <c r="I166" s="89" t="s">
        <v>5933</v>
      </c>
      <c r="J166" s="89" t="s">
        <v>5744</v>
      </c>
      <c r="K166" s="475" t="s">
        <v>5744</v>
      </c>
    </row>
    <row r="167" spans="1:11" x14ac:dyDescent="0.3">
      <c r="A167" t="s">
        <v>4120</v>
      </c>
      <c r="B167" s="442" t="str">
        <f t="shared" si="6"/>
        <v>GPS Coordinates (geolocation)</v>
      </c>
      <c r="C167" s="492" t="s">
        <v>8183</v>
      </c>
      <c r="D167" t="s">
        <v>2920</v>
      </c>
      <c r="E167" s="492" t="s">
        <v>8648</v>
      </c>
      <c r="F167" s="493" t="s">
        <v>7714</v>
      </c>
      <c r="G167" t="s">
        <v>9221</v>
      </c>
      <c r="H167" s="89" t="s">
        <v>6916</v>
      </c>
      <c r="I167" s="89" t="s">
        <v>6231</v>
      </c>
      <c r="J167" s="89" t="s">
        <v>5851</v>
      </c>
      <c r="K167" s="475" t="s">
        <v>5745</v>
      </c>
    </row>
    <row r="168" spans="1:11" s="12" customFormat="1" ht="13.95" customHeight="1" thickBot="1" x14ac:dyDescent="0.35">
      <c r="A168" s="12" t="s">
        <v>4121</v>
      </c>
      <c r="B168" s="476" t="str">
        <f t="shared" si="6"/>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500" t="s">
        <v>8184</v>
      </c>
      <c r="D168" s="477" t="s">
        <v>4364</v>
      </c>
      <c r="E168" s="500" t="s">
        <v>8649</v>
      </c>
      <c r="F168" s="494" t="s">
        <v>7715</v>
      </c>
      <c r="G168" s="12" t="s">
        <v>9222</v>
      </c>
      <c r="H168" s="443" t="s">
        <v>6917</v>
      </c>
      <c r="I168" s="443" t="s">
        <v>6232</v>
      </c>
      <c r="J168" s="443" t="s">
        <v>7272</v>
      </c>
      <c r="K168" s="498" t="s">
        <v>6595</v>
      </c>
    </row>
    <row r="169" spans="1:11" ht="28.8" x14ac:dyDescent="0.3">
      <c r="A169" t="s">
        <v>4122</v>
      </c>
      <c r="B169" s="442" t="str">
        <f t="shared" si="6"/>
        <v>B2 – Practices policies and future initiatives for transitioning towards a more sustainable economy</v>
      </c>
      <c r="C169" s="492" t="s">
        <v>8185</v>
      </c>
      <c r="D169" t="s">
        <v>4032</v>
      </c>
      <c r="E169" s="492" t="s">
        <v>8560</v>
      </c>
      <c r="F169" s="493" t="s">
        <v>7716</v>
      </c>
      <c r="G169" t="s">
        <v>9223</v>
      </c>
      <c r="H169" s="89" t="s">
        <v>6918</v>
      </c>
      <c r="I169" s="89" t="s">
        <v>5934</v>
      </c>
      <c r="J169" s="89" t="s">
        <v>7213</v>
      </c>
      <c r="K169" s="475" t="s">
        <v>5746</v>
      </c>
    </row>
    <row r="170" spans="1:11" ht="43.2" x14ac:dyDescent="0.3">
      <c r="A170" t="s">
        <v>4123</v>
      </c>
      <c r="B170" s="442" t="str">
        <f t="shared" si="6"/>
        <v>Has the undertaking put in place specific practices policies and or future initiatives for transitioning towards a more sustainable economy?</v>
      </c>
      <c r="C170" s="492" t="s">
        <v>8186</v>
      </c>
      <c r="D170" t="s">
        <v>4054</v>
      </c>
      <c r="E170" s="492" t="s">
        <v>8650</v>
      </c>
      <c r="F170" s="493" t="s">
        <v>7717</v>
      </c>
      <c r="G170" t="s">
        <v>9224</v>
      </c>
      <c r="H170" s="89" t="s">
        <v>6919</v>
      </c>
      <c r="I170" s="89" t="s">
        <v>6233</v>
      </c>
      <c r="J170" s="89" t="s">
        <v>7273</v>
      </c>
      <c r="K170" s="475" t="s">
        <v>6596</v>
      </c>
    </row>
    <row r="171" spans="1:11" ht="43.2" x14ac:dyDescent="0.3">
      <c r="A171" t="s">
        <v>4124</v>
      </c>
      <c r="B171" s="442" t="str">
        <f t="shared" si="6"/>
        <v>Sustainability issues addressed by a practice policy and or future initiatives that the undertaking has put in place</v>
      </c>
      <c r="C171" s="492" t="s">
        <v>8187</v>
      </c>
      <c r="D171" t="s">
        <v>4055</v>
      </c>
      <c r="E171" s="492" t="s">
        <v>8651</v>
      </c>
      <c r="F171" s="493" t="s">
        <v>7718</v>
      </c>
      <c r="G171" t="s">
        <v>9225</v>
      </c>
      <c r="H171" s="89" t="s">
        <v>6920</v>
      </c>
      <c r="I171" s="89" t="s">
        <v>6234</v>
      </c>
      <c r="J171" s="89" t="s">
        <v>7274</v>
      </c>
      <c r="K171" s="475" t="s">
        <v>6597</v>
      </c>
    </row>
    <row r="172" spans="1:11" ht="43.2" x14ac:dyDescent="0.3">
      <c r="A172" t="s">
        <v>4125</v>
      </c>
      <c r="B172" s="442" t="str">
        <f t="shared" si="6"/>
        <v>Undertaking has a practice policy and or future initiative that is publicly available</v>
      </c>
      <c r="C172" s="492" t="s">
        <v>8188</v>
      </c>
      <c r="D172" t="s">
        <v>4030</v>
      </c>
      <c r="E172" s="492" t="s">
        <v>8652</v>
      </c>
      <c r="F172" s="493" t="s">
        <v>7719</v>
      </c>
      <c r="G172" t="s">
        <v>9226</v>
      </c>
      <c r="H172" s="89" t="s">
        <v>6921</v>
      </c>
      <c r="I172" s="89" t="s">
        <v>6235</v>
      </c>
      <c r="J172" s="89" t="s">
        <v>7275</v>
      </c>
      <c r="K172" s="475" t="s">
        <v>6598</v>
      </c>
    </row>
    <row r="173" spans="1:11" ht="28.8" x14ac:dyDescent="0.3">
      <c r="A173" t="s">
        <v>4126</v>
      </c>
      <c r="B173" s="442" t="str">
        <f t="shared" si="6"/>
        <v>Undertaking has set a target which is related to a policy</v>
      </c>
      <c r="C173" s="492" t="s">
        <v>8189</v>
      </c>
      <c r="D173" t="s">
        <v>3571</v>
      </c>
      <c r="E173" s="492" t="s">
        <v>8653</v>
      </c>
      <c r="F173" s="493" t="s">
        <v>7720</v>
      </c>
      <c r="G173" t="s">
        <v>9227</v>
      </c>
      <c r="H173" s="89" t="s">
        <v>6922</v>
      </c>
      <c r="I173" s="89" t="s">
        <v>6236</v>
      </c>
      <c r="J173" s="89" t="s">
        <v>7276</v>
      </c>
      <c r="K173" s="475" t="s">
        <v>6599</v>
      </c>
    </row>
    <row r="174" spans="1:11" x14ac:dyDescent="0.3">
      <c r="A174" t="s">
        <v>4127</v>
      </c>
      <c r="B174" s="442" t="str">
        <f t="shared" si="6"/>
        <v>Climate change</v>
      </c>
      <c r="C174" s="492" t="s">
        <v>8190</v>
      </c>
      <c r="D174" t="s">
        <v>2891</v>
      </c>
      <c r="E174" s="492" t="s">
        <v>8654</v>
      </c>
      <c r="F174" s="493" t="s">
        <v>7721</v>
      </c>
      <c r="G174" t="s">
        <v>9228</v>
      </c>
      <c r="H174" s="89" t="s">
        <v>6009</v>
      </c>
      <c r="I174" s="89" t="s">
        <v>6237</v>
      </c>
      <c r="J174" s="89" t="s">
        <v>7277</v>
      </c>
      <c r="K174" s="475" t="s">
        <v>5747</v>
      </c>
    </row>
    <row r="175" spans="1:11" x14ac:dyDescent="0.3">
      <c r="A175" t="s">
        <v>4128</v>
      </c>
      <c r="B175" s="442" t="str">
        <f t="shared" si="6"/>
        <v>Pollution</v>
      </c>
      <c r="C175" s="492" t="s">
        <v>8191</v>
      </c>
      <c r="D175" t="s">
        <v>2892</v>
      </c>
      <c r="E175" s="492" t="s">
        <v>2892</v>
      </c>
      <c r="F175" s="493" t="s">
        <v>7722</v>
      </c>
      <c r="G175" t="s">
        <v>9229</v>
      </c>
      <c r="H175" s="89" t="s">
        <v>6010</v>
      </c>
      <c r="I175" s="89" t="s">
        <v>5935</v>
      </c>
      <c r="J175" s="89" t="s">
        <v>5852</v>
      </c>
      <c r="K175" s="475" t="s">
        <v>5748</v>
      </c>
    </row>
    <row r="176" spans="1:11" x14ac:dyDescent="0.3">
      <c r="A176" t="s">
        <v>4129</v>
      </c>
      <c r="B176" s="442" t="str">
        <f t="shared" si="6"/>
        <v>Water and marine resources</v>
      </c>
      <c r="C176" s="492" t="s">
        <v>8192</v>
      </c>
      <c r="D176" t="s">
        <v>2893</v>
      </c>
      <c r="E176" s="492" t="s">
        <v>8655</v>
      </c>
      <c r="F176" s="493" t="s">
        <v>7723</v>
      </c>
      <c r="G176" t="s">
        <v>9230</v>
      </c>
      <c r="H176" s="89" t="s">
        <v>6011</v>
      </c>
      <c r="I176" s="89" t="s">
        <v>6238</v>
      </c>
      <c r="J176" s="89" t="s">
        <v>7278</v>
      </c>
      <c r="K176" s="475" t="s">
        <v>6600</v>
      </c>
    </row>
    <row r="177" spans="1:11" x14ac:dyDescent="0.3">
      <c r="A177" t="s">
        <v>4130</v>
      </c>
      <c r="B177" s="442" t="str">
        <f t="shared" si="6"/>
        <v>Biodiversity and ecosystems</v>
      </c>
      <c r="C177" s="492" t="s">
        <v>8193</v>
      </c>
      <c r="D177" t="s">
        <v>2894</v>
      </c>
      <c r="E177" s="492" t="s">
        <v>8656</v>
      </c>
      <c r="F177" s="493" t="s">
        <v>7724</v>
      </c>
      <c r="G177" t="s">
        <v>9231</v>
      </c>
      <c r="H177" s="89" t="s">
        <v>6012</v>
      </c>
      <c r="I177" s="89" t="s">
        <v>6239</v>
      </c>
      <c r="J177" s="89" t="s">
        <v>5853</v>
      </c>
      <c r="K177" s="475" t="s">
        <v>6102</v>
      </c>
    </row>
    <row r="178" spans="1:11" x14ac:dyDescent="0.3">
      <c r="A178" t="s">
        <v>4131</v>
      </c>
      <c r="B178" s="442" t="str">
        <f t="shared" si="6"/>
        <v>Circular economy</v>
      </c>
      <c r="C178" s="492" t="s">
        <v>8194</v>
      </c>
      <c r="D178" t="s">
        <v>2895</v>
      </c>
      <c r="E178" s="492" t="s">
        <v>8657</v>
      </c>
      <c r="F178" s="493" t="s">
        <v>7725</v>
      </c>
      <c r="G178" t="s">
        <v>9232</v>
      </c>
      <c r="H178" s="89" t="s">
        <v>6059</v>
      </c>
      <c r="I178" s="89" t="s">
        <v>5936</v>
      </c>
      <c r="J178" s="89" t="s">
        <v>5854</v>
      </c>
      <c r="K178" s="475" t="s">
        <v>5749</v>
      </c>
    </row>
    <row r="179" spans="1:11" x14ac:dyDescent="0.3">
      <c r="A179" t="s">
        <v>4132</v>
      </c>
      <c r="B179" s="442" t="str">
        <f t="shared" si="6"/>
        <v>Own workforce</v>
      </c>
      <c r="C179" s="492" t="s">
        <v>8195</v>
      </c>
      <c r="D179" t="s">
        <v>2896</v>
      </c>
      <c r="E179" s="492" t="s">
        <v>8658</v>
      </c>
      <c r="F179" s="493" t="s">
        <v>7726</v>
      </c>
      <c r="G179" t="s">
        <v>9233</v>
      </c>
      <c r="H179" s="89" t="s">
        <v>6923</v>
      </c>
      <c r="I179" s="89" t="s">
        <v>6240</v>
      </c>
      <c r="J179" s="89" t="s">
        <v>7279</v>
      </c>
      <c r="K179" s="475" t="s">
        <v>6488</v>
      </c>
    </row>
    <row r="180" spans="1:11" x14ac:dyDescent="0.3">
      <c r="A180" t="s">
        <v>4133</v>
      </c>
      <c r="B180" s="442" t="str">
        <f t="shared" si="6"/>
        <v>Workers in the value chain</v>
      </c>
      <c r="C180" s="492" t="s">
        <v>8196</v>
      </c>
      <c r="D180" t="s">
        <v>2652</v>
      </c>
      <c r="E180" s="492" t="s">
        <v>8659</v>
      </c>
      <c r="F180" s="493" t="s">
        <v>7727</v>
      </c>
      <c r="G180" t="s">
        <v>9234</v>
      </c>
      <c r="H180" s="89" t="s">
        <v>6060</v>
      </c>
      <c r="I180" s="89" t="s">
        <v>6241</v>
      </c>
      <c r="J180" s="89" t="s">
        <v>7284</v>
      </c>
      <c r="K180" s="475" t="s">
        <v>6601</v>
      </c>
    </row>
    <row r="181" spans="1:11" x14ac:dyDescent="0.3">
      <c r="A181" t="s">
        <v>4134</v>
      </c>
      <c r="B181" s="442" t="str">
        <f t="shared" si="6"/>
        <v>Affected communities</v>
      </c>
      <c r="C181" s="492" t="s">
        <v>8197</v>
      </c>
      <c r="D181" t="s">
        <v>2897</v>
      </c>
      <c r="E181" s="492" t="s">
        <v>8660</v>
      </c>
      <c r="F181" s="493" t="s">
        <v>7728</v>
      </c>
      <c r="G181" t="s">
        <v>9235</v>
      </c>
      <c r="H181" s="89" t="s">
        <v>6924</v>
      </c>
      <c r="I181" s="89" t="s">
        <v>6242</v>
      </c>
      <c r="J181" s="89" t="s">
        <v>5855</v>
      </c>
      <c r="K181" s="475" t="s">
        <v>5750</v>
      </c>
    </row>
    <row r="182" spans="1:11" x14ac:dyDescent="0.3">
      <c r="A182" t="s">
        <v>4135</v>
      </c>
      <c r="B182" s="442" t="str">
        <f t="shared" si="6"/>
        <v>Consumers and end-users</v>
      </c>
      <c r="C182" s="492" t="s">
        <v>8198</v>
      </c>
      <c r="D182" t="s">
        <v>2898</v>
      </c>
      <c r="E182" s="492" t="s">
        <v>8661</v>
      </c>
      <c r="F182" s="493" t="s">
        <v>7729</v>
      </c>
      <c r="G182" t="s">
        <v>9236</v>
      </c>
      <c r="H182" s="89" t="s">
        <v>6061</v>
      </c>
      <c r="I182" s="89" t="s">
        <v>5937</v>
      </c>
      <c r="J182" s="89" t="s">
        <v>5856</v>
      </c>
      <c r="K182" s="475" t="s">
        <v>5751</v>
      </c>
    </row>
    <row r="183" spans="1:11" s="12" customFormat="1" ht="15" thickBot="1" x14ac:dyDescent="0.35">
      <c r="A183" s="12" t="s">
        <v>4136</v>
      </c>
      <c r="B183" s="476" t="str">
        <f t="shared" si="6"/>
        <v>Business conduct</v>
      </c>
      <c r="C183" s="500" t="s">
        <v>8199</v>
      </c>
      <c r="D183" s="12" t="s">
        <v>2889</v>
      </c>
      <c r="E183" s="500" t="s">
        <v>8662</v>
      </c>
      <c r="F183" s="494" t="s">
        <v>7730</v>
      </c>
      <c r="G183" s="12" t="s">
        <v>9237</v>
      </c>
      <c r="H183" s="443" t="s">
        <v>6925</v>
      </c>
      <c r="I183" s="443" t="s">
        <v>6243</v>
      </c>
      <c r="J183" s="443" t="s">
        <v>7280</v>
      </c>
      <c r="K183" s="498" t="s">
        <v>5752</v>
      </c>
    </row>
    <row r="184" spans="1:11" x14ac:dyDescent="0.3">
      <c r="A184" t="s">
        <v>4137</v>
      </c>
      <c r="B184" s="442" t="str">
        <f t="shared" si="6"/>
        <v>B2 - Cooperative specific disclosures</v>
      </c>
      <c r="C184" s="492" t="s">
        <v>8200</v>
      </c>
      <c r="D184" t="s">
        <v>4006</v>
      </c>
      <c r="E184" s="475" t="s">
        <v>8663</v>
      </c>
      <c r="F184" s="493" t="s">
        <v>7731</v>
      </c>
      <c r="G184" t="s">
        <v>9238</v>
      </c>
      <c r="H184" s="89" t="s">
        <v>6013</v>
      </c>
      <c r="I184" s="89" t="s">
        <v>5938</v>
      </c>
      <c r="J184" s="89" t="s">
        <v>5857</v>
      </c>
      <c r="K184" s="475" t="s">
        <v>5753</v>
      </c>
    </row>
    <row r="185" spans="1:11" ht="43.2" x14ac:dyDescent="0.3">
      <c r="A185" t="s">
        <v>4138</v>
      </c>
      <c r="B185" s="442" t="str">
        <f t="shared" si="6"/>
        <v>Effective participation of workers users or other interested parties or communities in governance</v>
      </c>
      <c r="C185" s="492" t="s">
        <v>8201</v>
      </c>
      <c r="D185" t="s">
        <v>4029</v>
      </c>
      <c r="E185" s="492" t="s">
        <v>8664</v>
      </c>
      <c r="F185" s="493" t="s">
        <v>7732</v>
      </c>
      <c r="G185" t="s">
        <v>9239</v>
      </c>
      <c r="H185" s="89" t="s">
        <v>6926</v>
      </c>
      <c r="I185" s="89" t="s">
        <v>6244</v>
      </c>
      <c r="J185" s="89" t="s">
        <v>7285</v>
      </c>
      <c r="K185" s="475" t="s">
        <v>6602</v>
      </c>
    </row>
    <row r="186" spans="1:11" ht="57.6" x14ac:dyDescent="0.3">
      <c r="A186" t="s">
        <v>4139</v>
      </c>
      <c r="B186" s="442" t="str">
        <f t="shared" si="6"/>
        <v>Financial investment in the capital or assets of social economy entities referred to in the Council Recommendation of 29 September 2023 (excluding donations and contributions)</v>
      </c>
      <c r="C186" s="492" t="s">
        <v>8202</v>
      </c>
      <c r="D186" t="s">
        <v>3674</v>
      </c>
      <c r="E186" s="492" t="s">
        <v>8665</v>
      </c>
      <c r="F186" s="493" t="s">
        <v>7733</v>
      </c>
      <c r="G186" t="s">
        <v>9240</v>
      </c>
      <c r="H186" s="89" t="s">
        <v>6927</v>
      </c>
      <c r="I186" s="89" t="s">
        <v>6245</v>
      </c>
      <c r="J186" s="89" t="s">
        <v>7286</v>
      </c>
      <c r="K186" s="475" t="s">
        <v>6603</v>
      </c>
    </row>
    <row r="187" spans="1:11" s="12" customFormat="1" ht="58.2" thickBot="1" x14ac:dyDescent="0.35">
      <c r="A187" s="12" t="s">
        <v>4140</v>
      </c>
      <c r="B187" s="476" t="str">
        <f t="shared" si="6"/>
        <v>Any limits to the distribution of profits connected to the mutualistic nature or to the nature of the activities consisting in services of general economic interest (SGEI)</v>
      </c>
      <c r="C187" s="500" t="s">
        <v>8203</v>
      </c>
      <c r="D187" s="12" t="s">
        <v>4631</v>
      </c>
      <c r="E187" s="500" t="s">
        <v>8666</v>
      </c>
      <c r="F187" s="494" t="s">
        <v>7734</v>
      </c>
      <c r="G187" s="12" t="s">
        <v>9241</v>
      </c>
      <c r="H187" s="443" t="s">
        <v>6928</v>
      </c>
      <c r="I187" s="443" t="s">
        <v>6246</v>
      </c>
      <c r="J187" s="443" t="s">
        <v>7287</v>
      </c>
      <c r="K187" s="498" t="s">
        <v>6604</v>
      </c>
    </row>
    <row r="188" spans="1:11" ht="43.2" x14ac:dyDescent="0.3">
      <c r="A188" t="s">
        <v>4141</v>
      </c>
      <c r="B188" s="442" t="str">
        <f t="shared" si="6"/>
        <v>C2 – Description of practices policies and future initiatives for transitioning towards a more sustainable economy</v>
      </c>
      <c r="C188" s="492" t="s">
        <v>8204</v>
      </c>
      <c r="D188" t="s">
        <v>4033</v>
      </c>
      <c r="E188" s="492" t="s">
        <v>8583</v>
      </c>
      <c r="F188" s="493" t="s">
        <v>7735</v>
      </c>
      <c r="G188" t="s">
        <v>9242</v>
      </c>
      <c r="H188" s="89" t="s">
        <v>6929</v>
      </c>
      <c r="I188" s="89" t="s">
        <v>5939</v>
      </c>
      <c r="J188" s="89" t="s">
        <v>7288</v>
      </c>
      <c r="K188" s="475" t="s">
        <v>6563</v>
      </c>
    </row>
    <row r="189" spans="1:11" ht="72" x14ac:dyDescent="0.3">
      <c r="A189" t="s">
        <v>4142</v>
      </c>
      <c r="B189" s="442" t="str">
        <f t="shared" si="6"/>
        <v>Description of a practice policy and or future initiative towards a more sustainable future (In case the practice  policy  future initiative covers suppliers or clients the undertaking shall mention it)</v>
      </c>
      <c r="C189" s="492" t="s">
        <v>8205</v>
      </c>
      <c r="D189" t="s">
        <v>4056</v>
      </c>
      <c r="E189" s="492" t="s">
        <v>8667</v>
      </c>
      <c r="F189" s="493" t="s">
        <v>7736</v>
      </c>
      <c r="G189" t="s">
        <v>9243</v>
      </c>
      <c r="H189" s="89" t="s">
        <v>6930</v>
      </c>
      <c r="I189" s="89" t="s">
        <v>6247</v>
      </c>
      <c r="J189" s="89" t="s">
        <v>7289</v>
      </c>
      <c r="K189" s="475" t="s">
        <v>6605</v>
      </c>
    </row>
    <row r="190" spans="1:11" ht="43.2" x14ac:dyDescent="0.3">
      <c r="A190" t="s">
        <v>4143</v>
      </c>
      <c r="B190" s="442" t="str">
        <f t="shared" si="6"/>
        <v>Description of target related to a policy</v>
      </c>
      <c r="C190" s="492" t="s">
        <v>8206</v>
      </c>
      <c r="D190" t="s">
        <v>3572</v>
      </c>
      <c r="E190" s="492" t="s">
        <v>8668</v>
      </c>
      <c r="F190" s="493" t="s">
        <v>7737</v>
      </c>
      <c r="G190" t="s">
        <v>9244</v>
      </c>
      <c r="H190" s="89" t="s">
        <v>6014</v>
      </c>
      <c r="I190" s="89" t="s">
        <v>6248</v>
      </c>
      <c r="J190" s="89" t="s">
        <v>7290</v>
      </c>
      <c r="K190" s="475" t="s">
        <v>6606</v>
      </c>
    </row>
    <row r="191" spans="1:11" s="12" customFormat="1" ht="43.8" thickBot="1" x14ac:dyDescent="0.35">
      <c r="A191" s="12" t="s">
        <v>4144</v>
      </c>
      <c r="B191" s="476" t="str">
        <f t="shared" si="6"/>
        <v>Most senior level within its employees that is accountable for implementing the policies when this has been determined by the undertaking</v>
      </c>
      <c r="C191" s="500" t="s">
        <v>8207</v>
      </c>
      <c r="D191" s="12" t="s">
        <v>4616</v>
      </c>
      <c r="E191" s="500" t="s">
        <v>8669</v>
      </c>
      <c r="F191" s="494" t="s">
        <v>7738</v>
      </c>
      <c r="G191" s="12" t="s">
        <v>9245</v>
      </c>
      <c r="H191" s="443" t="s">
        <v>6931</v>
      </c>
      <c r="I191" s="443" t="s">
        <v>6249</v>
      </c>
      <c r="J191" s="443" t="s">
        <v>7291</v>
      </c>
      <c r="K191" s="498" t="s">
        <v>6607</v>
      </c>
    </row>
    <row r="192" spans="1:11" ht="28.8" x14ac:dyDescent="0.3">
      <c r="A192" t="s">
        <v>4145</v>
      </c>
      <c r="B192" s="442" t="str">
        <f t="shared" si="6"/>
        <v>C1 – Strategy: Business Model and Sustainability – Related Initiatives</v>
      </c>
      <c r="C192" s="492" t="s">
        <v>8208</v>
      </c>
      <c r="D192" t="s">
        <v>12</v>
      </c>
      <c r="E192" s="492" t="s">
        <v>8670</v>
      </c>
      <c r="F192" s="493" t="s">
        <v>7739</v>
      </c>
      <c r="G192" t="s">
        <v>9246</v>
      </c>
      <c r="H192" s="89" t="s">
        <v>6932</v>
      </c>
      <c r="I192" s="89" t="s">
        <v>6250</v>
      </c>
      <c r="J192" s="89" t="s">
        <v>7292</v>
      </c>
      <c r="K192" s="475" t="s">
        <v>6510</v>
      </c>
    </row>
    <row r="193" spans="1:11" ht="28.8" x14ac:dyDescent="0.3">
      <c r="A193" t="s">
        <v>4146</v>
      </c>
      <c r="B193" s="442" t="str">
        <f t="shared" si="6"/>
        <v>Description of significant groups of products and or services offered</v>
      </c>
      <c r="C193" s="492" t="s">
        <v>8209</v>
      </c>
      <c r="D193" t="s">
        <v>3992</v>
      </c>
      <c r="E193" s="492" t="s">
        <v>8671</v>
      </c>
      <c r="F193" s="493" t="s">
        <v>7740</v>
      </c>
      <c r="G193" t="s">
        <v>9247</v>
      </c>
      <c r="H193" s="89" t="s">
        <v>6933</v>
      </c>
      <c r="I193" s="89" t="s">
        <v>6251</v>
      </c>
      <c r="J193" s="89" t="s">
        <v>7293</v>
      </c>
      <c r="K193" s="475" t="s">
        <v>6489</v>
      </c>
    </row>
    <row r="194" spans="1:11" ht="57.6" x14ac:dyDescent="0.3">
      <c r="A194" t="s">
        <v>4147</v>
      </c>
      <c r="B194" s="442" t="str">
        <f t="shared" si="6"/>
        <v>Description of significant market(s) the undertaking operates in (e.g. B2B, wholesale, retail, countries)</v>
      </c>
      <c r="C194" s="492" t="s">
        <v>8210</v>
      </c>
      <c r="D194" t="s">
        <v>4632</v>
      </c>
      <c r="E194" s="492" t="s">
        <v>8672</v>
      </c>
      <c r="F194" s="493" t="s">
        <v>7741</v>
      </c>
      <c r="G194" t="s">
        <v>9248</v>
      </c>
      <c r="H194" s="89" t="s">
        <v>6934</v>
      </c>
      <c r="I194" s="89" t="s">
        <v>6252</v>
      </c>
      <c r="J194" s="89" t="s">
        <v>7294</v>
      </c>
      <c r="K194" s="475" t="s">
        <v>6608</v>
      </c>
    </row>
    <row r="195" spans="1:11" s="12" customFormat="1" ht="29.4" thickBot="1" x14ac:dyDescent="0.35">
      <c r="A195" s="12" t="s">
        <v>4367</v>
      </c>
      <c r="B195" s="476" t="str">
        <f t="shared" si="6"/>
        <v>Description of main business relationships (such as key suppliers, customers, distribution channels)</v>
      </c>
      <c r="C195" s="500" t="s">
        <v>8211</v>
      </c>
      <c r="D195" s="12" t="s">
        <v>4615</v>
      </c>
      <c r="E195" s="500" t="s">
        <v>8673</v>
      </c>
      <c r="F195" s="494" t="s">
        <v>7742</v>
      </c>
      <c r="G195" s="12" t="s">
        <v>9249</v>
      </c>
      <c r="H195" s="443" t="s">
        <v>6935</v>
      </c>
      <c r="I195" s="443" t="s">
        <v>6253</v>
      </c>
      <c r="J195" s="443" t="s">
        <v>7295</v>
      </c>
      <c r="K195" s="498" t="s">
        <v>6609</v>
      </c>
    </row>
    <row r="196" spans="1:11" ht="43.2" x14ac:dyDescent="0.3">
      <c r="A196" t="s">
        <v>4148</v>
      </c>
      <c r="B196" s="442" t="str">
        <f t="shared" ref="B196:B259" si="7">INDEX(D196:K196,MATCH(template_selected_display_language,$D$3:$K$3,0))</f>
        <v>Has the strategy key elements that relate to or affect sustainability issues?</v>
      </c>
      <c r="C196" s="492" t="s">
        <v>8212</v>
      </c>
      <c r="D196" t="s">
        <v>3087</v>
      </c>
      <c r="E196" s="492" t="s">
        <v>8674</v>
      </c>
      <c r="F196" s="493" t="s">
        <v>7743</v>
      </c>
      <c r="G196" t="s">
        <v>9250</v>
      </c>
      <c r="H196" s="89" t="s">
        <v>6936</v>
      </c>
      <c r="I196" s="89" t="s">
        <v>6254</v>
      </c>
      <c r="J196" s="89" t="s">
        <v>7296</v>
      </c>
      <c r="K196" s="475" t="s">
        <v>6610</v>
      </c>
    </row>
    <row r="197" spans="1:11" ht="28.8" x14ac:dyDescent="0.3">
      <c r="A197" t="s">
        <v>4149</v>
      </c>
      <c r="B197" s="442" t="str">
        <f t="shared" si="7"/>
        <v>Description of those key elements in the strategy that relate or affect sustainability issues</v>
      </c>
      <c r="C197" s="492" t="s">
        <v>8213</v>
      </c>
      <c r="D197" t="s">
        <v>3573</v>
      </c>
      <c r="E197" s="492" t="s">
        <v>8675</v>
      </c>
      <c r="F197" s="493" t="s">
        <v>7744</v>
      </c>
      <c r="G197" t="s">
        <v>9251</v>
      </c>
      <c r="H197" s="89" t="s">
        <v>6937</v>
      </c>
      <c r="I197" s="89" t="s">
        <v>6255</v>
      </c>
      <c r="J197" s="89" t="s">
        <v>7297</v>
      </c>
      <c r="K197" s="475" t="s">
        <v>6490</v>
      </c>
    </row>
    <row r="198" spans="1:11" s="12" customFormat="1" ht="43.8" thickBot="1" x14ac:dyDescent="0.35">
      <c r="A198" s="12" t="s">
        <v>4150</v>
      </c>
      <c r="B198" s="476" t="str">
        <f t="shared" si="7"/>
        <v>Disclosure of any other general and or entity specific information on the reporting period</v>
      </c>
      <c r="C198" s="500" t="s">
        <v>8214</v>
      </c>
      <c r="D198" s="12" t="s">
        <v>3993</v>
      </c>
      <c r="E198" s="500" t="s">
        <v>8676</v>
      </c>
      <c r="F198" s="494" t="s">
        <v>7745</v>
      </c>
      <c r="G198" s="12" t="s">
        <v>9252</v>
      </c>
      <c r="H198" s="443" t="s">
        <v>6938</v>
      </c>
      <c r="I198" s="443" t="s">
        <v>6193</v>
      </c>
      <c r="J198" s="443" t="s">
        <v>7298</v>
      </c>
      <c r="K198" s="498" t="s">
        <v>6611</v>
      </c>
    </row>
    <row r="199" spans="1:11" x14ac:dyDescent="0.3">
      <c r="A199" t="s">
        <v>4151</v>
      </c>
      <c r="B199" s="442" t="str">
        <f t="shared" si="7"/>
        <v>B3 - Total Energy Consumption (in MWh)</v>
      </c>
      <c r="C199" s="492" t="s">
        <v>8215</v>
      </c>
      <c r="D199" t="s">
        <v>3955</v>
      </c>
      <c r="E199" s="492" t="s">
        <v>8677</v>
      </c>
      <c r="F199" s="493" t="s">
        <v>7746</v>
      </c>
      <c r="G199" t="s">
        <v>9253</v>
      </c>
      <c r="H199" s="89" t="s">
        <v>6939</v>
      </c>
      <c r="I199" s="89" t="s">
        <v>5940</v>
      </c>
      <c r="J199" s="89" t="s">
        <v>7299</v>
      </c>
      <c r="K199" s="475" t="s">
        <v>6612</v>
      </c>
    </row>
    <row r="200" spans="1:11" s="12" customFormat="1" ht="29.4" thickBot="1" x14ac:dyDescent="0.35">
      <c r="A200" s="12" t="s">
        <v>4152</v>
      </c>
      <c r="B200" s="476" t="str">
        <f t="shared" si="7"/>
        <v>Total Energy Consumption</v>
      </c>
      <c r="C200" s="500" t="s">
        <v>8216</v>
      </c>
      <c r="D200" s="12" t="s">
        <v>2876</v>
      </c>
      <c r="E200" s="500" t="s">
        <v>8678</v>
      </c>
      <c r="F200" s="494" t="s">
        <v>7747</v>
      </c>
      <c r="G200" s="12" t="s">
        <v>9254</v>
      </c>
      <c r="H200" s="443" t="s">
        <v>6015</v>
      </c>
      <c r="I200" s="443" t="s">
        <v>5941</v>
      </c>
      <c r="J200" s="443" t="s">
        <v>6092</v>
      </c>
      <c r="K200" s="498" t="s">
        <v>6613</v>
      </c>
    </row>
    <row r="201" spans="1:11" x14ac:dyDescent="0.3">
      <c r="A201" t="s">
        <v>4153</v>
      </c>
      <c r="B201" s="442" t="str">
        <f t="shared" si="7"/>
        <v>B3 - Breakdown of energy consumption (in MWh)</v>
      </c>
      <c r="C201" s="492" t="s">
        <v>8217</v>
      </c>
      <c r="D201" t="s">
        <v>3956</v>
      </c>
      <c r="E201" s="492" t="s">
        <v>8679</v>
      </c>
      <c r="F201" s="493" t="s">
        <v>7748</v>
      </c>
      <c r="G201" t="s">
        <v>9255</v>
      </c>
      <c r="H201" s="89" t="s">
        <v>6940</v>
      </c>
      <c r="I201" s="89" t="s">
        <v>5942</v>
      </c>
      <c r="J201" s="89" t="s">
        <v>7300</v>
      </c>
      <c r="K201" s="475" t="s">
        <v>5754</v>
      </c>
    </row>
    <row r="202" spans="1:11" ht="43.2" x14ac:dyDescent="0.3">
      <c r="A202" t="s">
        <v>4154</v>
      </c>
      <c r="B202" s="442" t="str">
        <f t="shared" si="7"/>
        <v>Has the undertaking obtained the necessary information to provide an energy consumption breakdown?</v>
      </c>
      <c r="C202" s="492" t="s">
        <v>8218</v>
      </c>
      <c r="D202" t="s">
        <v>3086</v>
      </c>
      <c r="E202" s="492" t="s">
        <v>8680</v>
      </c>
      <c r="F202" s="493" t="s">
        <v>7749</v>
      </c>
      <c r="G202" t="s">
        <v>9256</v>
      </c>
      <c r="H202" s="89" t="s">
        <v>6941</v>
      </c>
      <c r="I202" s="89" t="s">
        <v>6256</v>
      </c>
      <c r="J202" s="89" t="s">
        <v>7301</v>
      </c>
      <c r="K202" s="475" t="s">
        <v>5755</v>
      </c>
    </row>
    <row r="203" spans="1:11" x14ac:dyDescent="0.3">
      <c r="A203" t="s">
        <v>4155</v>
      </c>
      <c r="B203" s="442" t="str">
        <f t="shared" si="7"/>
        <v>Renewable</v>
      </c>
      <c r="C203" s="492" t="s">
        <v>8219</v>
      </c>
      <c r="D203" t="s">
        <v>3050</v>
      </c>
      <c r="E203" s="492" t="s">
        <v>8681</v>
      </c>
      <c r="F203" s="493" t="s">
        <v>7750</v>
      </c>
      <c r="G203" t="s">
        <v>9257</v>
      </c>
      <c r="H203" s="89" t="s">
        <v>6942</v>
      </c>
      <c r="I203" s="89" t="s">
        <v>5943</v>
      </c>
      <c r="J203" s="89" t="s">
        <v>5858</v>
      </c>
      <c r="K203" s="475" t="s">
        <v>5756</v>
      </c>
    </row>
    <row r="204" spans="1:11" x14ac:dyDescent="0.3">
      <c r="A204" t="s">
        <v>4156</v>
      </c>
      <c r="B204" s="442" t="str">
        <f t="shared" si="7"/>
        <v>Non-renewable</v>
      </c>
      <c r="C204" s="492" t="s">
        <v>8220</v>
      </c>
      <c r="D204" t="s">
        <v>3051</v>
      </c>
      <c r="E204" s="492" t="s">
        <v>8682</v>
      </c>
      <c r="F204" s="493" t="s">
        <v>7751</v>
      </c>
      <c r="G204" t="s">
        <v>9258</v>
      </c>
      <c r="H204" s="89" t="s">
        <v>6943</v>
      </c>
      <c r="I204" s="89" t="s">
        <v>6257</v>
      </c>
      <c r="J204" s="89" t="s">
        <v>5859</v>
      </c>
      <c r="K204" s="475" t="s">
        <v>5757</v>
      </c>
    </row>
    <row r="205" spans="1:11" x14ac:dyDescent="0.3">
      <c r="A205" t="s">
        <v>4157</v>
      </c>
      <c r="B205" s="442" t="str">
        <f t="shared" si="7"/>
        <v>Total renewable and non-renewable</v>
      </c>
      <c r="C205" s="492" t="s">
        <v>8221</v>
      </c>
      <c r="D205" t="s">
        <v>3052</v>
      </c>
      <c r="E205" s="492" t="s">
        <v>8683</v>
      </c>
      <c r="F205" s="493" t="s">
        <v>7752</v>
      </c>
      <c r="G205" t="s">
        <v>9259</v>
      </c>
      <c r="H205" s="89" t="s">
        <v>6944</v>
      </c>
      <c r="I205" s="89" t="s">
        <v>6258</v>
      </c>
      <c r="J205" s="89" t="s">
        <v>5860</v>
      </c>
      <c r="K205" s="475" t="s">
        <v>5758</v>
      </c>
    </row>
    <row r="206" spans="1:11" ht="28.8" x14ac:dyDescent="0.3">
      <c r="A206" t="s">
        <v>4158</v>
      </c>
      <c r="B206" s="442" t="str">
        <f t="shared" si="7"/>
        <v>Electricity (as reflected in utility billings)</v>
      </c>
      <c r="C206" s="492" t="s">
        <v>8222</v>
      </c>
      <c r="D206" t="s">
        <v>13</v>
      </c>
      <c r="E206" s="501" t="s">
        <v>8684</v>
      </c>
      <c r="F206" s="493" t="s">
        <v>7753</v>
      </c>
      <c r="G206" t="s">
        <v>9260</v>
      </c>
      <c r="H206" s="89" t="s">
        <v>6945</v>
      </c>
      <c r="I206" s="89" t="s">
        <v>6259</v>
      </c>
      <c r="J206" s="89" t="s">
        <v>7302</v>
      </c>
      <c r="K206" s="475" t="s">
        <v>6614</v>
      </c>
    </row>
    <row r="207" spans="1:11" x14ac:dyDescent="0.3">
      <c r="A207" t="s">
        <v>4159</v>
      </c>
      <c r="B207" s="442" t="str">
        <f t="shared" si="7"/>
        <v>Self-generated electricity</v>
      </c>
      <c r="C207" s="492" t="s">
        <v>8223</v>
      </c>
      <c r="D207" t="s">
        <v>3957</v>
      </c>
      <c r="E207" s="492" t="s">
        <v>8685</v>
      </c>
      <c r="F207" s="493" t="s">
        <v>7754</v>
      </c>
      <c r="G207" t="s">
        <v>9261</v>
      </c>
      <c r="H207" s="89" t="s">
        <v>6946</v>
      </c>
      <c r="I207" s="89" t="s">
        <v>6260</v>
      </c>
      <c r="J207" s="89" t="s">
        <v>7303</v>
      </c>
      <c r="K207" s="475" t="s">
        <v>6615</v>
      </c>
    </row>
    <row r="208" spans="1:11" s="12" customFormat="1" ht="29.4" thickBot="1" x14ac:dyDescent="0.35">
      <c r="A208" s="12" t="s">
        <v>4160</v>
      </c>
      <c r="B208" s="476" t="str">
        <f t="shared" si="7"/>
        <v>Fuels (see Fuel Converter on Fuels worksheet)</v>
      </c>
      <c r="C208" s="500" t="s">
        <v>8224</v>
      </c>
      <c r="D208" s="12" t="s">
        <v>3958</v>
      </c>
      <c r="E208" s="500" t="s">
        <v>8686</v>
      </c>
      <c r="F208" s="494" t="s">
        <v>7755</v>
      </c>
      <c r="G208" s="12" t="s">
        <v>9262</v>
      </c>
      <c r="H208" s="443" t="s">
        <v>6947</v>
      </c>
      <c r="I208" s="443" t="s">
        <v>6261</v>
      </c>
      <c r="J208" s="443" t="s">
        <v>7304</v>
      </c>
      <c r="K208" s="498" t="s">
        <v>6616</v>
      </c>
    </row>
    <row r="209" spans="1:11" ht="57.6" x14ac:dyDescent="0.3">
      <c r="A209" t="s">
        <v>4161</v>
      </c>
      <c r="B209" s="442" t="str">
        <f t="shared" si="7"/>
        <v>B3 - Estimated Greenhouse Gas Emissions considering the GHG Protocol Version 2004 (in tCO2e)</v>
      </c>
      <c r="C209" s="492" t="s">
        <v>8225</v>
      </c>
      <c r="D209" t="s">
        <v>4007</v>
      </c>
      <c r="E209" s="492" t="s">
        <v>8687</v>
      </c>
      <c r="F209" s="493" t="s">
        <v>7756</v>
      </c>
      <c r="G209" t="s">
        <v>9263</v>
      </c>
      <c r="H209" s="89" t="s">
        <v>6948</v>
      </c>
      <c r="I209" s="89" t="s">
        <v>6262</v>
      </c>
      <c r="J209" s="89" t="s">
        <v>7305</v>
      </c>
      <c r="K209" s="475" t="s">
        <v>6617</v>
      </c>
    </row>
    <row r="210" spans="1:11" x14ac:dyDescent="0.3">
      <c r="A210" t="s">
        <v>4162</v>
      </c>
      <c r="B210" s="442" t="str">
        <f t="shared" si="7"/>
        <v>C3 - GHG reduction targets (in tC02e)</v>
      </c>
      <c r="C210" s="492" t="s">
        <v>8226</v>
      </c>
      <c r="D210" t="s">
        <v>4008</v>
      </c>
      <c r="E210" s="492" t="s">
        <v>8584</v>
      </c>
      <c r="F210" s="493" t="s">
        <v>7757</v>
      </c>
      <c r="G210" t="s">
        <v>9264</v>
      </c>
      <c r="H210" s="89" t="s">
        <v>6949</v>
      </c>
      <c r="I210" s="89" t="s">
        <v>6263</v>
      </c>
      <c r="J210" s="89" t="s">
        <v>7306</v>
      </c>
      <c r="K210" s="475" t="s">
        <v>6618</v>
      </c>
    </row>
    <row r="211" spans="1:11" ht="28.8" x14ac:dyDescent="0.3">
      <c r="A211" t="s">
        <v>4163</v>
      </c>
      <c r="B211" s="442" t="str">
        <f t="shared" si="7"/>
        <v>Has  the undertaking has established GHG emission reduction targets?</v>
      </c>
      <c r="C211" s="492" t="s">
        <v>8227</v>
      </c>
      <c r="D211" t="s">
        <v>3959</v>
      </c>
      <c r="E211" s="492" t="s">
        <v>8688</v>
      </c>
      <c r="F211" s="493" t="s">
        <v>7758</v>
      </c>
      <c r="G211" t="s">
        <v>9265</v>
      </c>
      <c r="H211" s="89" t="s">
        <v>6950</v>
      </c>
      <c r="I211" s="89" t="s">
        <v>6264</v>
      </c>
      <c r="J211" s="89" t="s">
        <v>7307</v>
      </c>
      <c r="K211" s="475" t="s">
        <v>6619</v>
      </c>
    </row>
    <row r="212" spans="1:11" x14ac:dyDescent="0.3">
      <c r="A212" t="s">
        <v>4164</v>
      </c>
      <c r="B212" s="442" t="str">
        <f t="shared" si="7"/>
        <v>Current Reporting Period</v>
      </c>
      <c r="C212" s="492" t="s">
        <v>8228</v>
      </c>
      <c r="D212" t="s">
        <v>14</v>
      </c>
      <c r="E212" s="492" t="s">
        <v>8689</v>
      </c>
      <c r="F212" s="493" t="s">
        <v>7759</v>
      </c>
      <c r="G212" t="s">
        <v>9266</v>
      </c>
      <c r="H212" s="89" t="s">
        <v>6053</v>
      </c>
      <c r="I212" s="89" t="s">
        <v>5944</v>
      </c>
      <c r="J212" s="89" t="s">
        <v>7308</v>
      </c>
      <c r="K212" s="475" t="s">
        <v>6620</v>
      </c>
    </row>
    <row r="213" spans="1:11" x14ac:dyDescent="0.3">
      <c r="A213" t="s">
        <v>4165</v>
      </c>
      <c r="B213" s="442" t="str">
        <f t="shared" si="7"/>
        <v>Base Year</v>
      </c>
      <c r="C213" s="492" t="s">
        <v>8229</v>
      </c>
      <c r="D213" t="s">
        <v>3534</v>
      </c>
      <c r="E213" s="492" t="s">
        <v>8690</v>
      </c>
      <c r="F213" s="493" t="s">
        <v>7760</v>
      </c>
      <c r="G213" t="s">
        <v>9267</v>
      </c>
      <c r="H213" s="89" t="s">
        <v>6951</v>
      </c>
      <c r="I213" s="89" t="s">
        <v>5945</v>
      </c>
      <c r="J213" s="89" t="s">
        <v>6093</v>
      </c>
      <c r="K213" s="475" t="s">
        <v>6621</v>
      </c>
    </row>
    <row r="214" spans="1:11" x14ac:dyDescent="0.3">
      <c r="A214" t="s">
        <v>4166</v>
      </c>
      <c r="B214" s="442" t="str">
        <f t="shared" si="7"/>
        <v>Target Year</v>
      </c>
      <c r="C214" s="492" t="s">
        <v>8230</v>
      </c>
      <c r="D214" t="s">
        <v>3535</v>
      </c>
      <c r="E214" s="492" t="s">
        <v>8691</v>
      </c>
      <c r="F214" s="493" t="s">
        <v>7761</v>
      </c>
      <c r="G214" t="s">
        <v>9268</v>
      </c>
      <c r="H214" s="89" t="s">
        <v>6016</v>
      </c>
      <c r="I214" s="89" t="s">
        <v>5946</v>
      </c>
      <c r="J214" s="89" t="s">
        <v>7309</v>
      </c>
      <c r="K214" s="475" t="s">
        <v>5759</v>
      </c>
    </row>
    <row r="215" spans="1:11" x14ac:dyDescent="0.3">
      <c r="A215" t="s">
        <v>4167</v>
      </c>
      <c r="B215" s="442" t="str">
        <f t="shared" si="7"/>
        <v>Percentage reduction from base year</v>
      </c>
      <c r="C215" s="492" t="s">
        <v>8231</v>
      </c>
      <c r="D215" t="s">
        <v>3548</v>
      </c>
      <c r="E215" s="492" t="s">
        <v>8692</v>
      </c>
      <c r="F215" s="493" t="s">
        <v>7762</v>
      </c>
      <c r="G215" t="s">
        <v>9269</v>
      </c>
      <c r="H215" s="89" t="s">
        <v>6952</v>
      </c>
      <c r="I215" s="89" t="s">
        <v>6265</v>
      </c>
      <c r="J215" s="89" t="s">
        <v>7310</v>
      </c>
      <c r="K215" s="475" t="s">
        <v>6622</v>
      </c>
    </row>
    <row r="216" spans="1:11" x14ac:dyDescent="0.3">
      <c r="A216" t="s">
        <v>4168</v>
      </c>
      <c r="B216" s="442" t="str">
        <f t="shared" si="7"/>
        <v>Year (date)</v>
      </c>
      <c r="C216" s="492" t="s">
        <v>8232</v>
      </c>
      <c r="D216" t="s">
        <v>2914</v>
      </c>
      <c r="E216" s="492" t="s">
        <v>8693</v>
      </c>
      <c r="F216" s="493" t="s">
        <v>7763</v>
      </c>
      <c r="G216" t="s">
        <v>9270</v>
      </c>
      <c r="H216" s="89" t="s">
        <v>6017</v>
      </c>
      <c r="I216" s="89" t="s">
        <v>5947</v>
      </c>
      <c r="J216" s="89" t="s">
        <v>5861</v>
      </c>
      <c r="K216" s="475" t="s">
        <v>5760</v>
      </c>
    </row>
    <row r="217" spans="1:11" x14ac:dyDescent="0.3">
      <c r="A217" t="s">
        <v>4169</v>
      </c>
      <c r="B217" s="442" t="str">
        <f t="shared" si="7"/>
        <v>Gross Scope 1 GHG Emissions</v>
      </c>
      <c r="C217" s="492" t="s">
        <v>8233</v>
      </c>
      <c r="D217" t="s">
        <v>3536</v>
      </c>
      <c r="E217" s="492" t="s">
        <v>8694</v>
      </c>
      <c r="F217" s="493" t="s">
        <v>7764</v>
      </c>
      <c r="G217" t="s">
        <v>9271</v>
      </c>
      <c r="H217" s="89" t="s">
        <v>6953</v>
      </c>
      <c r="I217" s="89" t="s">
        <v>6266</v>
      </c>
      <c r="J217" s="89" t="s">
        <v>7311</v>
      </c>
      <c r="K217" s="475" t="s">
        <v>6623</v>
      </c>
    </row>
    <row r="218" spans="1:11" ht="28.8" x14ac:dyDescent="0.3">
      <c r="A218" t="s">
        <v>4170</v>
      </c>
      <c r="B218" s="442" t="str">
        <f t="shared" si="7"/>
        <v>Gross Scope 2 location-based GHG Emissions</v>
      </c>
      <c r="C218" s="492" t="s">
        <v>8234</v>
      </c>
      <c r="D218" t="s">
        <v>3537</v>
      </c>
      <c r="E218" s="492" t="s">
        <v>8695</v>
      </c>
      <c r="F218" s="493" t="s">
        <v>7765</v>
      </c>
      <c r="G218" t="s">
        <v>9272</v>
      </c>
      <c r="H218" s="89" t="s">
        <v>6954</v>
      </c>
      <c r="I218" s="89" t="s">
        <v>6267</v>
      </c>
      <c r="J218" s="89" t="s">
        <v>7312</v>
      </c>
      <c r="K218" s="475" t="s">
        <v>5761</v>
      </c>
    </row>
    <row r="219" spans="1:11" ht="28.8" x14ac:dyDescent="0.3">
      <c r="A219" t="s">
        <v>4171</v>
      </c>
      <c r="B219" s="442" t="str">
        <f t="shared" si="7"/>
        <v>Gross scope 2 market-based GHG Emissions</v>
      </c>
      <c r="C219" s="492" t="s">
        <v>8235</v>
      </c>
      <c r="D219" t="s">
        <v>3994</v>
      </c>
      <c r="E219" s="492" t="s">
        <v>8696</v>
      </c>
      <c r="F219" s="493" t="s">
        <v>7766</v>
      </c>
      <c r="G219" t="s">
        <v>9273</v>
      </c>
      <c r="H219" s="89" t="s">
        <v>6955</v>
      </c>
      <c r="I219" s="89" t="s">
        <v>6268</v>
      </c>
      <c r="J219" s="89" t="s">
        <v>7313</v>
      </c>
      <c r="K219" s="475" t="s">
        <v>6624</v>
      </c>
    </row>
    <row r="220" spans="1:11" ht="28.8" x14ac:dyDescent="0.3">
      <c r="A220" t="s">
        <v>4172</v>
      </c>
      <c r="B220" s="442" t="str">
        <f t="shared" si="7"/>
        <v>Total Scope 1 and Scope 2 GHG Emissions (location-based)</v>
      </c>
      <c r="C220" s="492" t="s">
        <v>8236</v>
      </c>
      <c r="D220" t="s">
        <v>3538</v>
      </c>
      <c r="E220" s="492" t="s">
        <v>8697</v>
      </c>
      <c r="F220" s="493" t="s">
        <v>7767</v>
      </c>
      <c r="G220" t="s">
        <v>9274</v>
      </c>
      <c r="H220" s="89" t="s">
        <v>6956</v>
      </c>
      <c r="I220" s="89" t="s">
        <v>6269</v>
      </c>
      <c r="J220" s="89" t="s">
        <v>7314</v>
      </c>
      <c r="K220" s="475" t="s">
        <v>6625</v>
      </c>
    </row>
    <row r="221" spans="1:11" ht="28.8" x14ac:dyDescent="0.3">
      <c r="A221" t="s">
        <v>4173</v>
      </c>
      <c r="B221" s="442" t="str">
        <f t="shared" si="7"/>
        <v>Total Scope 1 and Scope 2 GHG emissions  (market-based)</v>
      </c>
      <c r="C221" s="492" t="s">
        <v>8237</v>
      </c>
      <c r="D221" t="s">
        <v>4009</v>
      </c>
      <c r="E221" s="492" t="s">
        <v>8698</v>
      </c>
      <c r="F221" s="493" t="s">
        <v>7768</v>
      </c>
      <c r="G221" t="s">
        <v>9275</v>
      </c>
      <c r="H221" s="89" t="s">
        <v>6956</v>
      </c>
      <c r="I221" s="89" t="s">
        <v>6270</v>
      </c>
      <c r="J221" s="89" t="s">
        <v>7315</v>
      </c>
      <c r="K221" s="475" t="s">
        <v>6626</v>
      </c>
    </row>
    <row r="222" spans="1:11" ht="28.8" x14ac:dyDescent="0.3">
      <c r="A222" t="s">
        <v>4174</v>
      </c>
      <c r="B222" s="442" t="str">
        <f t="shared" si="7"/>
        <v>Is the undertaking disclosing entity-specific information on Scope 3 emissions (in tCO2e)?</v>
      </c>
      <c r="C222" s="492" t="s">
        <v>8238</v>
      </c>
      <c r="D222" t="s">
        <v>3678</v>
      </c>
      <c r="E222" s="492" t="s">
        <v>8699</v>
      </c>
      <c r="F222" s="493" t="s">
        <v>7769</v>
      </c>
      <c r="G222" t="s">
        <v>9276</v>
      </c>
      <c r="H222" s="89" t="s">
        <v>6957</v>
      </c>
      <c r="I222" s="89" t="s">
        <v>6271</v>
      </c>
      <c r="J222" s="89" t="s">
        <v>7316</v>
      </c>
      <c r="K222" s="475" t="s">
        <v>6491</v>
      </c>
    </row>
    <row r="223" spans="1:11" x14ac:dyDescent="0.3">
      <c r="A223" t="s">
        <v>4175</v>
      </c>
      <c r="B223" s="442" t="str">
        <f t="shared" si="7"/>
        <v>1. Purchased Goods and Services</v>
      </c>
      <c r="C223" s="492" t="s">
        <v>8239</v>
      </c>
      <c r="D223" t="s">
        <v>3960</v>
      </c>
      <c r="E223" s="492" t="s">
        <v>8700</v>
      </c>
      <c r="F223" s="493" t="s">
        <v>7770</v>
      </c>
      <c r="G223" t="s">
        <v>9277</v>
      </c>
      <c r="H223" s="89" t="s">
        <v>6958</v>
      </c>
      <c r="I223" s="89" t="s">
        <v>5948</v>
      </c>
      <c r="J223" s="89" t="s">
        <v>6094</v>
      </c>
      <c r="K223" s="475" t="s">
        <v>5762</v>
      </c>
    </row>
    <row r="224" spans="1:11" x14ac:dyDescent="0.3">
      <c r="A224" t="s">
        <v>4176</v>
      </c>
      <c r="B224" s="442" t="str">
        <f t="shared" si="7"/>
        <v>2. Capital Goods</v>
      </c>
      <c r="C224" s="492" t="s">
        <v>8240</v>
      </c>
      <c r="D224" t="s">
        <v>3961</v>
      </c>
      <c r="E224" s="492" t="s">
        <v>8701</v>
      </c>
      <c r="F224" s="493" t="s">
        <v>7771</v>
      </c>
      <c r="G224" t="s">
        <v>9278</v>
      </c>
      <c r="H224" s="89" t="s">
        <v>6959</v>
      </c>
      <c r="I224" s="89" t="s">
        <v>5949</v>
      </c>
      <c r="J224" s="89" t="s">
        <v>7317</v>
      </c>
      <c r="K224" s="475" t="s">
        <v>5763</v>
      </c>
    </row>
    <row r="225" spans="1:11" ht="28.8" x14ac:dyDescent="0.3">
      <c r="A225" t="s">
        <v>4177</v>
      </c>
      <c r="B225" s="442" t="str">
        <f t="shared" si="7"/>
        <v>3. Fuel- and Energy-Related Activities (Not Included in Scope 1 or Scope 2)</v>
      </c>
      <c r="C225" s="492" t="s">
        <v>8241</v>
      </c>
      <c r="D225" t="s">
        <v>3562</v>
      </c>
      <c r="E225" s="492" t="s">
        <v>8702</v>
      </c>
      <c r="F225" s="493" t="s">
        <v>7772</v>
      </c>
      <c r="G225" t="s">
        <v>9279</v>
      </c>
      <c r="H225" s="89" t="s">
        <v>6960</v>
      </c>
      <c r="I225" s="89" t="s">
        <v>6272</v>
      </c>
      <c r="J225" s="89" t="s">
        <v>7318</v>
      </c>
      <c r="K225" s="475" t="s">
        <v>6627</v>
      </c>
    </row>
    <row r="226" spans="1:11" x14ac:dyDescent="0.3">
      <c r="A226" t="s">
        <v>4178</v>
      </c>
      <c r="B226" s="442" t="str">
        <f t="shared" si="7"/>
        <v>4. Upstream Transportation and Distribution</v>
      </c>
      <c r="C226" s="492" t="s">
        <v>8242</v>
      </c>
      <c r="D226" t="s">
        <v>3962</v>
      </c>
      <c r="E226" s="492" t="s">
        <v>8703</v>
      </c>
      <c r="F226" s="493" t="s">
        <v>7773</v>
      </c>
      <c r="G226" t="s">
        <v>9280</v>
      </c>
      <c r="H226" s="89" t="s">
        <v>6961</v>
      </c>
      <c r="I226" s="89" t="s">
        <v>6273</v>
      </c>
      <c r="J226" s="89" t="s">
        <v>5862</v>
      </c>
      <c r="K226" s="475" t="s">
        <v>5764</v>
      </c>
    </row>
    <row r="227" spans="1:11" x14ac:dyDescent="0.3">
      <c r="A227" t="s">
        <v>4179</v>
      </c>
      <c r="B227" s="442" t="str">
        <f t="shared" si="7"/>
        <v>5. Waste Generated in Operations</v>
      </c>
      <c r="C227" s="492" t="s">
        <v>8243</v>
      </c>
      <c r="D227" t="s">
        <v>3963</v>
      </c>
      <c r="E227" s="492" t="s">
        <v>8704</v>
      </c>
      <c r="F227" s="493" t="s">
        <v>7774</v>
      </c>
      <c r="G227" t="s">
        <v>9281</v>
      </c>
      <c r="H227" s="89" t="s">
        <v>6962</v>
      </c>
      <c r="I227" s="89" t="s">
        <v>6274</v>
      </c>
      <c r="J227" s="89" t="s">
        <v>7319</v>
      </c>
      <c r="K227" s="475" t="s">
        <v>5765</v>
      </c>
    </row>
    <row r="228" spans="1:11" x14ac:dyDescent="0.3">
      <c r="A228" t="s">
        <v>4180</v>
      </c>
      <c r="B228" s="442" t="str">
        <f t="shared" si="7"/>
        <v>6. Business Travel</v>
      </c>
      <c r="C228" s="492" t="s">
        <v>8244</v>
      </c>
      <c r="D228" t="s">
        <v>3964</v>
      </c>
      <c r="E228" s="492" t="s">
        <v>8705</v>
      </c>
      <c r="F228" s="493" t="s">
        <v>7775</v>
      </c>
      <c r="G228" t="s">
        <v>9282</v>
      </c>
      <c r="H228" s="89" t="s">
        <v>6018</v>
      </c>
      <c r="I228" s="89" t="s">
        <v>5950</v>
      </c>
      <c r="J228" s="89" t="s">
        <v>7320</v>
      </c>
      <c r="K228" s="475" t="s">
        <v>5766</v>
      </c>
    </row>
    <row r="229" spans="1:11" x14ac:dyDescent="0.3">
      <c r="A229" t="s">
        <v>4181</v>
      </c>
      <c r="B229" s="442" t="str">
        <f t="shared" si="7"/>
        <v>7. Employee Commuting</v>
      </c>
      <c r="C229" s="492" t="s">
        <v>8245</v>
      </c>
      <c r="D229" t="s">
        <v>3965</v>
      </c>
      <c r="E229" s="492" t="s">
        <v>8706</v>
      </c>
      <c r="F229" s="493" t="s">
        <v>7776</v>
      </c>
      <c r="G229" t="s">
        <v>9283</v>
      </c>
      <c r="H229" s="89" t="s">
        <v>6963</v>
      </c>
      <c r="I229" s="89" t="s">
        <v>5951</v>
      </c>
      <c r="J229" s="89" t="s">
        <v>7321</v>
      </c>
      <c r="K229" s="475" t="s">
        <v>6628</v>
      </c>
    </row>
    <row r="230" spans="1:11" x14ac:dyDescent="0.3">
      <c r="A230" t="s">
        <v>4182</v>
      </c>
      <c r="B230" s="442" t="str">
        <f t="shared" si="7"/>
        <v>8. Upstream Leased Assets</v>
      </c>
      <c r="C230" s="492" t="s">
        <v>8246</v>
      </c>
      <c r="D230" t="s">
        <v>3966</v>
      </c>
      <c r="E230" s="492" t="s">
        <v>8707</v>
      </c>
      <c r="F230" s="493" t="s">
        <v>7777</v>
      </c>
      <c r="G230" t="s">
        <v>9284</v>
      </c>
      <c r="H230" s="89" t="s">
        <v>6964</v>
      </c>
      <c r="I230" s="89" t="s">
        <v>6275</v>
      </c>
      <c r="J230" s="89" t="s">
        <v>7322</v>
      </c>
      <c r="K230" s="475" t="s">
        <v>6492</v>
      </c>
    </row>
    <row r="231" spans="1:11" x14ac:dyDescent="0.3">
      <c r="A231" t="s">
        <v>4183</v>
      </c>
      <c r="B231" s="442" t="str">
        <f t="shared" si="7"/>
        <v>9. Downstream Transportation and Distribution</v>
      </c>
      <c r="C231" s="492" t="s">
        <v>8247</v>
      </c>
      <c r="D231" t="s">
        <v>3967</v>
      </c>
      <c r="E231" s="492" t="s">
        <v>8708</v>
      </c>
      <c r="F231" s="493" t="s">
        <v>7778</v>
      </c>
      <c r="G231" t="s">
        <v>9285</v>
      </c>
      <c r="H231" s="89" t="s">
        <v>6965</v>
      </c>
      <c r="I231" s="89" t="s">
        <v>6276</v>
      </c>
      <c r="J231" s="89" t="s">
        <v>7323</v>
      </c>
      <c r="K231" s="475" t="s">
        <v>5767</v>
      </c>
    </row>
    <row r="232" spans="1:11" x14ac:dyDescent="0.3">
      <c r="A232" t="s">
        <v>4184</v>
      </c>
      <c r="B232" s="442" t="str">
        <f t="shared" si="7"/>
        <v>10. Processing of Sold Products</v>
      </c>
      <c r="C232" s="492" t="s">
        <v>8248</v>
      </c>
      <c r="D232" t="s">
        <v>3968</v>
      </c>
      <c r="E232" s="492" t="s">
        <v>8709</v>
      </c>
      <c r="F232" s="493" t="s">
        <v>7779</v>
      </c>
      <c r="G232" t="s">
        <v>9286</v>
      </c>
      <c r="H232" s="89" t="s">
        <v>6966</v>
      </c>
      <c r="I232" s="89" t="s">
        <v>5952</v>
      </c>
      <c r="J232" s="89" t="s">
        <v>7515</v>
      </c>
      <c r="K232" s="475" t="s">
        <v>5768</v>
      </c>
    </row>
    <row r="233" spans="1:11" x14ac:dyDescent="0.3">
      <c r="A233" t="s">
        <v>4185</v>
      </c>
      <c r="B233" s="442" t="str">
        <f t="shared" si="7"/>
        <v>11. Use of Sold Products</v>
      </c>
      <c r="C233" s="492" t="s">
        <v>8249</v>
      </c>
      <c r="D233" t="s">
        <v>3969</v>
      </c>
      <c r="E233" s="492" t="s">
        <v>8710</v>
      </c>
      <c r="F233" s="493" t="s">
        <v>7780</v>
      </c>
      <c r="G233" t="s">
        <v>9287</v>
      </c>
      <c r="H233" s="89" t="s">
        <v>6967</v>
      </c>
      <c r="I233" s="89" t="s">
        <v>6277</v>
      </c>
      <c r="J233" s="89" t="s">
        <v>5863</v>
      </c>
      <c r="K233" s="475" t="s">
        <v>6629</v>
      </c>
    </row>
    <row r="234" spans="1:11" ht="28.8" x14ac:dyDescent="0.3">
      <c r="A234" t="s">
        <v>4186</v>
      </c>
      <c r="B234" s="442" t="str">
        <f t="shared" si="7"/>
        <v>12. End-of-Life Treatment of Sold Products</v>
      </c>
      <c r="C234" s="492" t="s">
        <v>8250</v>
      </c>
      <c r="D234" t="s">
        <v>3970</v>
      </c>
      <c r="E234" s="492" t="s">
        <v>8711</v>
      </c>
      <c r="F234" s="493" t="s">
        <v>7781</v>
      </c>
      <c r="G234" t="s">
        <v>9288</v>
      </c>
      <c r="H234" s="89" t="s">
        <v>6968</v>
      </c>
      <c r="I234" s="89" t="s">
        <v>6278</v>
      </c>
      <c r="J234" s="89" t="s">
        <v>7516</v>
      </c>
      <c r="K234" s="475" t="s">
        <v>5769</v>
      </c>
    </row>
    <row r="235" spans="1:11" x14ac:dyDescent="0.3">
      <c r="A235" t="s">
        <v>4187</v>
      </c>
      <c r="B235" s="442" t="str">
        <f t="shared" si="7"/>
        <v>13. Downstream Leased Assets</v>
      </c>
      <c r="C235" s="492" t="s">
        <v>8251</v>
      </c>
      <c r="D235" t="s">
        <v>3971</v>
      </c>
      <c r="E235" s="492" t="s">
        <v>8712</v>
      </c>
      <c r="F235" s="493" t="s">
        <v>7782</v>
      </c>
      <c r="G235" t="s">
        <v>9289</v>
      </c>
      <c r="H235" s="89" t="s">
        <v>6969</v>
      </c>
      <c r="I235" s="89" t="s">
        <v>6279</v>
      </c>
      <c r="J235" s="89" t="s">
        <v>7324</v>
      </c>
      <c r="K235" s="475" t="s">
        <v>5770</v>
      </c>
    </row>
    <row r="236" spans="1:11" x14ac:dyDescent="0.3">
      <c r="A236" t="s">
        <v>4188</v>
      </c>
      <c r="B236" s="442" t="str">
        <f t="shared" si="7"/>
        <v>14. Franchises</v>
      </c>
      <c r="C236" s="492" t="s">
        <v>8252</v>
      </c>
      <c r="D236" t="s">
        <v>3972</v>
      </c>
      <c r="E236" s="492" t="s">
        <v>3972</v>
      </c>
      <c r="F236" s="493" t="s">
        <v>3972</v>
      </c>
      <c r="G236" t="s">
        <v>9290</v>
      </c>
      <c r="H236" s="89" t="s">
        <v>6019</v>
      </c>
      <c r="I236" s="89" t="s">
        <v>6075</v>
      </c>
      <c r="J236" s="89" t="s">
        <v>6095</v>
      </c>
      <c r="K236" s="475" t="s">
        <v>5771</v>
      </c>
    </row>
    <row r="237" spans="1:11" x14ac:dyDescent="0.3">
      <c r="A237" t="s">
        <v>4189</v>
      </c>
      <c r="B237" s="442" t="str">
        <f t="shared" si="7"/>
        <v>15. Investments</v>
      </c>
      <c r="C237" s="492" t="s">
        <v>8253</v>
      </c>
      <c r="D237" t="s">
        <v>3551</v>
      </c>
      <c r="E237" s="492" t="s">
        <v>8713</v>
      </c>
      <c r="F237" s="493" t="s">
        <v>7783</v>
      </c>
      <c r="G237" t="s">
        <v>9291</v>
      </c>
      <c r="H237" s="89" t="s">
        <v>6970</v>
      </c>
      <c r="I237" s="89" t="s">
        <v>6076</v>
      </c>
      <c r="J237" s="89" t="s">
        <v>5864</v>
      </c>
      <c r="K237" s="475" t="s">
        <v>5772</v>
      </c>
    </row>
    <row r="238" spans="1:11" x14ac:dyDescent="0.3">
      <c r="A238" t="s">
        <v>4190</v>
      </c>
      <c r="B238" s="442" t="str">
        <f t="shared" si="7"/>
        <v>Total Scope 3 GHG  emissions</v>
      </c>
      <c r="C238" s="492" t="s">
        <v>8254</v>
      </c>
      <c r="D238" t="s">
        <v>3576</v>
      </c>
      <c r="E238" s="492" t="s">
        <v>8714</v>
      </c>
      <c r="F238" s="493" t="s">
        <v>7784</v>
      </c>
      <c r="G238" t="s">
        <v>9292</v>
      </c>
      <c r="H238" s="89" t="s">
        <v>6971</v>
      </c>
      <c r="I238" s="89" t="s">
        <v>6280</v>
      </c>
      <c r="J238" s="89" t="s">
        <v>7325</v>
      </c>
      <c r="K238" s="475" t="s">
        <v>6630</v>
      </c>
    </row>
    <row r="239" spans="1:11" ht="28.8" x14ac:dyDescent="0.3">
      <c r="A239" t="s">
        <v>4191</v>
      </c>
      <c r="B239" s="442" t="str">
        <f t="shared" si="7"/>
        <v>Total Scope 1 Scope 2 and Scope 3 GHG Emissions (location-based)</v>
      </c>
      <c r="C239" s="492" t="s">
        <v>8255</v>
      </c>
      <c r="D239" t="s">
        <v>4034</v>
      </c>
      <c r="E239" s="492" t="s">
        <v>8715</v>
      </c>
      <c r="F239" s="493" t="s">
        <v>7785</v>
      </c>
      <c r="G239" t="s">
        <v>9293</v>
      </c>
      <c r="H239" s="89" t="s">
        <v>6972</v>
      </c>
      <c r="I239" s="89" t="s">
        <v>6281</v>
      </c>
      <c r="J239" s="89" t="s">
        <v>7326</v>
      </c>
      <c r="K239" s="475" t="s">
        <v>6631</v>
      </c>
    </row>
    <row r="240" spans="1:11" s="12" customFormat="1" ht="29.4" thickBot="1" x14ac:dyDescent="0.35">
      <c r="A240" s="12" t="s">
        <v>4192</v>
      </c>
      <c r="B240" s="476" t="str">
        <f t="shared" si="7"/>
        <v>Total Scope 1 Scope 2 and Scope 3 GHG Emissions (market-based)</v>
      </c>
      <c r="C240" s="500" t="s">
        <v>8256</v>
      </c>
      <c r="D240" s="12" t="s">
        <v>4035</v>
      </c>
      <c r="E240" s="500" t="s">
        <v>8716</v>
      </c>
      <c r="F240" s="494" t="s">
        <v>7786</v>
      </c>
      <c r="G240" s="12" t="s">
        <v>9294</v>
      </c>
      <c r="H240" s="443" t="s">
        <v>6973</v>
      </c>
      <c r="I240" s="443" t="s">
        <v>6282</v>
      </c>
      <c r="J240" s="443" t="s">
        <v>7327</v>
      </c>
      <c r="K240" s="498" t="s">
        <v>6632</v>
      </c>
    </row>
    <row r="241" spans="1:11" ht="43.2" x14ac:dyDescent="0.3">
      <c r="A241" t="s">
        <v>4193</v>
      </c>
      <c r="B241" s="442" t="str">
        <f t="shared" si="7"/>
        <v>C3 - Disclosure of list of main actions the entity seeks in order to achieve its targets</v>
      </c>
      <c r="C241" s="492" t="s">
        <v>8257</v>
      </c>
      <c r="D241" t="s">
        <v>4010</v>
      </c>
      <c r="E241" s="492" t="s">
        <v>8717</v>
      </c>
      <c r="F241" s="493" t="s">
        <v>7787</v>
      </c>
      <c r="G241" t="s">
        <v>9295</v>
      </c>
      <c r="H241" s="89" t="s">
        <v>6974</v>
      </c>
      <c r="I241" s="89" t="s">
        <v>6283</v>
      </c>
      <c r="J241" s="89" t="s">
        <v>7328</v>
      </c>
      <c r="K241" s="475" t="s">
        <v>6633</v>
      </c>
    </row>
    <row r="242" spans="1:11" ht="28.8" x14ac:dyDescent="0.3">
      <c r="A242" t="s">
        <v>4194</v>
      </c>
      <c r="B242" s="442" t="str">
        <f t="shared" si="7"/>
        <v>C3 - Transition plan for undertakings operating in high climate impact sectors</v>
      </c>
      <c r="C242" s="492" t="s">
        <v>8258</v>
      </c>
      <c r="D242" t="s">
        <v>4011</v>
      </c>
      <c r="E242" s="492" t="s">
        <v>8718</v>
      </c>
      <c r="F242" s="493" t="s">
        <v>7788</v>
      </c>
      <c r="G242" t="s">
        <v>9296</v>
      </c>
      <c r="H242" s="89" t="s">
        <v>6975</v>
      </c>
      <c r="I242" s="89" t="s">
        <v>6284</v>
      </c>
      <c r="J242" s="89" t="s">
        <v>7329</v>
      </c>
      <c r="K242" s="475" t="s">
        <v>6634</v>
      </c>
    </row>
    <row r="243" spans="1:11" ht="28.8" x14ac:dyDescent="0.3">
      <c r="A243" t="s">
        <v>4195</v>
      </c>
      <c r="B243" s="442" t="str">
        <f t="shared" si="7"/>
        <v>Is the undertaking operating in high impact sectors?</v>
      </c>
      <c r="C243" s="492" t="s">
        <v>8259</v>
      </c>
      <c r="D243" t="s">
        <v>3973</v>
      </c>
      <c r="E243" s="492" t="s">
        <v>8719</v>
      </c>
      <c r="F243" s="493" t="s">
        <v>7789</v>
      </c>
      <c r="G243" t="s">
        <v>9297</v>
      </c>
      <c r="H243" s="89" t="s">
        <v>6976</v>
      </c>
      <c r="I243" s="89" t="s">
        <v>6285</v>
      </c>
      <c r="J243" s="89" t="s">
        <v>7330</v>
      </c>
      <c r="K243" s="475" t="s">
        <v>5773</v>
      </c>
    </row>
    <row r="244" spans="1:11" ht="28.8" x14ac:dyDescent="0.3">
      <c r="A244" t="s">
        <v>4196</v>
      </c>
      <c r="B244" s="442" t="str">
        <f t="shared" si="7"/>
        <v>Status of implementation of a transition plan in relation to climate change mitigation</v>
      </c>
      <c r="C244" s="492" t="s">
        <v>8260</v>
      </c>
      <c r="D244" t="s">
        <v>3974</v>
      </c>
      <c r="E244" s="492" t="s">
        <v>8720</v>
      </c>
      <c r="F244" s="493" t="s">
        <v>7790</v>
      </c>
      <c r="G244" t="s">
        <v>9298</v>
      </c>
      <c r="H244" s="89" t="s">
        <v>6977</v>
      </c>
      <c r="I244" s="89" t="s">
        <v>6286</v>
      </c>
      <c r="J244" s="89" t="s">
        <v>7331</v>
      </c>
      <c r="K244" s="475" t="s">
        <v>6635</v>
      </c>
    </row>
    <row r="245" spans="1:11" ht="57.6" x14ac:dyDescent="0.3">
      <c r="A245" t="s">
        <v>4197</v>
      </c>
      <c r="B245" s="442" t="str">
        <f t="shared" si="7"/>
        <v>Description of a transition plan for climate change mitigation including an explanation of how it is contributing to reduce GHG emissions</v>
      </c>
      <c r="C245" s="492" t="s">
        <v>8261</v>
      </c>
      <c r="D245" t="s">
        <v>4036</v>
      </c>
      <c r="E245" s="492" t="s">
        <v>8721</v>
      </c>
      <c r="F245" s="493" t="s">
        <v>7791</v>
      </c>
      <c r="G245" t="s">
        <v>9299</v>
      </c>
      <c r="H245" s="89" t="s">
        <v>6978</v>
      </c>
      <c r="I245" s="89" t="s">
        <v>6287</v>
      </c>
      <c r="J245" s="89" t="s">
        <v>7332</v>
      </c>
      <c r="K245" s="475" t="s">
        <v>6636</v>
      </c>
    </row>
    <row r="246" spans="1:11" ht="43.2" x14ac:dyDescent="0.3">
      <c r="A246" t="s">
        <v>4198</v>
      </c>
      <c r="B246" s="442" t="str">
        <f t="shared" si="7"/>
        <v>Date of foreseen adoption of transition plan for undertaking not having adopted transition plan yet</v>
      </c>
      <c r="C246" s="492" t="s">
        <v>8262</v>
      </c>
      <c r="D246" t="s">
        <v>3542</v>
      </c>
      <c r="E246" s="492" t="s">
        <v>8722</v>
      </c>
      <c r="F246" s="493" t="s">
        <v>7792</v>
      </c>
      <c r="G246" t="s">
        <v>9300</v>
      </c>
      <c r="H246" s="89" t="s">
        <v>6979</v>
      </c>
      <c r="I246" s="89" t="s">
        <v>6288</v>
      </c>
      <c r="J246" s="89" t="s">
        <v>7333</v>
      </c>
      <c r="K246" s="475" t="s">
        <v>6637</v>
      </c>
    </row>
    <row r="247" spans="1:11" x14ac:dyDescent="0.3">
      <c r="A247" t="s">
        <v>4199</v>
      </c>
      <c r="B247" s="442" t="str">
        <f t="shared" si="7"/>
        <v>Year</v>
      </c>
      <c r="C247" s="492" t="s">
        <v>8263</v>
      </c>
      <c r="D247" t="s">
        <v>3025</v>
      </c>
      <c r="E247" s="492" t="s">
        <v>8723</v>
      </c>
      <c r="F247" s="493" t="s">
        <v>7793</v>
      </c>
      <c r="G247" t="s">
        <v>9301</v>
      </c>
      <c r="H247" s="89" t="s">
        <v>6062</v>
      </c>
      <c r="I247" s="89" t="s">
        <v>5693</v>
      </c>
      <c r="J247" s="89" t="s">
        <v>5865</v>
      </c>
      <c r="K247" s="475" t="s">
        <v>5774</v>
      </c>
    </row>
    <row r="248" spans="1:11" x14ac:dyDescent="0.3">
      <c r="A248" t="s">
        <v>4200</v>
      </c>
      <c r="B248" s="442" t="str">
        <f t="shared" si="7"/>
        <v>Month</v>
      </c>
      <c r="C248" s="492" t="s">
        <v>8264</v>
      </c>
      <c r="D248" t="s">
        <v>3026</v>
      </c>
      <c r="E248" s="492" t="s">
        <v>8724</v>
      </c>
      <c r="F248" s="493" t="s">
        <v>7794</v>
      </c>
      <c r="G248" t="s">
        <v>9302</v>
      </c>
      <c r="H248" s="89" t="s">
        <v>6020</v>
      </c>
      <c r="I248" s="89" t="s">
        <v>5953</v>
      </c>
      <c r="J248" s="89" t="s">
        <v>6096</v>
      </c>
      <c r="K248" s="475" t="s">
        <v>5775</v>
      </c>
    </row>
    <row r="249" spans="1:11" x14ac:dyDescent="0.3">
      <c r="A249" t="s">
        <v>4201</v>
      </c>
      <c r="B249" s="442" t="str">
        <f t="shared" si="7"/>
        <v>Day</v>
      </c>
      <c r="C249" s="492" t="s">
        <v>8265</v>
      </c>
      <c r="D249" t="s">
        <v>3776</v>
      </c>
      <c r="E249" s="492" t="s">
        <v>8725</v>
      </c>
      <c r="F249" s="493" t="s">
        <v>7795</v>
      </c>
      <c r="G249" t="s">
        <v>9303</v>
      </c>
      <c r="H249" s="89" t="s">
        <v>6052</v>
      </c>
      <c r="I249" s="89" t="s">
        <v>5954</v>
      </c>
      <c r="J249" s="89" t="s">
        <v>5866</v>
      </c>
      <c r="K249" s="475" t="s">
        <v>5776</v>
      </c>
    </row>
    <row r="250" spans="1:11" ht="28.8" x14ac:dyDescent="0.3">
      <c r="A250" t="s">
        <v>4202</v>
      </c>
      <c r="B250" s="442" t="str">
        <f t="shared" si="7"/>
        <v>B3 - Greenhouse gas emission intensity per turnover (in tCO2e)</v>
      </c>
      <c r="C250" s="492" t="s">
        <v>8266</v>
      </c>
      <c r="D250" t="s">
        <v>4012</v>
      </c>
      <c r="E250" s="492" t="s">
        <v>8726</v>
      </c>
      <c r="F250" s="493" t="s">
        <v>7796</v>
      </c>
      <c r="G250" t="s">
        <v>9304</v>
      </c>
      <c r="H250" s="89" t="s">
        <v>6980</v>
      </c>
      <c r="I250" s="89" t="s">
        <v>6289</v>
      </c>
      <c r="J250" s="89" t="s">
        <v>7334</v>
      </c>
      <c r="K250" s="475" t="s">
        <v>6638</v>
      </c>
    </row>
    <row r="251" spans="1:11" ht="28.8" x14ac:dyDescent="0.3">
      <c r="A251" t="s">
        <v>4203</v>
      </c>
      <c r="B251" s="442" t="str">
        <f t="shared" si="7"/>
        <v>Scope 1 and Scope 2 GHG Emissions intensity (location-based)</v>
      </c>
      <c r="C251" s="492" t="s">
        <v>8267</v>
      </c>
      <c r="D251" t="s">
        <v>4013</v>
      </c>
      <c r="E251" s="492" t="s">
        <v>8727</v>
      </c>
      <c r="F251" s="493" t="s">
        <v>7797</v>
      </c>
      <c r="G251" t="s">
        <v>9305</v>
      </c>
      <c r="H251" s="89" t="s">
        <v>6981</v>
      </c>
      <c r="I251" s="89" t="s">
        <v>6290</v>
      </c>
      <c r="J251" s="89" t="s">
        <v>7335</v>
      </c>
      <c r="K251" s="475" t="s">
        <v>6639</v>
      </c>
    </row>
    <row r="252" spans="1:11" ht="28.8" x14ac:dyDescent="0.3">
      <c r="A252" t="s">
        <v>4204</v>
      </c>
      <c r="B252" s="442" t="str">
        <f t="shared" si="7"/>
        <v>Scope 1 and Scope 2 GHG Emissions intensity (market-based)</v>
      </c>
      <c r="C252" s="492" t="s">
        <v>8268</v>
      </c>
      <c r="D252" t="s">
        <v>4014</v>
      </c>
      <c r="E252" s="492" t="s">
        <v>8728</v>
      </c>
      <c r="F252" s="493" t="s">
        <v>7798</v>
      </c>
      <c r="G252" t="s">
        <v>9306</v>
      </c>
      <c r="H252" s="89" t="s">
        <v>6982</v>
      </c>
      <c r="I252" s="89" t="s">
        <v>6291</v>
      </c>
      <c r="J252" s="89" t="s">
        <v>7336</v>
      </c>
      <c r="K252" s="475" t="s">
        <v>6640</v>
      </c>
    </row>
    <row r="253" spans="1:11" ht="28.8" x14ac:dyDescent="0.3">
      <c r="A253" t="s">
        <v>4205</v>
      </c>
      <c r="B253" s="442" t="str">
        <f t="shared" si="7"/>
        <v>Total Scope 1 Scope 2 and Scope 3 GHG Emissions intensity (location-based)</v>
      </c>
      <c r="C253" s="492" t="s">
        <v>8269</v>
      </c>
      <c r="D253" t="s">
        <v>4037</v>
      </c>
      <c r="E253" s="492" t="s">
        <v>8729</v>
      </c>
      <c r="F253" s="493" t="s">
        <v>7799</v>
      </c>
      <c r="G253" t="s">
        <v>9307</v>
      </c>
      <c r="H253" s="89" t="s">
        <v>6983</v>
      </c>
      <c r="I253" s="89" t="s">
        <v>6292</v>
      </c>
      <c r="J253" s="89" t="s">
        <v>7337</v>
      </c>
      <c r="K253" s="475" t="s">
        <v>6641</v>
      </c>
    </row>
    <row r="254" spans="1:11" s="12" customFormat="1" ht="29.4" thickBot="1" x14ac:dyDescent="0.35">
      <c r="A254" s="12" t="s">
        <v>4206</v>
      </c>
      <c r="B254" s="476" t="str">
        <f t="shared" si="7"/>
        <v>Total Scope 1 Scope 2 and Scope 3 GHG Emissions intensity (market-based)</v>
      </c>
      <c r="C254" s="500" t="s">
        <v>8270</v>
      </c>
      <c r="D254" s="12" t="s">
        <v>4038</v>
      </c>
      <c r="E254" s="500" t="s">
        <v>8730</v>
      </c>
      <c r="F254" s="494" t="s">
        <v>7800</v>
      </c>
      <c r="G254" s="12" t="s">
        <v>9308</v>
      </c>
      <c r="H254" s="443" t="s">
        <v>6984</v>
      </c>
      <c r="I254" s="443" t="s">
        <v>6293</v>
      </c>
      <c r="J254" s="443" t="s">
        <v>7338</v>
      </c>
      <c r="K254" s="498" t="s">
        <v>6642</v>
      </c>
    </row>
    <row r="255" spans="1:11" x14ac:dyDescent="0.3">
      <c r="A255" t="s">
        <v>4207</v>
      </c>
      <c r="B255" s="442" t="str">
        <f t="shared" si="7"/>
        <v>B4 – Pollution of air water and soil</v>
      </c>
      <c r="C255" s="492" t="s">
        <v>8271</v>
      </c>
      <c r="D255" t="s">
        <v>4039</v>
      </c>
      <c r="E255" s="492" t="s">
        <v>8731</v>
      </c>
      <c r="F255" s="493" t="s">
        <v>7801</v>
      </c>
      <c r="G255" t="s">
        <v>9309</v>
      </c>
      <c r="H255" s="89" t="s">
        <v>6021</v>
      </c>
      <c r="I255" s="89" t="s">
        <v>5955</v>
      </c>
      <c r="J255" s="89" t="s">
        <v>7218</v>
      </c>
      <c r="K255" s="475" t="s">
        <v>6558</v>
      </c>
    </row>
    <row r="256" spans="1:11" ht="72" x14ac:dyDescent="0.3">
      <c r="A256" t="s">
        <v>4208</v>
      </c>
      <c r="B256" s="442" t="str">
        <f t="shared" si="7"/>
        <v>Is the undertaking already required by law or other national regulations to report to competent authorities its emissions of pollutants or does it already voluntarily report on them according to an Environmental Management System?</v>
      </c>
      <c r="C256" s="492" t="s">
        <v>8272</v>
      </c>
      <c r="D256" t="s">
        <v>4040</v>
      </c>
      <c r="E256" s="492" t="s">
        <v>8732</v>
      </c>
      <c r="F256" s="493" t="s">
        <v>7802</v>
      </c>
      <c r="G256" t="s">
        <v>9310</v>
      </c>
      <c r="H256" s="89" t="s">
        <v>6985</v>
      </c>
      <c r="I256" s="89" t="s">
        <v>6294</v>
      </c>
      <c r="J256" s="89" t="s">
        <v>7339</v>
      </c>
      <c r="K256" s="475" t="s">
        <v>6643</v>
      </c>
    </row>
    <row r="257" spans="1:11" ht="28.8" x14ac:dyDescent="0.3">
      <c r="A257" t="s">
        <v>4209</v>
      </c>
      <c r="B257" s="442" t="str">
        <f t="shared" si="7"/>
        <v>Is this disclosure already publicly available?</v>
      </c>
      <c r="C257" s="492" t="s">
        <v>8273</v>
      </c>
      <c r="D257" t="s">
        <v>3072</v>
      </c>
      <c r="E257" s="492" t="s">
        <v>8733</v>
      </c>
      <c r="F257" s="493" t="s">
        <v>7803</v>
      </c>
      <c r="G257" t="s">
        <v>9311</v>
      </c>
      <c r="H257" s="89" t="s">
        <v>6022</v>
      </c>
      <c r="I257" s="89" t="s">
        <v>6295</v>
      </c>
      <c r="J257" s="89" t="s">
        <v>5867</v>
      </c>
      <c r="K257" s="475" t="s">
        <v>6644</v>
      </c>
    </row>
    <row r="258" spans="1:11" ht="28.8" x14ac:dyDescent="0.3">
      <c r="A258" t="s">
        <v>4210</v>
      </c>
      <c r="B258" s="442" t="str">
        <f t="shared" si="7"/>
        <v>Please provide the relevant URL link or hyperlink of where this information is reported</v>
      </c>
      <c r="C258" s="492" t="s">
        <v>8274</v>
      </c>
      <c r="D258" t="s">
        <v>3975</v>
      </c>
      <c r="E258" s="492" t="s">
        <v>8734</v>
      </c>
      <c r="F258" s="493" t="s">
        <v>7804</v>
      </c>
      <c r="G258" t="s">
        <v>9312</v>
      </c>
      <c r="H258" s="89" t="s">
        <v>6986</v>
      </c>
      <c r="I258" s="89" t="s">
        <v>6296</v>
      </c>
      <c r="J258" s="89" t="s">
        <v>7340</v>
      </c>
      <c r="K258" s="475" t="s">
        <v>6645</v>
      </c>
    </row>
    <row r="259" spans="1:11" ht="28.8" x14ac:dyDescent="0.3">
      <c r="A259" t="s">
        <v>4211</v>
      </c>
      <c r="B259" s="442" t="str">
        <f t="shared" si="7"/>
        <v>Please select the unit used for reporting the amount (i.e. either kg or tonne)</v>
      </c>
      <c r="C259" s="492" t="s">
        <v>8275</v>
      </c>
      <c r="D259" t="s">
        <v>3069</v>
      </c>
      <c r="E259" s="492" t="s">
        <v>8735</v>
      </c>
      <c r="F259" s="493" t="s">
        <v>7805</v>
      </c>
      <c r="G259" t="s">
        <v>9313</v>
      </c>
      <c r="H259" s="89" t="s">
        <v>6987</v>
      </c>
      <c r="I259" s="89" t="s">
        <v>6297</v>
      </c>
      <c r="J259" s="89" t="s">
        <v>7341</v>
      </c>
      <c r="K259" s="475" t="s">
        <v>6646</v>
      </c>
    </row>
    <row r="260" spans="1:11" x14ac:dyDescent="0.3">
      <c r="A260" t="s">
        <v>4212</v>
      </c>
      <c r="B260" s="442" t="str">
        <f t="shared" ref="B260:B323" si="8">INDEX(D260:K260,MATCH(template_selected_display_language,$D$3:$K$3,0))</f>
        <v>Row ID</v>
      </c>
      <c r="C260" s="492" t="s">
        <v>8276</v>
      </c>
      <c r="D260" t="s">
        <v>15</v>
      </c>
      <c r="E260" s="492" t="s">
        <v>8736</v>
      </c>
      <c r="F260" s="493" t="s">
        <v>7806</v>
      </c>
      <c r="G260" t="s">
        <v>9314</v>
      </c>
      <c r="H260" s="89" t="s">
        <v>6023</v>
      </c>
      <c r="I260" s="89" t="s">
        <v>5956</v>
      </c>
      <c r="J260" s="89" t="s">
        <v>5868</v>
      </c>
      <c r="K260" s="475" t="s">
        <v>5777</v>
      </c>
    </row>
    <row r="261" spans="1:11" ht="43.2" x14ac:dyDescent="0.3">
      <c r="A261" t="s">
        <v>4213</v>
      </c>
      <c r="B261" s="442" t="str">
        <f t="shared" si="8"/>
        <v>Pollutant</v>
      </c>
      <c r="C261" s="492" t="s">
        <v>8277</v>
      </c>
      <c r="D261" t="s">
        <v>3976</v>
      </c>
      <c r="E261" s="492" t="s">
        <v>8737</v>
      </c>
      <c r="F261" s="493" t="s">
        <v>7807</v>
      </c>
      <c r="G261" t="s">
        <v>9315</v>
      </c>
      <c r="H261" s="89" t="s">
        <v>6063</v>
      </c>
      <c r="I261" s="89" t="s">
        <v>6298</v>
      </c>
      <c r="J261" s="89" t="s">
        <v>5869</v>
      </c>
      <c r="K261" s="475" t="s">
        <v>5778</v>
      </c>
    </row>
    <row r="262" spans="1:11" x14ac:dyDescent="0.3">
      <c r="A262" t="s">
        <v>4214</v>
      </c>
      <c r="B262" s="442" t="str">
        <f t="shared" si="8"/>
        <v>Emission to air</v>
      </c>
      <c r="C262" s="492" t="s">
        <v>8278</v>
      </c>
      <c r="D262" t="s">
        <v>3977</v>
      </c>
      <c r="E262" s="492" t="s">
        <v>8738</v>
      </c>
      <c r="F262" s="493" t="s">
        <v>7808</v>
      </c>
      <c r="G262" t="s">
        <v>9316</v>
      </c>
      <c r="H262" s="89" t="s">
        <v>6988</v>
      </c>
      <c r="I262" s="89" t="s">
        <v>6077</v>
      </c>
      <c r="J262" s="89" t="s">
        <v>7342</v>
      </c>
      <c r="K262" s="475" t="s">
        <v>6493</v>
      </c>
    </row>
    <row r="263" spans="1:11" x14ac:dyDescent="0.3">
      <c r="A263" t="s">
        <v>4215</v>
      </c>
      <c r="B263" s="442" t="str">
        <f t="shared" si="8"/>
        <v>Emission to water</v>
      </c>
      <c r="C263" s="492" t="s">
        <v>8279</v>
      </c>
      <c r="D263" t="s">
        <v>3978</v>
      </c>
      <c r="E263" s="492" t="s">
        <v>8739</v>
      </c>
      <c r="F263" s="493" t="s">
        <v>7809</v>
      </c>
      <c r="G263" t="s">
        <v>9317</v>
      </c>
      <c r="H263" s="89" t="s">
        <v>6989</v>
      </c>
      <c r="I263" s="89" t="s">
        <v>5957</v>
      </c>
      <c r="J263" s="89" t="s">
        <v>5870</v>
      </c>
      <c r="K263" s="475" t="s">
        <v>6494</v>
      </c>
    </row>
    <row r="264" spans="1:11" s="12" customFormat="1" ht="15" thickBot="1" x14ac:dyDescent="0.35">
      <c r="A264" s="12" t="s">
        <v>4216</v>
      </c>
      <c r="B264" s="476" t="str">
        <f t="shared" si="8"/>
        <v>Emission to soil</v>
      </c>
      <c r="C264" s="500" t="s">
        <v>8280</v>
      </c>
      <c r="D264" s="12" t="s">
        <v>3979</v>
      </c>
      <c r="E264" s="500" t="s">
        <v>8740</v>
      </c>
      <c r="F264" s="494" t="s">
        <v>7810</v>
      </c>
      <c r="G264" s="12" t="s">
        <v>9318</v>
      </c>
      <c r="H264" s="443" t="s">
        <v>6990</v>
      </c>
      <c r="I264" s="443" t="s">
        <v>5958</v>
      </c>
      <c r="J264" s="443" t="s">
        <v>5871</v>
      </c>
      <c r="K264" s="498" t="s">
        <v>6495</v>
      </c>
    </row>
    <row r="265" spans="1:11" ht="28.8" x14ac:dyDescent="0.3">
      <c r="A265" t="s">
        <v>4217</v>
      </c>
      <c r="B265" s="442" t="str">
        <f t="shared" si="8"/>
        <v>B5 - Sites in biodiversity sensitive areas</v>
      </c>
      <c r="C265" s="492" t="s">
        <v>8281</v>
      </c>
      <c r="D265" t="s">
        <v>4015</v>
      </c>
      <c r="E265" s="492" t="s">
        <v>8741</v>
      </c>
      <c r="F265" s="493" t="s">
        <v>7811</v>
      </c>
      <c r="G265" t="s">
        <v>9319</v>
      </c>
      <c r="H265" s="89" t="s">
        <v>6991</v>
      </c>
      <c r="I265" s="89" t="s">
        <v>6299</v>
      </c>
      <c r="J265" s="89" t="s">
        <v>7343</v>
      </c>
      <c r="K265" s="475" t="s">
        <v>6647</v>
      </c>
    </row>
    <row r="266" spans="1:11" ht="43.2" x14ac:dyDescent="0.3">
      <c r="A266" t="s">
        <v>4218</v>
      </c>
      <c r="B266" s="442" t="str">
        <f t="shared" si="8"/>
        <v>Does the undertaking have sites that are located in or near biodiversity sensitive areas?</v>
      </c>
      <c r="C266" s="492" t="s">
        <v>8282</v>
      </c>
      <c r="D266" t="s">
        <v>3088</v>
      </c>
      <c r="E266" s="492" t="s">
        <v>8742</v>
      </c>
      <c r="F266" s="493" t="s">
        <v>7812</v>
      </c>
      <c r="G266" t="s">
        <v>9320</v>
      </c>
      <c r="H266" s="89" t="s">
        <v>6992</v>
      </c>
      <c r="I266" s="89" t="s">
        <v>6300</v>
      </c>
      <c r="J266" s="89" t="s">
        <v>7344</v>
      </c>
      <c r="K266" s="475" t="s">
        <v>6648</v>
      </c>
    </row>
    <row r="267" spans="1:11" ht="28.8" x14ac:dyDescent="0.3">
      <c r="A267" t="s">
        <v>4219</v>
      </c>
      <c r="B267" s="442" t="str">
        <f t="shared" si="8"/>
        <v>Please select the unit used for the area (i.e. either hectares or m²):</v>
      </c>
      <c r="C267" s="492" t="s">
        <v>8283</v>
      </c>
      <c r="D267" t="s">
        <v>3067</v>
      </c>
      <c r="E267" s="492" t="s">
        <v>8743</v>
      </c>
      <c r="F267" s="493" t="s">
        <v>7813</v>
      </c>
      <c r="G267" t="s">
        <v>9321</v>
      </c>
      <c r="H267" s="89" t="s">
        <v>6993</v>
      </c>
      <c r="I267" s="89" t="s">
        <v>6301</v>
      </c>
      <c r="J267" s="89" t="s">
        <v>7345</v>
      </c>
      <c r="K267" s="475" t="s">
        <v>6649</v>
      </c>
    </row>
    <row r="268" spans="1:11" ht="28.8" x14ac:dyDescent="0.3">
      <c r="A268" t="s">
        <v>4220</v>
      </c>
      <c r="B268" s="442" t="str">
        <f t="shared" si="8"/>
        <v>Related Site ID (select an ID from a site location reported in B1)</v>
      </c>
      <c r="C268" s="492" t="s">
        <v>8284</v>
      </c>
      <c r="D268" t="s">
        <v>3545</v>
      </c>
      <c r="E268" s="492" t="s">
        <v>8744</v>
      </c>
      <c r="F268" s="493" t="s">
        <v>7814</v>
      </c>
      <c r="G268" t="s">
        <v>9322</v>
      </c>
      <c r="H268" s="89" t="s">
        <v>6994</v>
      </c>
      <c r="I268" s="89" t="s">
        <v>6302</v>
      </c>
      <c r="J268" s="89" t="s">
        <v>7346</v>
      </c>
      <c r="K268" s="475" t="s">
        <v>6650</v>
      </c>
    </row>
    <row r="269" spans="1:11" ht="57.6" x14ac:dyDescent="0.3">
      <c r="A269" t="s">
        <v>4221</v>
      </c>
      <c r="B269" s="442" t="str">
        <f t="shared" si="8"/>
        <v>Site Location in near a biodiversity area - auto filled from B1</v>
      </c>
      <c r="C269" s="492" t="s">
        <v>8285</v>
      </c>
      <c r="D269" t="s">
        <v>4057</v>
      </c>
      <c r="E269" s="492" t="s">
        <v>8745</v>
      </c>
      <c r="F269" s="493" t="s">
        <v>7815</v>
      </c>
      <c r="G269" t="s">
        <v>9323</v>
      </c>
      <c r="H269" s="89" t="s">
        <v>6995</v>
      </c>
      <c r="I269" s="89" t="s">
        <v>6303</v>
      </c>
      <c r="J269" s="89" t="s">
        <v>7347</v>
      </c>
      <c r="K269" s="475" t="s">
        <v>6651</v>
      </c>
    </row>
    <row r="270" spans="1:11" x14ac:dyDescent="0.3">
      <c r="A270" t="s">
        <v>4222</v>
      </c>
      <c r="B270" s="442" t="str">
        <f t="shared" si="8"/>
        <v>Area (hectares or m² based on the selection above)</v>
      </c>
      <c r="C270" s="492" t="s">
        <v>8286</v>
      </c>
      <c r="D270" t="s">
        <v>3065</v>
      </c>
      <c r="E270" s="492" t="s">
        <v>8746</v>
      </c>
      <c r="F270" s="493" t="s">
        <v>7816</v>
      </c>
      <c r="G270" t="s">
        <v>9324</v>
      </c>
      <c r="H270" s="89" t="s">
        <v>6996</v>
      </c>
      <c r="I270" s="89" t="s">
        <v>6304</v>
      </c>
      <c r="J270" s="89" t="s">
        <v>5872</v>
      </c>
      <c r="K270" s="475" t="s">
        <v>6652</v>
      </c>
    </row>
    <row r="271" spans="1:11" ht="28.8" x14ac:dyDescent="0.3">
      <c r="A271" t="s">
        <v>4223</v>
      </c>
      <c r="B271" s="442" t="str">
        <f t="shared" si="8"/>
        <v>Site located in a biodiversity sensitive area</v>
      </c>
      <c r="C271" s="492" t="s">
        <v>8287</v>
      </c>
      <c r="D271" t="s">
        <v>2915</v>
      </c>
      <c r="E271" s="492" t="s">
        <v>8747</v>
      </c>
      <c r="F271" s="493" t="s">
        <v>7817</v>
      </c>
      <c r="G271" t="s">
        <v>9325</v>
      </c>
      <c r="H271" s="89" t="s">
        <v>6997</v>
      </c>
      <c r="I271" s="89" t="s">
        <v>6305</v>
      </c>
      <c r="J271" s="89" t="s">
        <v>5873</v>
      </c>
      <c r="K271" s="475" t="s">
        <v>6653</v>
      </c>
    </row>
    <row r="272" spans="1:11" s="12" customFormat="1" ht="29.4" thickBot="1" x14ac:dyDescent="0.35">
      <c r="A272" s="12" t="s">
        <v>4224</v>
      </c>
      <c r="B272" s="476" t="str">
        <f t="shared" si="8"/>
        <v>Site located near a biodiversity sensitive area</v>
      </c>
      <c r="C272" s="500" t="s">
        <v>8288</v>
      </c>
      <c r="D272" s="12" t="s">
        <v>2916</v>
      </c>
      <c r="E272" s="500" t="s">
        <v>8748</v>
      </c>
      <c r="F272" s="494" t="s">
        <v>7818</v>
      </c>
      <c r="G272" s="12" t="s">
        <v>9326</v>
      </c>
      <c r="H272" s="443" t="s">
        <v>6998</v>
      </c>
      <c r="I272" s="443" t="s">
        <v>6306</v>
      </c>
      <c r="J272" s="443" t="s">
        <v>7348</v>
      </c>
      <c r="K272" s="498" t="s">
        <v>6654</v>
      </c>
    </row>
    <row r="273" spans="1:11" x14ac:dyDescent="0.3">
      <c r="A273" t="s">
        <v>4225</v>
      </c>
      <c r="B273" s="442" t="str">
        <f t="shared" si="8"/>
        <v>B5 - Biodiversity - Land-use</v>
      </c>
      <c r="C273" s="492" t="s">
        <v>8289</v>
      </c>
      <c r="D273" t="s">
        <v>4016</v>
      </c>
      <c r="E273" s="492" t="s">
        <v>8749</v>
      </c>
      <c r="F273" s="493" t="s">
        <v>7819</v>
      </c>
      <c r="G273" t="s">
        <v>9327</v>
      </c>
      <c r="H273" s="89" t="s">
        <v>6024</v>
      </c>
      <c r="I273" s="89" t="s">
        <v>6307</v>
      </c>
      <c r="J273" s="89" t="s">
        <v>7349</v>
      </c>
      <c r="K273" s="475" t="s">
        <v>6655</v>
      </c>
    </row>
    <row r="274" spans="1:11" x14ac:dyDescent="0.3">
      <c r="A274" t="s">
        <v>4226</v>
      </c>
      <c r="B274" s="442" t="str">
        <f t="shared" si="8"/>
        <v>Land-use type</v>
      </c>
      <c r="C274" s="492" t="s">
        <v>8290</v>
      </c>
      <c r="D274" t="s">
        <v>17</v>
      </c>
      <c r="E274" s="503" t="s">
        <v>8750</v>
      </c>
      <c r="F274" s="493" t="s">
        <v>7820</v>
      </c>
      <c r="G274" t="s">
        <v>9328</v>
      </c>
      <c r="H274" s="89" t="s">
        <v>6064</v>
      </c>
      <c r="I274" s="89" t="s">
        <v>6308</v>
      </c>
      <c r="J274" s="89" t="s">
        <v>5874</v>
      </c>
      <c r="K274" s="475" t="s">
        <v>6656</v>
      </c>
    </row>
    <row r="275" spans="1:11" x14ac:dyDescent="0.3">
      <c r="A275" t="s">
        <v>4227</v>
      </c>
      <c r="B275" s="442" t="str">
        <f t="shared" si="8"/>
        <v>Area</v>
      </c>
      <c r="C275" s="492" t="s">
        <v>8291</v>
      </c>
      <c r="D275" t="s">
        <v>3532</v>
      </c>
      <c r="E275" s="475" t="s">
        <v>8751</v>
      </c>
      <c r="F275" s="493" t="s">
        <v>7821</v>
      </c>
      <c r="G275" t="s">
        <v>9329</v>
      </c>
      <c r="H275" s="89" t="s">
        <v>6999</v>
      </c>
      <c r="I275" s="89" t="s">
        <v>6309</v>
      </c>
      <c r="J275" s="89" t="s">
        <v>5779</v>
      </c>
      <c r="K275" s="475" t="s">
        <v>5779</v>
      </c>
    </row>
    <row r="276" spans="1:11" x14ac:dyDescent="0.3">
      <c r="A276" t="s">
        <v>4228</v>
      </c>
      <c r="B276" s="442" t="str">
        <f t="shared" si="8"/>
        <v>Total sealed area</v>
      </c>
      <c r="C276" s="492" t="s">
        <v>8292</v>
      </c>
      <c r="D276" t="s">
        <v>18</v>
      </c>
      <c r="E276" s="492" t="s">
        <v>8752</v>
      </c>
      <c r="F276" s="493" t="s">
        <v>7822</v>
      </c>
      <c r="G276" t="s">
        <v>9330</v>
      </c>
      <c r="H276" s="89" t="s">
        <v>7000</v>
      </c>
      <c r="I276" s="89" t="s">
        <v>6310</v>
      </c>
      <c r="J276" s="89" t="s">
        <v>7350</v>
      </c>
      <c r="K276" s="475" t="s">
        <v>6657</v>
      </c>
    </row>
    <row r="277" spans="1:11" ht="28.8" x14ac:dyDescent="0.3">
      <c r="A277" t="s">
        <v>4229</v>
      </c>
      <c r="B277" s="442" t="str">
        <f t="shared" si="8"/>
        <v>Total nature-oriented area on-site</v>
      </c>
      <c r="C277" s="492" t="s">
        <v>8293</v>
      </c>
      <c r="D277" t="s">
        <v>3980</v>
      </c>
      <c r="E277" s="492" t="s">
        <v>8753</v>
      </c>
      <c r="F277" s="493" t="s">
        <v>7823</v>
      </c>
      <c r="G277" t="s">
        <v>9331</v>
      </c>
      <c r="H277" s="89" t="s">
        <v>7001</v>
      </c>
      <c r="I277" s="89" t="s">
        <v>6311</v>
      </c>
      <c r="J277" s="89" t="s">
        <v>7351</v>
      </c>
      <c r="K277" s="475" t="s">
        <v>6658</v>
      </c>
    </row>
    <row r="278" spans="1:11" ht="28.8" x14ac:dyDescent="0.3">
      <c r="A278" t="s">
        <v>4230</v>
      </c>
      <c r="B278" s="442" t="str">
        <f t="shared" si="8"/>
        <v>Total nature-oriented area off-site</v>
      </c>
      <c r="C278" s="492" t="s">
        <v>8294</v>
      </c>
      <c r="D278" t="s">
        <v>3981</v>
      </c>
      <c r="E278" s="492" t="s">
        <v>8754</v>
      </c>
      <c r="F278" s="493" t="s">
        <v>7824</v>
      </c>
      <c r="G278" t="s">
        <v>9332</v>
      </c>
      <c r="H278" s="89" t="s">
        <v>7002</v>
      </c>
      <c r="I278" s="89" t="s">
        <v>6312</v>
      </c>
      <c r="J278" s="89" t="s">
        <v>7352</v>
      </c>
      <c r="K278" s="475" t="s">
        <v>6659</v>
      </c>
    </row>
    <row r="279" spans="1:11" s="12" customFormat="1" ht="15" thickBot="1" x14ac:dyDescent="0.35">
      <c r="A279" s="12" t="s">
        <v>4231</v>
      </c>
      <c r="B279" s="476" t="str">
        <f t="shared" si="8"/>
        <v>Total use of land</v>
      </c>
      <c r="C279" s="500" t="s">
        <v>8295</v>
      </c>
      <c r="D279" s="12" t="s">
        <v>19</v>
      </c>
      <c r="E279" s="500" t="s">
        <v>8755</v>
      </c>
      <c r="F279" s="494" t="s">
        <v>7825</v>
      </c>
      <c r="G279" s="12" t="s">
        <v>9333</v>
      </c>
      <c r="H279" s="443" t="s">
        <v>6025</v>
      </c>
      <c r="I279" s="443" t="s">
        <v>6313</v>
      </c>
      <c r="J279" s="443" t="s">
        <v>7353</v>
      </c>
      <c r="K279" s="498" t="s">
        <v>5780</v>
      </c>
    </row>
    <row r="280" spans="1:11" x14ac:dyDescent="0.3">
      <c r="A280" t="s">
        <v>4232</v>
      </c>
      <c r="B280" s="442" t="str">
        <f t="shared" si="8"/>
        <v>B6 - Water Withdrawal</v>
      </c>
      <c r="C280" s="492" t="s">
        <v>8296</v>
      </c>
      <c r="D280" t="s">
        <v>4017</v>
      </c>
      <c r="E280" s="492" t="s">
        <v>8756</v>
      </c>
      <c r="F280" s="493" t="s">
        <v>7826</v>
      </c>
      <c r="G280" t="s">
        <v>9334</v>
      </c>
      <c r="H280" s="89" t="s">
        <v>7003</v>
      </c>
      <c r="I280" s="89" t="s">
        <v>6314</v>
      </c>
      <c r="J280" s="89" t="s">
        <v>7354</v>
      </c>
      <c r="K280" s="475" t="s">
        <v>5716</v>
      </c>
    </row>
    <row r="281" spans="1:11" ht="28.8" x14ac:dyDescent="0.3">
      <c r="A281" t="s">
        <v>4233</v>
      </c>
      <c r="B281" s="442" t="str">
        <f t="shared" si="8"/>
        <v>Total amount of water withdrawn from all sites (cubic meters m³)</v>
      </c>
      <c r="C281" s="492" t="s">
        <v>8297</v>
      </c>
      <c r="D281" t="s">
        <v>4041</v>
      </c>
      <c r="E281" s="492" t="s">
        <v>8757</v>
      </c>
      <c r="F281" s="493" t="s">
        <v>7827</v>
      </c>
      <c r="G281" t="s">
        <v>9335</v>
      </c>
      <c r="H281" s="89" t="s">
        <v>7004</v>
      </c>
      <c r="I281" s="89" t="s">
        <v>6315</v>
      </c>
      <c r="J281" s="89" t="s">
        <v>7355</v>
      </c>
      <c r="K281" s="475" t="s">
        <v>6660</v>
      </c>
    </row>
    <row r="282" spans="1:11" s="12" customFormat="1" ht="29.4" thickBot="1" x14ac:dyDescent="0.35">
      <c r="A282" s="12" t="s">
        <v>4234</v>
      </c>
      <c r="B282" s="476" t="str">
        <f t="shared" si="8"/>
        <v>Amount of water withdrawn at sites located in areas of high water-stress (cubic meters m³)</v>
      </c>
      <c r="C282" s="500" t="s">
        <v>8298</v>
      </c>
      <c r="D282" s="12" t="s">
        <v>4042</v>
      </c>
      <c r="E282" s="500" t="s">
        <v>8758</v>
      </c>
      <c r="F282" s="494" t="s">
        <v>7828</v>
      </c>
      <c r="G282" s="12" t="s">
        <v>9336</v>
      </c>
      <c r="H282" s="443" t="s">
        <v>7005</v>
      </c>
      <c r="I282" s="443" t="s">
        <v>6316</v>
      </c>
      <c r="J282" s="443" t="s">
        <v>7356</v>
      </c>
      <c r="K282" s="498" t="s">
        <v>6661</v>
      </c>
    </row>
    <row r="283" spans="1:11" ht="28.8" x14ac:dyDescent="0.3">
      <c r="A283" t="s">
        <v>4235</v>
      </c>
      <c r="B283" s="442" t="str">
        <f t="shared" si="8"/>
        <v>B6 - Water Consumption</v>
      </c>
      <c r="C283" s="492" t="s">
        <v>8299</v>
      </c>
      <c r="D283" t="s">
        <v>4018</v>
      </c>
      <c r="E283" s="492" t="s">
        <v>8759</v>
      </c>
      <c r="F283" s="493" t="s">
        <v>7829</v>
      </c>
      <c r="G283" t="s">
        <v>9337</v>
      </c>
      <c r="H283" s="89" t="s">
        <v>7006</v>
      </c>
      <c r="I283" s="89" t="s">
        <v>6078</v>
      </c>
      <c r="J283" s="89" t="s">
        <v>7357</v>
      </c>
      <c r="K283" s="475" t="s">
        <v>6662</v>
      </c>
    </row>
    <row r="284" spans="1:11" ht="86.4" x14ac:dyDescent="0.3">
      <c r="A284" t="s">
        <v>4236</v>
      </c>
      <c r="B284" s="442" t="str">
        <f t="shared" si="8"/>
        <v>Does the undertaking have production processes in place which significantly consume water (e.g. thermal energy processes like drying or power production production of goods agricultural irrigation etc.)?</v>
      </c>
      <c r="C284" s="492" t="s">
        <v>8300</v>
      </c>
      <c r="D284" t="s">
        <v>4043</v>
      </c>
      <c r="E284" s="492" t="s">
        <v>8760</v>
      </c>
      <c r="F284" s="493" t="s">
        <v>7830</v>
      </c>
      <c r="G284" t="s">
        <v>9338</v>
      </c>
      <c r="H284" s="89" t="s">
        <v>7007</v>
      </c>
      <c r="I284" s="89" t="s">
        <v>6317</v>
      </c>
      <c r="J284" s="89" t="s">
        <v>7358</v>
      </c>
      <c r="K284" s="475" t="s">
        <v>6663</v>
      </c>
    </row>
    <row r="285" spans="1:11" ht="28.8" x14ac:dyDescent="0.3">
      <c r="A285" t="s">
        <v>4237</v>
      </c>
      <c r="B285" s="442" t="str">
        <f t="shared" si="8"/>
        <v>Water discharge from undertaking production processes (m³)</v>
      </c>
      <c r="C285" s="492" t="s">
        <v>8301</v>
      </c>
      <c r="D285" t="s">
        <v>3533</v>
      </c>
      <c r="E285" s="492" t="s">
        <v>8761</v>
      </c>
      <c r="F285" s="493" t="s">
        <v>7831</v>
      </c>
      <c r="G285" t="s">
        <v>9339</v>
      </c>
      <c r="H285" s="89" t="s">
        <v>7008</v>
      </c>
      <c r="I285" s="89" t="s">
        <v>6318</v>
      </c>
      <c r="J285" s="89" t="s">
        <v>7359</v>
      </c>
      <c r="K285" s="475" t="s">
        <v>6664</v>
      </c>
    </row>
    <row r="286" spans="1:11" s="12" customFormat="1" ht="15" thickBot="1" x14ac:dyDescent="0.35">
      <c r="A286" s="12" t="s">
        <v>4238</v>
      </c>
      <c r="B286" s="476" t="str">
        <f t="shared" si="8"/>
        <v>Total water consumption (m³)</v>
      </c>
      <c r="C286" s="500" t="s">
        <v>8302</v>
      </c>
      <c r="D286" s="12" t="s">
        <v>3606</v>
      </c>
      <c r="E286" s="500" t="s">
        <v>8762</v>
      </c>
      <c r="F286" s="494" t="s">
        <v>7832</v>
      </c>
      <c r="G286" s="12" t="s">
        <v>9340</v>
      </c>
      <c r="H286" s="443" t="s">
        <v>6026</v>
      </c>
      <c r="I286" s="443" t="s">
        <v>6079</v>
      </c>
      <c r="J286" s="443" t="s">
        <v>5875</v>
      </c>
      <c r="K286" s="498" t="s">
        <v>6103</v>
      </c>
    </row>
    <row r="287" spans="1:11" x14ac:dyDescent="0.3">
      <c r="A287" t="s">
        <v>4239</v>
      </c>
      <c r="B287" s="442" t="str">
        <f t="shared" si="8"/>
        <v>B7 - Description of circular economy principles</v>
      </c>
      <c r="C287" s="492" t="s">
        <v>8303</v>
      </c>
      <c r="D287" t="s">
        <v>4019</v>
      </c>
      <c r="E287" s="492" t="s">
        <v>8763</v>
      </c>
      <c r="F287" s="493" t="s">
        <v>7833</v>
      </c>
      <c r="G287" t="s">
        <v>9341</v>
      </c>
      <c r="H287" s="89" t="s">
        <v>6027</v>
      </c>
      <c r="I287" s="89" t="s">
        <v>6319</v>
      </c>
      <c r="J287" s="89" t="s">
        <v>5876</v>
      </c>
      <c r="K287" s="475" t="s">
        <v>6665</v>
      </c>
    </row>
    <row r="288" spans="1:11" ht="28.8" x14ac:dyDescent="0.3">
      <c r="A288" t="s">
        <v>4240</v>
      </c>
      <c r="B288" s="442" t="str">
        <f t="shared" si="8"/>
        <v>Undertaking applies circular economy principles</v>
      </c>
      <c r="C288" s="492" t="s">
        <v>8304</v>
      </c>
      <c r="D288" t="s">
        <v>3540</v>
      </c>
      <c r="E288" s="492" t="s">
        <v>8764</v>
      </c>
      <c r="F288" s="493" t="s">
        <v>7834</v>
      </c>
      <c r="G288" t="s">
        <v>9342</v>
      </c>
      <c r="H288" s="89" t="s">
        <v>6028</v>
      </c>
      <c r="I288" s="89" t="s">
        <v>6320</v>
      </c>
      <c r="J288" s="89" t="s">
        <v>7360</v>
      </c>
      <c r="K288" s="475" t="s">
        <v>6666</v>
      </c>
    </row>
    <row r="289" spans="1:11" s="12" customFormat="1" ht="29.4" thickBot="1" x14ac:dyDescent="0.35">
      <c r="A289" s="12" t="s">
        <v>4241</v>
      </c>
      <c r="B289" s="476" t="str">
        <f t="shared" si="8"/>
        <v>Description of how it applies these principles</v>
      </c>
      <c r="C289" s="500" t="s">
        <v>8305</v>
      </c>
      <c r="D289" s="12" t="s">
        <v>2918</v>
      </c>
      <c r="E289" s="500" t="s">
        <v>8765</v>
      </c>
      <c r="F289" s="494" t="s">
        <v>7835</v>
      </c>
      <c r="G289" s="12" t="s">
        <v>9343</v>
      </c>
      <c r="H289" s="443" t="s">
        <v>7009</v>
      </c>
      <c r="I289" s="443" t="s">
        <v>5959</v>
      </c>
      <c r="J289" s="443" t="s">
        <v>7361</v>
      </c>
      <c r="K289" s="498" t="s">
        <v>6667</v>
      </c>
    </row>
    <row r="290" spans="1:11" ht="28.8" x14ac:dyDescent="0.3">
      <c r="A290" t="s">
        <v>4242</v>
      </c>
      <c r="B290" s="442" t="str">
        <f t="shared" si="8"/>
        <v>B7 - Waste generated</v>
      </c>
      <c r="C290" s="492" t="s">
        <v>8306</v>
      </c>
      <c r="D290" t="s">
        <v>4020</v>
      </c>
      <c r="E290" s="492" t="s">
        <v>8766</v>
      </c>
      <c r="F290" s="493" t="s">
        <v>7836</v>
      </c>
      <c r="G290" t="s">
        <v>9344</v>
      </c>
      <c r="H290" s="89" t="s">
        <v>7010</v>
      </c>
      <c r="I290" s="89" t="s">
        <v>5960</v>
      </c>
      <c r="J290" s="89" t="s">
        <v>5877</v>
      </c>
      <c r="K290" s="475" t="s">
        <v>6668</v>
      </c>
    </row>
    <row r="291" spans="1:11" x14ac:dyDescent="0.3">
      <c r="A291" t="s">
        <v>4243</v>
      </c>
      <c r="B291" s="442" t="str">
        <f t="shared" si="8"/>
        <v>Type of waste</v>
      </c>
      <c r="C291" s="492" t="s">
        <v>8307</v>
      </c>
      <c r="D291" t="s">
        <v>2760</v>
      </c>
      <c r="E291" s="492" t="s">
        <v>8767</v>
      </c>
      <c r="F291" s="493" t="s">
        <v>7837</v>
      </c>
      <c r="G291" t="s">
        <v>9345</v>
      </c>
      <c r="H291" s="89" t="s">
        <v>6029</v>
      </c>
      <c r="I291" s="89" t="s">
        <v>6321</v>
      </c>
      <c r="J291" s="89" t="s">
        <v>7362</v>
      </c>
      <c r="K291" s="475" t="s">
        <v>6669</v>
      </c>
    </row>
    <row r="292" spans="1:11" x14ac:dyDescent="0.3">
      <c r="A292" t="s">
        <v>4244</v>
      </c>
      <c r="B292" s="442" t="str">
        <f t="shared" si="8"/>
        <v>Unit of measurement</v>
      </c>
      <c r="C292" s="492" t="s">
        <v>8308</v>
      </c>
      <c r="D292" t="s">
        <v>2756</v>
      </c>
      <c r="E292" s="492" t="s">
        <v>8768</v>
      </c>
      <c r="F292" s="493" t="s">
        <v>7838</v>
      </c>
      <c r="G292" t="s">
        <v>9346</v>
      </c>
      <c r="H292" s="89" t="s">
        <v>6030</v>
      </c>
      <c r="I292" s="89" t="s">
        <v>5961</v>
      </c>
      <c r="J292" s="89" t="s">
        <v>5878</v>
      </c>
      <c r="K292" s="475" t="s">
        <v>5781</v>
      </c>
    </row>
    <row r="293" spans="1:11" ht="28.8" x14ac:dyDescent="0.3">
      <c r="A293" t="s">
        <v>4245</v>
      </c>
      <c r="B293" s="442" t="str">
        <f t="shared" si="8"/>
        <v>Waste diverted to recycle or reuse</v>
      </c>
      <c r="C293" s="492" t="s">
        <v>8309</v>
      </c>
      <c r="D293" t="s">
        <v>3982</v>
      </c>
      <c r="E293" s="492" t="s">
        <v>8769</v>
      </c>
      <c r="F293" s="493" t="s">
        <v>7839</v>
      </c>
      <c r="G293" t="s">
        <v>9347</v>
      </c>
      <c r="H293" s="89" t="s">
        <v>6031</v>
      </c>
      <c r="I293" s="89" t="s">
        <v>5962</v>
      </c>
      <c r="J293" s="89" t="s">
        <v>6097</v>
      </c>
      <c r="K293" s="475" t="s">
        <v>5782</v>
      </c>
    </row>
    <row r="294" spans="1:11" x14ac:dyDescent="0.3">
      <c r="A294" t="s">
        <v>4246</v>
      </c>
      <c r="B294" s="442" t="str">
        <f t="shared" si="8"/>
        <v>Waste directed to disposal</v>
      </c>
      <c r="C294" s="492" t="s">
        <v>8310</v>
      </c>
      <c r="D294" t="s">
        <v>3071</v>
      </c>
      <c r="E294" s="492" t="s">
        <v>8770</v>
      </c>
      <c r="F294" s="493" t="s">
        <v>7840</v>
      </c>
      <c r="G294" t="s">
        <v>9348</v>
      </c>
      <c r="H294" s="89" t="s">
        <v>7011</v>
      </c>
      <c r="I294" s="89" t="s">
        <v>6322</v>
      </c>
      <c r="J294" s="89" t="s">
        <v>7363</v>
      </c>
      <c r="K294" s="475" t="s">
        <v>6670</v>
      </c>
    </row>
    <row r="295" spans="1:11" ht="28.8" x14ac:dyDescent="0.3">
      <c r="A295" t="s">
        <v>4247</v>
      </c>
      <c r="B295" s="442" t="str">
        <f t="shared" si="8"/>
        <v>Amount of waste recycled reused and directed to disposal</v>
      </c>
      <c r="C295" s="492" t="s">
        <v>8311</v>
      </c>
      <c r="D295" t="s">
        <v>4375</v>
      </c>
      <c r="E295" s="492" t="s">
        <v>8771</v>
      </c>
      <c r="F295" s="493" t="s">
        <v>7841</v>
      </c>
      <c r="G295" t="s">
        <v>9349</v>
      </c>
      <c r="H295" s="89" t="s">
        <v>7012</v>
      </c>
      <c r="I295" s="89" t="s">
        <v>6323</v>
      </c>
      <c r="J295" s="89" t="s">
        <v>7364</v>
      </c>
      <c r="K295" s="475" t="s">
        <v>6671</v>
      </c>
    </row>
    <row r="296" spans="1:11" x14ac:dyDescent="0.3">
      <c r="A296" t="s">
        <v>4248</v>
      </c>
      <c r="B296" s="442" t="str">
        <f t="shared" si="8"/>
        <v>Total Hazardous waste generated (mass)</v>
      </c>
      <c r="C296" s="492" t="s">
        <v>8312</v>
      </c>
      <c r="D296" t="s">
        <v>3608</v>
      </c>
      <c r="E296" s="492" t="s">
        <v>8772</v>
      </c>
      <c r="F296" s="493" t="s">
        <v>7842</v>
      </c>
      <c r="G296" t="s">
        <v>9350</v>
      </c>
      <c r="H296" s="89" t="s">
        <v>7013</v>
      </c>
      <c r="I296" s="89" t="s">
        <v>6324</v>
      </c>
      <c r="J296" s="89" t="s">
        <v>7365</v>
      </c>
      <c r="K296" s="475" t="s">
        <v>6672</v>
      </c>
    </row>
    <row r="297" spans="1:11" x14ac:dyDescent="0.3">
      <c r="A297" t="s">
        <v>4249</v>
      </c>
      <c r="B297" s="442" t="str">
        <f t="shared" si="8"/>
        <v>Total amount of waste generated</v>
      </c>
      <c r="C297" s="492" t="s">
        <v>8313</v>
      </c>
      <c r="D297" t="s">
        <v>3607</v>
      </c>
      <c r="E297" s="492" t="s">
        <v>8773</v>
      </c>
      <c r="F297" s="493" t="s">
        <v>7843</v>
      </c>
      <c r="G297" t="s">
        <v>9351</v>
      </c>
      <c r="H297" s="89" t="s">
        <v>6065</v>
      </c>
      <c r="I297" s="89" t="s">
        <v>6325</v>
      </c>
      <c r="J297" s="89" t="s">
        <v>5879</v>
      </c>
      <c r="K297" s="475" t="s">
        <v>5783</v>
      </c>
    </row>
    <row r="298" spans="1:11" ht="28.8" x14ac:dyDescent="0.3">
      <c r="A298" t="s">
        <v>4250</v>
      </c>
      <c r="B298" s="442" t="str">
        <f t="shared" si="8"/>
        <v>Total Non-Hazardous waste generated (mass)</v>
      </c>
      <c r="C298" s="492" t="s">
        <v>8314</v>
      </c>
      <c r="D298" t="s">
        <v>3609</v>
      </c>
      <c r="E298" s="492" t="s">
        <v>8774</v>
      </c>
      <c r="F298" s="493" t="s">
        <v>7844</v>
      </c>
      <c r="G298" t="s">
        <v>9352</v>
      </c>
      <c r="H298" s="89" t="s">
        <v>7014</v>
      </c>
      <c r="I298" s="89" t="s">
        <v>6326</v>
      </c>
      <c r="J298" s="89" t="s">
        <v>7366</v>
      </c>
      <c r="K298" s="475" t="s">
        <v>6673</v>
      </c>
    </row>
    <row r="299" spans="1:11" x14ac:dyDescent="0.3">
      <c r="A299" t="s">
        <v>4251</v>
      </c>
      <c r="B299" s="442" t="str">
        <f t="shared" si="8"/>
        <v>Total waste generated (mass)</v>
      </c>
      <c r="C299" s="492" t="s">
        <v>8315</v>
      </c>
      <c r="D299" t="s">
        <v>3610</v>
      </c>
      <c r="E299" s="492" t="s">
        <v>8775</v>
      </c>
      <c r="F299" s="493" t="s">
        <v>7845</v>
      </c>
      <c r="G299" t="s">
        <v>9353</v>
      </c>
      <c r="H299" s="89" t="s">
        <v>7015</v>
      </c>
      <c r="I299" s="89" t="s">
        <v>6327</v>
      </c>
      <c r="J299" s="89" t="s">
        <v>7367</v>
      </c>
      <c r="K299" s="475" t="s">
        <v>5784</v>
      </c>
    </row>
    <row r="300" spans="1:11" x14ac:dyDescent="0.3">
      <c r="A300" t="s">
        <v>4252</v>
      </c>
      <c r="B300" s="442" t="str">
        <f t="shared" si="8"/>
        <v>Total Hazardous waste generated (volume)</v>
      </c>
      <c r="C300" s="492" t="s">
        <v>8316</v>
      </c>
      <c r="D300" t="s">
        <v>3611</v>
      </c>
      <c r="E300" s="492" t="s">
        <v>8776</v>
      </c>
      <c r="F300" s="493" t="s">
        <v>7846</v>
      </c>
      <c r="G300" t="s">
        <v>9354</v>
      </c>
      <c r="H300" s="89" t="s">
        <v>7016</v>
      </c>
      <c r="I300" s="89" t="s">
        <v>6328</v>
      </c>
      <c r="J300" s="89" t="s">
        <v>7368</v>
      </c>
      <c r="K300" s="475" t="s">
        <v>6674</v>
      </c>
    </row>
    <row r="301" spans="1:11" x14ac:dyDescent="0.3">
      <c r="A301" t="s">
        <v>4253</v>
      </c>
      <c r="B301" s="442" t="str">
        <f t="shared" si="8"/>
        <v>cubic meters (m³)</v>
      </c>
      <c r="C301" s="492" t="s">
        <v>8317</v>
      </c>
      <c r="D301" t="s">
        <v>2762</v>
      </c>
      <c r="E301" s="492" t="s">
        <v>8777</v>
      </c>
      <c r="F301" s="493" t="s">
        <v>7847</v>
      </c>
      <c r="G301" t="s">
        <v>9355</v>
      </c>
      <c r="H301" s="89" t="s">
        <v>6032</v>
      </c>
      <c r="I301" s="89" t="s">
        <v>6329</v>
      </c>
      <c r="J301" s="89" t="s">
        <v>5785</v>
      </c>
      <c r="K301" s="475" t="s">
        <v>5785</v>
      </c>
    </row>
    <row r="302" spans="1:11" x14ac:dyDescent="0.3">
      <c r="A302" t="s">
        <v>4254</v>
      </c>
      <c r="B302" s="442" t="str">
        <f t="shared" si="8"/>
        <v>Total Non-Hazardous waste generated (volume)</v>
      </c>
      <c r="C302" s="492" t="s">
        <v>8318</v>
      </c>
      <c r="D302" t="s">
        <v>3612</v>
      </c>
      <c r="E302" s="492" t="s">
        <v>8778</v>
      </c>
      <c r="F302" s="493" t="s">
        <v>7848</v>
      </c>
      <c r="G302" t="s">
        <v>9356</v>
      </c>
      <c r="H302" s="89" t="s">
        <v>7017</v>
      </c>
      <c r="I302" s="89" t="s">
        <v>6330</v>
      </c>
      <c r="J302" s="89" t="s">
        <v>7369</v>
      </c>
      <c r="K302" s="475" t="s">
        <v>6675</v>
      </c>
    </row>
    <row r="303" spans="1:11" s="12" customFormat="1" ht="15" thickBot="1" x14ac:dyDescent="0.35">
      <c r="A303" s="12" t="s">
        <v>4255</v>
      </c>
      <c r="B303" s="476" t="str">
        <f t="shared" si="8"/>
        <v>Total waste generated (volume)</v>
      </c>
      <c r="C303" s="500" t="s">
        <v>8319</v>
      </c>
      <c r="D303" s="12" t="s">
        <v>3613</v>
      </c>
      <c r="E303" s="500" t="s">
        <v>8779</v>
      </c>
      <c r="F303" s="494" t="s">
        <v>7849</v>
      </c>
      <c r="G303" s="12" t="s">
        <v>9357</v>
      </c>
      <c r="H303" s="443" t="s">
        <v>6069</v>
      </c>
      <c r="I303" s="443" t="s">
        <v>6331</v>
      </c>
      <c r="J303" s="443" t="s">
        <v>7370</v>
      </c>
      <c r="K303" s="498" t="s">
        <v>6676</v>
      </c>
    </row>
    <row r="304" spans="1:11" ht="28.8" x14ac:dyDescent="0.3">
      <c r="A304" t="s">
        <v>4256</v>
      </c>
      <c r="B304" s="442" t="str">
        <f t="shared" si="8"/>
        <v>B7 – Annual mass-flow of relevant materials used</v>
      </c>
      <c r="C304" s="492" t="s">
        <v>8320</v>
      </c>
      <c r="D304" t="s">
        <v>4021</v>
      </c>
      <c r="E304" s="492" t="s">
        <v>8780</v>
      </c>
      <c r="F304" s="493" t="s">
        <v>7850</v>
      </c>
      <c r="G304" t="s">
        <v>9358</v>
      </c>
      <c r="H304" s="89" t="s">
        <v>7018</v>
      </c>
      <c r="I304" s="89" t="s">
        <v>6332</v>
      </c>
      <c r="J304" s="89" t="s">
        <v>7371</v>
      </c>
      <c r="K304" s="475" t="s">
        <v>6677</v>
      </c>
    </row>
    <row r="305" spans="1:11" ht="13.8" customHeight="1" x14ac:dyDescent="0.3">
      <c r="A305" t="s">
        <v>7173</v>
      </c>
      <c r="B305" s="442" t="str">
        <f t="shared" si="8"/>
        <v>Does the undertaking the undertaking operate in a sector using significant material flows (for example manufacturing construction packaging or others)?</v>
      </c>
      <c r="C305" s="492" t="s">
        <v>8321</v>
      </c>
      <c r="D305" t="s">
        <v>4376</v>
      </c>
      <c r="E305" s="492" t="s">
        <v>8781</v>
      </c>
      <c r="F305" s="493" t="s">
        <v>7851</v>
      </c>
      <c r="G305" t="s">
        <v>9359</v>
      </c>
      <c r="H305" s="89" t="s">
        <v>7019</v>
      </c>
      <c r="I305" s="89" t="s">
        <v>6333</v>
      </c>
      <c r="J305" s="89" t="s">
        <v>7372</v>
      </c>
      <c r="K305" s="475" t="s">
        <v>6678</v>
      </c>
    </row>
    <row r="306" spans="1:11" x14ac:dyDescent="0.3">
      <c r="A306" t="s">
        <v>4257</v>
      </c>
      <c r="B306" s="442" t="str">
        <f t="shared" si="8"/>
        <v>Name of the key material</v>
      </c>
      <c r="C306" s="492" t="s">
        <v>8322</v>
      </c>
      <c r="D306" t="s">
        <v>2759</v>
      </c>
      <c r="E306" s="492" t="s">
        <v>8782</v>
      </c>
      <c r="F306" s="493" t="s">
        <v>7852</v>
      </c>
      <c r="G306" t="s">
        <v>9360</v>
      </c>
      <c r="H306" s="89" t="s">
        <v>7020</v>
      </c>
      <c r="I306" s="89" t="s">
        <v>5963</v>
      </c>
      <c r="J306" s="89" t="s">
        <v>7373</v>
      </c>
      <c r="K306" s="475" t="s">
        <v>5786</v>
      </c>
    </row>
    <row r="307" spans="1:11" x14ac:dyDescent="0.3">
      <c r="A307" t="s">
        <v>4258</v>
      </c>
      <c r="B307" s="442" t="str">
        <f t="shared" si="8"/>
        <v>Mass Volume</v>
      </c>
      <c r="C307" s="492" t="s">
        <v>8323</v>
      </c>
      <c r="D307" t="s">
        <v>3997</v>
      </c>
      <c r="E307" s="492" t="s">
        <v>8783</v>
      </c>
      <c r="F307" s="493" t="s">
        <v>7853</v>
      </c>
      <c r="G307" t="s">
        <v>9361</v>
      </c>
      <c r="H307" s="89" t="s">
        <v>7021</v>
      </c>
      <c r="I307" s="89" t="s">
        <v>5964</v>
      </c>
      <c r="J307" s="89" t="s">
        <v>7374</v>
      </c>
      <c r="K307" s="475" t="s">
        <v>5787</v>
      </c>
    </row>
    <row r="308" spans="1:11" ht="28.8" x14ac:dyDescent="0.3">
      <c r="A308" t="s">
        <v>4259</v>
      </c>
      <c r="B308" s="442" t="str">
        <f t="shared" si="8"/>
        <v>Total annual mass-flow of relevant materials used (mass in kg)</v>
      </c>
      <c r="C308" s="492" t="s">
        <v>8324</v>
      </c>
      <c r="D308" t="s">
        <v>2763</v>
      </c>
      <c r="E308" s="492" t="s">
        <v>8784</v>
      </c>
      <c r="F308" s="493" t="s">
        <v>7854</v>
      </c>
      <c r="G308" t="s">
        <v>9362</v>
      </c>
      <c r="H308" s="89" t="s">
        <v>7022</v>
      </c>
      <c r="I308" s="89" t="s">
        <v>6334</v>
      </c>
      <c r="J308" s="89" t="s">
        <v>7375</v>
      </c>
      <c r="K308" s="475" t="s">
        <v>6679</v>
      </c>
    </row>
    <row r="309" spans="1:11" x14ac:dyDescent="0.3">
      <c r="A309" t="s">
        <v>4260</v>
      </c>
      <c r="B309" s="442" t="str">
        <f t="shared" si="8"/>
        <v>kilograms (kg)</v>
      </c>
      <c r="C309" s="492" t="s">
        <v>8325</v>
      </c>
      <c r="D309" t="s">
        <v>2757</v>
      </c>
      <c r="E309" s="492" t="s">
        <v>8785</v>
      </c>
      <c r="F309" s="493" t="s">
        <v>7855</v>
      </c>
      <c r="G309" t="s">
        <v>9363</v>
      </c>
      <c r="H309" s="89" t="s">
        <v>6033</v>
      </c>
      <c r="I309" s="89" t="s">
        <v>5823</v>
      </c>
      <c r="J309" s="89" t="s">
        <v>5880</v>
      </c>
      <c r="K309" s="475" t="s">
        <v>5788</v>
      </c>
    </row>
    <row r="310" spans="1:11" s="12" customFormat="1" ht="29.4" thickBot="1" x14ac:dyDescent="0.35">
      <c r="A310" s="12" t="s">
        <v>4261</v>
      </c>
      <c r="B310" s="476" t="str">
        <f t="shared" si="8"/>
        <v>Total annual mass-flow of relevant materials used (volume in m³)</v>
      </c>
      <c r="C310" s="500" t="s">
        <v>8326</v>
      </c>
      <c r="D310" s="12" t="s">
        <v>3983</v>
      </c>
      <c r="E310" s="500" t="s">
        <v>8786</v>
      </c>
      <c r="F310" s="494" t="s">
        <v>7856</v>
      </c>
      <c r="G310" s="12" t="s">
        <v>9364</v>
      </c>
      <c r="H310" s="443" t="s">
        <v>7023</v>
      </c>
      <c r="I310" s="443" t="s">
        <v>6335</v>
      </c>
      <c r="J310" s="443" t="s">
        <v>7376</v>
      </c>
      <c r="K310" s="498" t="s">
        <v>6680</v>
      </c>
    </row>
    <row r="311" spans="1:11" x14ac:dyDescent="0.3">
      <c r="A311" t="s">
        <v>4262</v>
      </c>
      <c r="B311" s="442" t="str">
        <f t="shared" si="8"/>
        <v>C4 – Climate risks</v>
      </c>
      <c r="C311" s="492" t="s">
        <v>8327</v>
      </c>
      <c r="D311" t="s">
        <v>20</v>
      </c>
      <c r="E311" s="492" t="s">
        <v>8587</v>
      </c>
      <c r="F311" s="493" t="s">
        <v>7857</v>
      </c>
      <c r="G311" t="s">
        <v>9365</v>
      </c>
      <c r="H311" s="89" t="s">
        <v>7024</v>
      </c>
      <c r="I311" s="89" t="s">
        <v>6336</v>
      </c>
      <c r="J311" s="89" t="s">
        <v>7231</v>
      </c>
      <c r="K311" s="475" t="s">
        <v>5789</v>
      </c>
    </row>
    <row r="312" spans="1:11" ht="57.6" x14ac:dyDescent="0.3">
      <c r="A312" t="s">
        <v>4263</v>
      </c>
      <c r="B312" s="442" t="str">
        <f t="shared" si="8"/>
        <v>Has the undertaking identified climate-related hazards and climate-related transition events creating gross climate-related risks for the undertaking?</v>
      </c>
      <c r="C312" s="492" t="s">
        <v>8328</v>
      </c>
      <c r="D312" t="s">
        <v>4044</v>
      </c>
      <c r="E312" s="492" t="s">
        <v>8787</v>
      </c>
      <c r="F312" s="493" t="s">
        <v>7858</v>
      </c>
      <c r="G312" t="s">
        <v>9366</v>
      </c>
      <c r="H312" s="89" t="s">
        <v>7025</v>
      </c>
      <c r="I312" s="89" t="s">
        <v>6337</v>
      </c>
      <c r="J312" s="89" t="s">
        <v>7377</v>
      </c>
      <c r="K312" s="475" t="s">
        <v>6681</v>
      </c>
    </row>
    <row r="313" spans="1:11" ht="28.8" x14ac:dyDescent="0.3">
      <c r="A313" t="s">
        <v>4264</v>
      </c>
      <c r="B313" s="442" t="str">
        <f t="shared" si="8"/>
        <v>Description of climate-related hazards and climate-related transition events</v>
      </c>
      <c r="C313" s="492" t="s">
        <v>8329</v>
      </c>
      <c r="D313" t="s">
        <v>3550</v>
      </c>
      <c r="E313" s="492" t="s">
        <v>8788</v>
      </c>
      <c r="F313" s="493" t="s">
        <v>7859</v>
      </c>
      <c r="G313" t="s">
        <v>9367</v>
      </c>
      <c r="H313" s="89" t="s">
        <v>7026</v>
      </c>
      <c r="I313" s="89" t="s">
        <v>6338</v>
      </c>
      <c r="J313" s="89" t="s">
        <v>7378</v>
      </c>
      <c r="K313" s="475" t="s">
        <v>6682</v>
      </c>
    </row>
    <row r="314" spans="1:11" ht="57.6" x14ac:dyDescent="0.3">
      <c r="A314" t="s">
        <v>4265</v>
      </c>
      <c r="B314" s="442" t="str">
        <f t="shared" si="8"/>
        <v>Disclosure of how it has assessed the exposure and sensitivity of its assets activities and value chain to these hazards and transition events</v>
      </c>
      <c r="C314" s="492" t="s">
        <v>8330</v>
      </c>
      <c r="D314" t="s">
        <v>4045</v>
      </c>
      <c r="E314" s="492" t="s">
        <v>8789</v>
      </c>
      <c r="F314" s="493" t="s">
        <v>7860</v>
      </c>
      <c r="G314" t="s">
        <v>9368</v>
      </c>
      <c r="H314" s="89" t="s">
        <v>7027</v>
      </c>
      <c r="I314" s="89" t="s">
        <v>6339</v>
      </c>
      <c r="J314" s="89" t="s">
        <v>7379</v>
      </c>
      <c r="K314" s="475" t="s">
        <v>6683</v>
      </c>
    </row>
    <row r="315" spans="1:11" ht="28.8" x14ac:dyDescent="0.3">
      <c r="A315" t="s">
        <v>4266</v>
      </c>
      <c r="B315" s="442" t="str">
        <f t="shared" si="8"/>
        <v>Time horizons of any climate-related hazards and transition events identified</v>
      </c>
      <c r="C315" s="492" t="s">
        <v>8331</v>
      </c>
      <c r="D315" t="s">
        <v>21</v>
      </c>
      <c r="E315" s="492" t="s">
        <v>8790</v>
      </c>
      <c r="F315" s="493" t="s">
        <v>7861</v>
      </c>
      <c r="G315" t="s">
        <v>9369</v>
      </c>
      <c r="H315" s="89" t="s">
        <v>7028</v>
      </c>
      <c r="I315" s="89" t="s">
        <v>6340</v>
      </c>
      <c r="J315" s="89" t="s">
        <v>7380</v>
      </c>
      <c r="K315" s="475" t="s">
        <v>5790</v>
      </c>
    </row>
    <row r="316" spans="1:11" ht="43.2" x14ac:dyDescent="0.3">
      <c r="A316" t="s">
        <v>4267</v>
      </c>
      <c r="B316" s="442" t="str">
        <f t="shared" si="8"/>
        <v>Disclosure of whether it has undertaken climate change adaptation actions for any climate-related hazards and transition events</v>
      </c>
      <c r="C316" s="492" t="s">
        <v>8332</v>
      </c>
      <c r="D316" t="s">
        <v>3614</v>
      </c>
      <c r="E316" s="502" t="s">
        <v>8791</v>
      </c>
      <c r="F316" s="493" t="s">
        <v>7862</v>
      </c>
      <c r="G316" t="s">
        <v>9370</v>
      </c>
      <c r="H316" s="89" t="s">
        <v>7029</v>
      </c>
      <c r="I316" s="89" t="s">
        <v>6341</v>
      </c>
      <c r="J316" s="89" t="s">
        <v>7381</v>
      </c>
      <c r="K316" s="475" t="s">
        <v>6684</v>
      </c>
    </row>
    <row r="317" spans="1:11" ht="72" x14ac:dyDescent="0.3">
      <c r="A317" t="s">
        <v>4268</v>
      </c>
      <c r="B317" s="442" t="str">
        <f t="shared" si="8"/>
        <v>Potential adverse effects of climate risks that may affect its financial performance or business operations in the short- medium- or long-term indicating whether it assesses the risks to be high medium or low</v>
      </c>
      <c r="C317" s="492" t="s">
        <v>8333</v>
      </c>
      <c r="D317" t="s">
        <v>4046</v>
      </c>
      <c r="E317" s="492" t="s">
        <v>8792</v>
      </c>
      <c r="F317" s="493" t="s">
        <v>7863</v>
      </c>
      <c r="G317" t="s">
        <v>9371</v>
      </c>
      <c r="H317" s="89" t="s">
        <v>7030</v>
      </c>
      <c r="I317" s="89" t="s">
        <v>6342</v>
      </c>
      <c r="J317" s="89" t="s">
        <v>7382</v>
      </c>
      <c r="K317" s="475" t="s">
        <v>6685</v>
      </c>
    </row>
    <row r="318" spans="1:11" s="12" customFormat="1" ht="29.4" thickBot="1" x14ac:dyDescent="0.35">
      <c r="A318" s="12" t="s">
        <v>4269</v>
      </c>
      <c r="B318" s="476" t="str">
        <f t="shared" si="8"/>
        <v>Disclosure of any other environmental and or entity specific environmental disclosures</v>
      </c>
      <c r="C318" s="500" t="s">
        <v>8334</v>
      </c>
      <c r="D318" s="12" t="s">
        <v>3998</v>
      </c>
      <c r="E318" s="500" t="s">
        <v>8594</v>
      </c>
      <c r="F318" s="494" t="s">
        <v>7864</v>
      </c>
      <c r="G318" s="12" t="s">
        <v>9372</v>
      </c>
      <c r="H318" s="443" t="s">
        <v>7031</v>
      </c>
      <c r="I318" s="443" t="s">
        <v>6343</v>
      </c>
      <c r="J318" s="443" t="s">
        <v>7383</v>
      </c>
      <c r="K318" s="498" t="s">
        <v>6506</v>
      </c>
    </row>
    <row r="319" spans="1:11" ht="43.2" x14ac:dyDescent="0.3">
      <c r="A319" t="s">
        <v>4270</v>
      </c>
      <c r="B319" s="442" t="str">
        <f t="shared" si="8"/>
        <v>Employee counting methodology for the disclosures below (Headcount or Full time Equivalent linked from B1</v>
      </c>
      <c r="C319" s="492" t="s">
        <v>8335</v>
      </c>
      <c r="D319" t="s">
        <v>4047</v>
      </c>
      <c r="E319" s="492" t="s">
        <v>8793</v>
      </c>
      <c r="F319" s="493" t="s">
        <v>7865</v>
      </c>
      <c r="G319" t="s">
        <v>9373</v>
      </c>
      <c r="H319" s="89" t="s">
        <v>7032</v>
      </c>
      <c r="I319" s="89" t="s">
        <v>6344</v>
      </c>
      <c r="J319" s="89" t="s">
        <v>7384</v>
      </c>
      <c r="K319" s="475" t="s">
        <v>6686</v>
      </c>
    </row>
    <row r="320" spans="1:11" s="12" customFormat="1" ht="58.2" thickBot="1" x14ac:dyDescent="0.35">
      <c r="A320" s="12" t="s">
        <v>4271</v>
      </c>
      <c r="B320" s="476" t="str">
        <f t="shared" si="8"/>
        <v>Employee counting methodology for the disclosures below (At the end of the reporting period or as an average across the reporting period linked from B1)</v>
      </c>
      <c r="C320" s="500" t="s">
        <v>8336</v>
      </c>
      <c r="D320" s="12" t="s">
        <v>4061</v>
      </c>
      <c r="E320" s="500" t="s">
        <v>8794</v>
      </c>
      <c r="F320" s="494" t="s">
        <v>7866</v>
      </c>
      <c r="G320" s="12" t="s">
        <v>9374</v>
      </c>
      <c r="H320" s="443" t="s">
        <v>7033</v>
      </c>
      <c r="I320" s="443" t="s">
        <v>6345</v>
      </c>
      <c r="J320" s="443" t="s">
        <v>7385</v>
      </c>
      <c r="K320" s="498" t="s">
        <v>6687</v>
      </c>
    </row>
    <row r="321" spans="1:11" ht="28.8" x14ac:dyDescent="0.3">
      <c r="A321" t="s">
        <v>4272</v>
      </c>
      <c r="B321" s="442" t="str">
        <f t="shared" si="8"/>
        <v>B8 – Workforce – General characteristics - Type of contract</v>
      </c>
      <c r="C321" s="492" t="s">
        <v>8337</v>
      </c>
      <c r="D321" t="s">
        <v>4022</v>
      </c>
      <c r="E321" s="492" t="s">
        <v>8795</v>
      </c>
      <c r="F321" s="493" t="s">
        <v>7867</v>
      </c>
      <c r="G321" t="s">
        <v>9375</v>
      </c>
      <c r="H321" s="89" t="s">
        <v>7034</v>
      </c>
      <c r="I321" s="89" t="s">
        <v>6346</v>
      </c>
      <c r="J321" s="89" t="s">
        <v>7386</v>
      </c>
      <c r="K321" s="475" t="s">
        <v>6511</v>
      </c>
    </row>
    <row r="322" spans="1:11" x14ac:dyDescent="0.3">
      <c r="A322" t="s">
        <v>4273</v>
      </c>
      <c r="B322" s="442" t="str">
        <f t="shared" si="8"/>
        <v>Type of contract</v>
      </c>
      <c r="C322" s="492" t="s">
        <v>8338</v>
      </c>
      <c r="D322" t="s">
        <v>22</v>
      </c>
      <c r="E322" s="492" t="s">
        <v>8576</v>
      </c>
      <c r="F322" s="493" t="s">
        <v>7868</v>
      </c>
      <c r="G322" t="s">
        <v>9145</v>
      </c>
      <c r="H322" s="89" t="s">
        <v>6859</v>
      </c>
      <c r="I322" s="89" t="s">
        <v>5919</v>
      </c>
      <c r="J322" s="89" t="s">
        <v>5720</v>
      </c>
      <c r="K322" s="475" t="s">
        <v>5720</v>
      </c>
    </row>
    <row r="323" spans="1:11" x14ac:dyDescent="0.3">
      <c r="A323" t="s">
        <v>4274</v>
      </c>
      <c r="B323" s="442" t="str">
        <f t="shared" si="8"/>
        <v>Permanent contract</v>
      </c>
      <c r="C323" s="492" t="s">
        <v>8339</v>
      </c>
      <c r="D323" t="s">
        <v>24</v>
      </c>
      <c r="E323" s="492" t="s">
        <v>8796</v>
      </c>
      <c r="F323" s="493" t="s">
        <v>7869</v>
      </c>
      <c r="G323" t="s">
        <v>9376</v>
      </c>
      <c r="H323" s="89" t="s">
        <v>6034</v>
      </c>
      <c r="I323" s="89" t="s">
        <v>5965</v>
      </c>
      <c r="J323" s="89" t="s">
        <v>7387</v>
      </c>
      <c r="K323" s="475" t="s">
        <v>5791</v>
      </c>
    </row>
    <row r="324" spans="1:11" x14ac:dyDescent="0.3">
      <c r="A324" t="s">
        <v>4275</v>
      </c>
      <c r="B324" s="442" t="str">
        <f t="shared" ref="B324:B387" si="9">INDEX(D324:K324,MATCH(template_selected_display_language,$D$3:$K$3,0))</f>
        <v>Temporary contract</v>
      </c>
      <c r="C324" s="492" t="s">
        <v>8340</v>
      </c>
      <c r="D324" t="s">
        <v>23</v>
      </c>
      <c r="E324" s="492" t="s">
        <v>8797</v>
      </c>
      <c r="F324" s="493" t="s">
        <v>7870</v>
      </c>
      <c r="G324" t="s">
        <v>9377</v>
      </c>
      <c r="H324" s="89" t="s">
        <v>7035</v>
      </c>
      <c r="I324" s="89" t="s">
        <v>6080</v>
      </c>
      <c r="J324" s="89" t="s">
        <v>7388</v>
      </c>
      <c r="K324" s="475" t="s">
        <v>5792</v>
      </c>
    </row>
    <row r="325" spans="1:11" s="12" customFormat="1" ht="15" thickBot="1" x14ac:dyDescent="0.35">
      <c r="A325" s="12" t="s">
        <v>4276</v>
      </c>
      <c r="B325" s="476" t="str">
        <f t="shared" si="9"/>
        <v>Total employees (linked to B1)</v>
      </c>
      <c r="C325" s="500" t="s">
        <v>8341</v>
      </c>
      <c r="D325" s="12" t="s">
        <v>4500</v>
      </c>
      <c r="E325" s="500" t="s">
        <v>8798</v>
      </c>
      <c r="F325" s="494" t="s">
        <v>7871</v>
      </c>
      <c r="G325" s="12" t="s">
        <v>9378</v>
      </c>
      <c r="H325" s="443" t="s">
        <v>7036</v>
      </c>
      <c r="I325" s="443" t="s">
        <v>6347</v>
      </c>
      <c r="J325" s="443" t="s">
        <v>7389</v>
      </c>
      <c r="K325" s="498" t="s">
        <v>6688</v>
      </c>
    </row>
    <row r="326" spans="1:11" x14ac:dyDescent="0.3">
      <c r="A326" t="s">
        <v>4277</v>
      </c>
      <c r="B326" s="442" t="str">
        <f t="shared" si="9"/>
        <v>B8 – Workforce – General characteristics - Gender</v>
      </c>
      <c r="C326" s="492" t="s">
        <v>8342</v>
      </c>
      <c r="D326" t="s">
        <v>4023</v>
      </c>
      <c r="E326" s="492" t="s">
        <v>8799</v>
      </c>
      <c r="F326" s="493" t="s">
        <v>7872</v>
      </c>
      <c r="G326" t="s">
        <v>9379</v>
      </c>
      <c r="H326" s="89" t="s">
        <v>7037</v>
      </c>
      <c r="I326" s="89" t="s">
        <v>6348</v>
      </c>
      <c r="J326" s="89" t="s">
        <v>7390</v>
      </c>
      <c r="K326" s="475" t="s">
        <v>6689</v>
      </c>
    </row>
    <row r="327" spans="1:11" x14ac:dyDescent="0.3">
      <c r="A327" t="s">
        <v>4278</v>
      </c>
      <c r="B327" s="442" t="str">
        <f t="shared" si="9"/>
        <v>Gender</v>
      </c>
      <c r="C327" s="492" t="s">
        <v>8106</v>
      </c>
      <c r="D327" t="s">
        <v>25</v>
      </c>
      <c r="E327" s="492" t="s">
        <v>8577</v>
      </c>
      <c r="F327" s="493" t="s">
        <v>7636</v>
      </c>
      <c r="G327" t="s">
        <v>9146</v>
      </c>
      <c r="H327" s="89" t="s">
        <v>6001</v>
      </c>
      <c r="I327" s="89" t="s">
        <v>5920</v>
      </c>
      <c r="J327" s="89" t="s">
        <v>5721</v>
      </c>
      <c r="K327" s="475" t="s">
        <v>5721</v>
      </c>
    </row>
    <row r="328" spans="1:11" x14ac:dyDescent="0.3">
      <c r="A328" t="s">
        <v>4279</v>
      </c>
      <c r="B328" s="442" t="str">
        <f t="shared" si="9"/>
        <v>Male</v>
      </c>
      <c r="C328" s="492" t="s">
        <v>8343</v>
      </c>
      <c r="D328" t="s">
        <v>26</v>
      </c>
      <c r="E328" s="492" t="s">
        <v>8800</v>
      </c>
      <c r="F328" s="493" t="s">
        <v>7873</v>
      </c>
      <c r="G328" t="s">
        <v>9380</v>
      </c>
      <c r="H328" s="89" t="s">
        <v>7038</v>
      </c>
      <c r="I328" s="89" t="s">
        <v>5966</v>
      </c>
      <c r="J328" s="89" t="s">
        <v>5793</v>
      </c>
      <c r="K328" s="475" t="s">
        <v>5793</v>
      </c>
    </row>
    <row r="329" spans="1:11" x14ac:dyDescent="0.3">
      <c r="A329" t="s">
        <v>4280</v>
      </c>
      <c r="B329" s="442" t="str">
        <f t="shared" si="9"/>
        <v>Female</v>
      </c>
      <c r="C329" s="492" t="s">
        <v>8344</v>
      </c>
      <c r="D329" t="s">
        <v>27</v>
      </c>
      <c r="E329" s="492" t="s">
        <v>8801</v>
      </c>
      <c r="F329" s="493" t="s">
        <v>7874</v>
      </c>
      <c r="G329" t="s">
        <v>9381</v>
      </c>
      <c r="H329" s="89" t="s">
        <v>7039</v>
      </c>
      <c r="I329" s="89" t="s">
        <v>5967</v>
      </c>
      <c r="J329" s="89" t="s">
        <v>7391</v>
      </c>
      <c r="K329" s="475" t="s">
        <v>6690</v>
      </c>
    </row>
    <row r="330" spans="1:11" x14ac:dyDescent="0.3">
      <c r="A330" t="s">
        <v>4281</v>
      </c>
      <c r="B330" s="442" t="str">
        <f t="shared" si="9"/>
        <v>Other</v>
      </c>
      <c r="C330" s="492" t="s">
        <v>8345</v>
      </c>
      <c r="D330" t="s">
        <v>28</v>
      </c>
      <c r="E330" s="492" t="s">
        <v>8802</v>
      </c>
      <c r="F330" s="493" t="s">
        <v>7875</v>
      </c>
      <c r="G330" t="s">
        <v>9382</v>
      </c>
      <c r="H330" s="89" t="s">
        <v>7040</v>
      </c>
      <c r="I330" s="89" t="s">
        <v>6349</v>
      </c>
      <c r="J330" s="89" t="s">
        <v>5881</v>
      </c>
      <c r="K330" s="475" t="s">
        <v>5794</v>
      </c>
    </row>
    <row r="331" spans="1:11" s="12" customFormat="1" ht="15" thickBot="1" x14ac:dyDescent="0.35">
      <c r="A331" s="12" t="s">
        <v>4282</v>
      </c>
      <c r="B331" s="476" t="str">
        <f t="shared" si="9"/>
        <v>Not reported</v>
      </c>
      <c r="C331" s="500" t="s">
        <v>8346</v>
      </c>
      <c r="D331" s="12" t="s">
        <v>29</v>
      </c>
      <c r="E331" s="500" t="s">
        <v>8803</v>
      </c>
      <c r="F331" s="494" t="s">
        <v>7876</v>
      </c>
      <c r="G331" s="12" t="s">
        <v>9383</v>
      </c>
      <c r="H331" s="443" t="s">
        <v>7041</v>
      </c>
      <c r="I331" s="443" t="s">
        <v>5968</v>
      </c>
      <c r="J331" s="443" t="s">
        <v>7392</v>
      </c>
      <c r="K331" s="498" t="s">
        <v>6496</v>
      </c>
    </row>
    <row r="332" spans="1:11" ht="28.8" x14ac:dyDescent="0.3">
      <c r="A332" t="s">
        <v>4283</v>
      </c>
      <c r="B332" s="442" t="str">
        <f t="shared" si="9"/>
        <v>B8 – Workforce – General characteristics - Country of employment</v>
      </c>
      <c r="C332" s="492" t="s">
        <v>8347</v>
      </c>
      <c r="D332" t="s">
        <v>4024</v>
      </c>
      <c r="E332" s="492" t="s">
        <v>8804</v>
      </c>
      <c r="F332" s="493" t="s">
        <v>7877</v>
      </c>
      <c r="G332" t="s">
        <v>9384</v>
      </c>
      <c r="H332" s="89" t="s">
        <v>7042</v>
      </c>
      <c r="I332" s="89" t="s">
        <v>6350</v>
      </c>
      <c r="J332" s="89" t="s">
        <v>7393</v>
      </c>
      <c r="K332" s="475" t="s">
        <v>6691</v>
      </c>
    </row>
    <row r="333" spans="1:11" ht="43.2" x14ac:dyDescent="0.3">
      <c r="A333" t="s">
        <v>4284</v>
      </c>
      <c r="B333" s="442" t="str">
        <f t="shared" si="9"/>
        <v>Country of employment contract</v>
      </c>
      <c r="C333" s="492" t="s">
        <v>8348</v>
      </c>
      <c r="D333" t="s">
        <v>30</v>
      </c>
      <c r="E333" s="492" t="s">
        <v>8578</v>
      </c>
      <c r="F333" s="493" t="s">
        <v>7637</v>
      </c>
      <c r="G333" t="s">
        <v>9147</v>
      </c>
      <c r="H333" s="89" t="s">
        <v>7043</v>
      </c>
      <c r="I333" s="89" t="s">
        <v>6351</v>
      </c>
      <c r="J333" s="89" t="s">
        <v>5882</v>
      </c>
      <c r="K333" s="475" t="s">
        <v>6692</v>
      </c>
    </row>
    <row r="334" spans="1:11" s="12" customFormat="1" ht="29.4" thickBot="1" x14ac:dyDescent="0.35">
      <c r="A334" s="12" t="s">
        <v>5685</v>
      </c>
      <c r="B334" s="476" t="str">
        <f t="shared" si="9"/>
        <v>Does the undertaking operate in more than one country?</v>
      </c>
      <c r="C334" s="500" t="s">
        <v>8349</v>
      </c>
      <c r="D334" s="12" t="s">
        <v>5684</v>
      </c>
      <c r="E334" s="500" t="s">
        <v>8805</v>
      </c>
      <c r="F334" s="494" t="s">
        <v>7878</v>
      </c>
      <c r="G334" s="12" t="s">
        <v>9385</v>
      </c>
      <c r="H334" s="443" t="s">
        <v>6035</v>
      </c>
      <c r="I334" s="443" t="s">
        <v>6352</v>
      </c>
      <c r="J334" s="443" t="s">
        <v>5883</v>
      </c>
      <c r="K334" s="498" t="s">
        <v>5795</v>
      </c>
    </row>
    <row r="335" spans="1:11" ht="28.8" x14ac:dyDescent="0.3">
      <c r="A335" t="s">
        <v>4285</v>
      </c>
      <c r="B335" s="442" t="str">
        <f t="shared" si="9"/>
        <v>B8 – Workforce – General characteristics - Turnover rate</v>
      </c>
      <c r="C335" s="492" t="s">
        <v>8350</v>
      </c>
      <c r="D335" t="s">
        <v>4025</v>
      </c>
      <c r="E335" s="492" t="s">
        <v>8806</v>
      </c>
      <c r="F335" s="493" t="s">
        <v>7879</v>
      </c>
      <c r="G335" t="s">
        <v>9386</v>
      </c>
      <c r="H335" s="89" t="s">
        <v>7044</v>
      </c>
      <c r="I335" s="89" t="s">
        <v>6353</v>
      </c>
      <c r="J335" s="89" t="s">
        <v>7394</v>
      </c>
      <c r="K335" s="475" t="s">
        <v>6693</v>
      </c>
    </row>
    <row r="336" spans="1:11" ht="28.8" x14ac:dyDescent="0.3">
      <c r="A336" t="s">
        <v>4286</v>
      </c>
      <c r="B336" s="442" t="str">
        <f t="shared" si="9"/>
        <v>Number of employees who left during the reporting period</v>
      </c>
      <c r="C336" s="492" t="s">
        <v>8351</v>
      </c>
      <c r="D336" t="s">
        <v>3103</v>
      </c>
      <c r="E336" s="492" t="s">
        <v>8807</v>
      </c>
      <c r="F336" s="493" t="s">
        <v>7880</v>
      </c>
      <c r="G336" t="s">
        <v>9387</v>
      </c>
      <c r="H336" s="89" t="s">
        <v>7045</v>
      </c>
      <c r="I336" s="89" t="s">
        <v>6354</v>
      </c>
      <c r="J336" s="89" t="s">
        <v>7395</v>
      </c>
      <c r="K336" s="475" t="s">
        <v>6694</v>
      </c>
    </row>
    <row r="337" spans="1:11" x14ac:dyDescent="0.3">
      <c r="A337" t="s">
        <v>4287</v>
      </c>
      <c r="B337" s="442" t="str">
        <f t="shared" si="9"/>
        <v>Number of employees at the beginning of the reporting period</v>
      </c>
      <c r="C337" s="492" t="s">
        <v>8352</v>
      </c>
      <c r="D337" t="s">
        <v>3104</v>
      </c>
      <c r="E337" s="492" t="s">
        <v>8808</v>
      </c>
      <c r="F337" s="493" t="s">
        <v>7881</v>
      </c>
      <c r="G337" t="s">
        <v>9388</v>
      </c>
      <c r="H337" s="89" t="s">
        <v>6036</v>
      </c>
      <c r="I337" s="89" t="s">
        <v>6355</v>
      </c>
      <c r="J337" s="89" t="s">
        <v>7396</v>
      </c>
      <c r="K337" s="475" t="s">
        <v>6695</v>
      </c>
    </row>
    <row r="338" spans="1:11" x14ac:dyDescent="0.3">
      <c r="A338" t="s">
        <v>4288</v>
      </c>
      <c r="B338" s="442" t="str">
        <f t="shared" si="9"/>
        <v>Number of employees at the end of the reporting period</v>
      </c>
      <c r="C338" s="492" t="s">
        <v>8353</v>
      </c>
      <c r="D338" t="s">
        <v>3105</v>
      </c>
      <c r="E338" s="492" t="s">
        <v>8809</v>
      </c>
      <c r="F338" s="493" t="s">
        <v>7882</v>
      </c>
      <c r="G338" t="s">
        <v>9389</v>
      </c>
      <c r="H338" s="89" t="s">
        <v>6037</v>
      </c>
      <c r="I338" s="89" t="s">
        <v>6356</v>
      </c>
      <c r="J338" s="89" t="s">
        <v>7397</v>
      </c>
      <c r="K338" s="475" t="s">
        <v>6696</v>
      </c>
    </row>
    <row r="339" spans="1:11" s="12" customFormat="1" ht="43.8" thickBot="1" x14ac:dyDescent="0.35">
      <c r="A339" s="12" t="s">
        <v>4289</v>
      </c>
      <c r="B339" s="476" t="str">
        <f t="shared" si="9"/>
        <v>Employee turnover rate [%]  in the reporting period</v>
      </c>
      <c r="C339" s="500" t="s">
        <v>8354</v>
      </c>
      <c r="D339" s="12" t="s">
        <v>3549</v>
      </c>
      <c r="E339" s="500" t="s">
        <v>8810</v>
      </c>
      <c r="F339" s="494" t="s">
        <v>7883</v>
      </c>
      <c r="G339" s="12" t="s">
        <v>9390</v>
      </c>
      <c r="H339" s="443" t="s">
        <v>6038</v>
      </c>
      <c r="I339" s="443" t="s">
        <v>6357</v>
      </c>
      <c r="J339" s="443" t="s">
        <v>7398</v>
      </c>
      <c r="K339" s="498" t="s">
        <v>6697</v>
      </c>
    </row>
    <row r="340" spans="1:11" ht="43.2" x14ac:dyDescent="0.3">
      <c r="A340" t="s">
        <v>4290</v>
      </c>
      <c r="B340" s="442" t="str">
        <f t="shared" si="9"/>
        <v>B9 – Workforce – Health and safety</v>
      </c>
      <c r="C340" s="492" t="s">
        <v>8355</v>
      </c>
      <c r="D340" t="s">
        <v>31</v>
      </c>
      <c r="E340" s="492" t="s">
        <v>8580</v>
      </c>
      <c r="F340" s="493" t="s">
        <v>7884</v>
      </c>
      <c r="G340" t="s">
        <v>9391</v>
      </c>
      <c r="H340" s="89" t="s">
        <v>7046</v>
      </c>
      <c r="I340" s="89" t="s">
        <v>6358</v>
      </c>
      <c r="J340" s="89" t="s">
        <v>7225</v>
      </c>
      <c r="K340" s="475" t="s">
        <v>6698</v>
      </c>
    </row>
    <row r="341" spans="1:11" ht="28.8" x14ac:dyDescent="0.3">
      <c r="A341" t="s">
        <v>4291</v>
      </c>
      <c r="B341" s="442" t="str">
        <f t="shared" si="9"/>
        <v>Number of recordable work-related accidents in the reporting period</v>
      </c>
      <c r="C341" s="492" t="s">
        <v>8356</v>
      </c>
      <c r="D341" t="s">
        <v>3106</v>
      </c>
      <c r="E341" s="492" t="s">
        <v>8811</v>
      </c>
      <c r="F341" s="493" t="s">
        <v>7885</v>
      </c>
      <c r="G341" t="s">
        <v>9392</v>
      </c>
      <c r="H341" s="89" t="s">
        <v>7047</v>
      </c>
      <c r="I341" s="89" t="s">
        <v>6359</v>
      </c>
      <c r="J341" s="89" t="s">
        <v>7399</v>
      </c>
      <c r="K341" s="475" t="s">
        <v>6512</v>
      </c>
    </row>
    <row r="342" spans="1:11" ht="28.8" x14ac:dyDescent="0.3">
      <c r="A342" t="s">
        <v>4292</v>
      </c>
      <c r="B342" s="442" t="str">
        <f t="shared" si="9"/>
        <v>Number of hours worked by  one full-time employee in the reporting period</v>
      </c>
      <c r="C342" s="492" t="s">
        <v>8357</v>
      </c>
      <c r="D342" t="s">
        <v>3107</v>
      </c>
      <c r="E342" s="492" t="s">
        <v>8812</v>
      </c>
      <c r="F342" s="493" t="s">
        <v>7886</v>
      </c>
      <c r="G342" t="s">
        <v>9393</v>
      </c>
      <c r="H342" s="89" t="s">
        <v>7048</v>
      </c>
      <c r="I342" s="89" t="s">
        <v>6360</v>
      </c>
      <c r="J342" s="89" t="s">
        <v>7400</v>
      </c>
      <c r="K342" s="475" t="s">
        <v>6699</v>
      </c>
    </row>
    <row r="343" spans="1:11" ht="28.8" x14ac:dyDescent="0.3">
      <c r="A343" t="s">
        <v>4293</v>
      </c>
      <c r="B343" s="442" t="str">
        <f t="shared" si="9"/>
        <v>Total number of hours worked in a year by all employees in the reporting period</v>
      </c>
      <c r="C343" s="492" t="s">
        <v>8358</v>
      </c>
      <c r="D343" t="s">
        <v>3108</v>
      </c>
      <c r="E343" s="492" t="s">
        <v>8813</v>
      </c>
      <c r="F343" s="493" t="s">
        <v>7887</v>
      </c>
      <c r="G343" t="s">
        <v>9394</v>
      </c>
      <c r="H343" s="89" t="s">
        <v>7049</v>
      </c>
      <c r="I343" s="89" t="s">
        <v>6361</v>
      </c>
      <c r="J343" s="89" t="s">
        <v>7401</v>
      </c>
      <c r="K343" s="475" t="s">
        <v>6700</v>
      </c>
    </row>
    <row r="344" spans="1:11" ht="28.8" x14ac:dyDescent="0.3">
      <c r="A344" t="s">
        <v>4294</v>
      </c>
      <c r="B344" s="442" t="str">
        <f t="shared" si="9"/>
        <v>Rate of recordable work-related accidents in the reporting period</v>
      </c>
      <c r="C344" s="492" t="s">
        <v>8359</v>
      </c>
      <c r="D344" t="s">
        <v>3984</v>
      </c>
      <c r="E344" s="492" t="s">
        <v>8814</v>
      </c>
      <c r="F344" s="493" t="s">
        <v>7888</v>
      </c>
      <c r="G344" t="s">
        <v>9395</v>
      </c>
      <c r="H344" s="89" t="s">
        <v>7050</v>
      </c>
      <c r="I344" s="89" t="s">
        <v>6362</v>
      </c>
      <c r="J344" s="89" t="s">
        <v>7402</v>
      </c>
      <c r="K344" s="475" t="s">
        <v>6701</v>
      </c>
    </row>
    <row r="345" spans="1:11" s="12" customFormat="1" ht="29.4" thickBot="1" x14ac:dyDescent="0.35">
      <c r="A345" s="12" t="s">
        <v>4295</v>
      </c>
      <c r="B345" s="476" t="str">
        <f t="shared" si="9"/>
        <v>Number of fatalities as a result of work-related injuries and work-related ill health</v>
      </c>
      <c r="C345" s="500" t="s">
        <v>8360</v>
      </c>
      <c r="D345" s="12" t="s">
        <v>32</v>
      </c>
      <c r="E345" s="500" t="s">
        <v>8815</v>
      </c>
      <c r="F345" s="494" t="s">
        <v>7889</v>
      </c>
      <c r="G345" s="12" t="s">
        <v>9396</v>
      </c>
      <c r="H345" s="443" t="s">
        <v>6039</v>
      </c>
      <c r="I345" s="443" t="s">
        <v>6363</v>
      </c>
      <c r="J345" s="443" t="s">
        <v>7403</v>
      </c>
      <c r="K345" s="498" t="s">
        <v>6702</v>
      </c>
    </row>
    <row r="346" spans="1:11" ht="57.6" x14ac:dyDescent="0.3">
      <c r="A346" t="s">
        <v>4296</v>
      </c>
      <c r="B346" s="442" t="str">
        <f t="shared" si="9"/>
        <v>B10 – Workforce – Remuneration collective bargaining and training</v>
      </c>
      <c r="C346" s="492" t="s">
        <v>8361</v>
      </c>
      <c r="D346" t="s">
        <v>4048</v>
      </c>
      <c r="E346" s="492" t="s">
        <v>8816</v>
      </c>
      <c r="F346" s="493" t="s">
        <v>7890</v>
      </c>
      <c r="G346" t="s">
        <v>9397</v>
      </c>
      <c r="H346" s="89" t="s">
        <v>7051</v>
      </c>
      <c r="I346" s="89" t="s">
        <v>6182</v>
      </c>
      <c r="J346" s="89" t="s">
        <v>5884</v>
      </c>
      <c r="K346" s="475" t="s">
        <v>6703</v>
      </c>
    </row>
    <row r="347" spans="1:11" ht="57.6" x14ac:dyDescent="0.3">
      <c r="A347" t="s">
        <v>4297</v>
      </c>
      <c r="B347" s="442" t="str">
        <f t="shared" si="9"/>
        <v>Employees receive pay that is equal or above applicable minimum wage determined directly by the national minimum wage law or through a collective bargaining agreement</v>
      </c>
      <c r="C347" s="492" t="s">
        <v>8362</v>
      </c>
      <c r="D347" t="s">
        <v>3053</v>
      </c>
      <c r="E347" s="492" t="s">
        <v>8817</v>
      </c>
      <c r="F347" s="493" t="s">
        <v>7891</v>
      </c>
      <c r="G347" t="s">
        <v>9398</v>
      </c>
      <c r="H347" s="89" t="s">
        <v>7052</v>
      </c>
      <c r="I347" s="89" t="s">
        <v>6364</v>
      </c>
      <c r="J347" s="89" t="s">
        <v>7404</v>
      </c>
      <c r="K347" s="475" t="s">
        <v>6704</v>
      </c>
    </row>
    <row r="348" spans="1:11" ht="28.8" x14ac:dyDescent="0.3">
      <c r="A348" t="s">
        <v>4298</v>
      </c>
      <c r="B348" s="442" t="str">
        <f t="shared" si="9"/>
        <v>Average gross hourly pay level of male employees</v>
      </c>
      <c r="C348" s="492" t="s">
        <v>8363</v>
      </c>
      <c r="D348" t="s">
        <v>4000</v>
      </c>
      <c r="E348" s="492" t="s">
        <v>8818</v>
      </c>
      <c r="F348" s="493" t="s">
        <v>7892</v>
      </c>
      <c r="G348" t="s">
        <v>9399</v>
      </c>
      <c r="H348" s="89" t="s">
        <v>7053</v>
      </c>
      <c r="I348" s="89" t="s">
        <v>6081</v>
      </c>
      <c r="J348" s="89" t="s">
        <v>7405</v>
      </c>
      <c r="K348" s="475" t="s">
        <v>6705</v>
      </c>
    </row>
    <row r="349" spans="1:11" ht="28.8" x14ac:dyDescent="0.3">
      <c r="A349" t="s">
        <v>4299</v>
      </c>
      <c r="B349" s="442" t="str">
        <f t="shared" si="9"/>
        <v>Average gross hourly pay level of female employees</v>
      </c>
      <c r="C349" s="492" t="s">
        <v>8364</v>
      </c>
      <c r="D349" t="s">
        <v>4001</v>
      </c>
      <c r="E349" s="492" t="s">
        <v>8819</v>
      </c>
      <c r="F349" s="493" t="s">
        <v>7893</v>
      </c>
      <c r="G349" t="s">
        <v>9400</v>
      </c>
      <c r="H349" s="89" t="s">
        <v>7054</v>
      </c>
      <c r="I349" s="89" t="s">
        <v>6365</v>
      </c>
      <c r="J349" s="89" t="s">
        <v>7406</v>
      </c>
      <c r="K349" s="475" t="s">
        <v>6706</v>
      </c>
    </row>
    <row r="350" spans="1:11" ht="28.8" x14ac:dyDescent="0.3">
      <c r="A350" t="s">
        <v>4300</v>
      </c>
      <c r="B350" s="442" t="str">
        <f t="shared" si="9"/>
        <v>Percentage gap in pay between the  undertaking's female and male employees [%]</v>
      </c>
      <c r="C350" s="492" t="s">
        <v>8365</v>
      </c>
      <c r="D350" t="s">
        <v>4026</v>
      </c>
      <c r="E350" s="492" t="s">
        <v>8820</v>
      </c>
      <c r="F350" s="493" t="s">
        <v>7894</v>
      </c>
      <c r="G350" t="s">
        <v>9401</v>
      </c>
      <c r="H350" s="89" t="s">
        <v>7055</v>
      </c>
      <c r="I350" s="89" t="s">
        <v>6366</v>
      </c>
      <c r="J350" s="89" t="s">
        <v>7407</v>
      </c>
      <c r="K350" s="475" t="s">
        <v>6707</v>
      </c>
    </row>
    <row r="351" spans="1:11" ht="28.8" x14ac:dyDescent="0.3">
      <c r="A351" t="s">
        <v>4301</v>
      </c>
      <c r="B351" s="442" t="str">
        <f t="shared" si="9"/>
        <v>Number of employees covered by collective bargaining agreements</v>
      </c>
      <c r="C351" s="492" t="s">
        <v>8366</v>
      </c>
      <c r="D351" t="s">
        <v>2902</v>
      </c>
      <c r="E351" s="492" t="s">
        <v>8821</v>
      </c>
      <c r="F351" s="493" t="s">
        <v>7895</v>
      </c>
      <c r="G351" t="s">
        <v>9402</v>
      </c>
      <c r="H351" s="89" t="s">
        <v>6040</v>
      </c>
      <c r="I351" s="89" t="s">
        <v>5969</v>
      </c>
      <c r="J351" s="89" t="s">
        <v>7408</v>
      </c>
      <c r="K351" s="475" t="s">
        <v>6513</v>
      </c>
    </row>
    <row r="352" spans="1:11" s="12" customFormat="1" ht="29.4" thickBot="1" x14ac:dyDescent="0.35">
      <c r="A352" s="12" t="s">
        <v>4302</v>
      </c>
      <c r="B352" s="476" t="str">
        <f t="shared" si="9"/>
        <v>Percentage of employees covered by collective bargaining agreements [%]</v>
      </c>
      <c r="C352" s="500" t="s">
        <v>8367</v>
      </c>
      <c r="D352" s="12" t="s">
        <v>3094</v>
      </c>
      <c r="E352" s="500" t="s">
        <v>8822</v>
      </c>
      <c r="F352" s="494" t="s">
        <v>7896</v>
      </c>
      <c r="G352" s="12" t="s">
        <v>9403</v>
      </c>
      <c r="H352" s="443" t="s">
        <v>6041</v>
      </c>
      <c r="I352" s="443" t="s">
        <v>5970</v>
      </c>
      <c r="J352" s="443" t="s">
        <v>7409</v>
      </c>
      <c r="K352" s="498" t="s">
        <v>6514</v>
      </c>
    </row>
    <row r="353" spans="1:11" ht="28.8" x14ac:dyDescent="0.3">
      <c r="A353" t="s">
        <v>4303</v>
      </c>
      <c r="B353" s="442" t="str">
        <f t="shared" si="9"/>
        <v>B10 – Number of annual training hours per employee during the reporting period</v>
      </c>
      <c r="C353" s="492" t="s">
        <v>9535</v>
      </c>
      <c r="D353" t="s">
        <v>7550</v>
      </c>
      <c r="E353" s="492" t="s">
        <v>9536</v>
      </c>
      <c r="F353" s="493" t="s">
        <v>9537</v>
      </c>
      <c r="G353" t="s">
        <v>9538</v>
      </c>
      <c r="H353" s="89" t="s">
        <v>7551</v>
      </c>
      <c r="I353" s="89" t="s">
        <v>7552</v>
      </c>
      <c r="J353" s="89" t="s">
        <v>7553</v>
      </c>
      <c r="K353" s="475" t="s">
        <v>7554</v>
      </c>
    </row>
    <row r="354" spans="1:11" s="12" customFormat="1" ht="29.4" thickBot="1" x14ac:dyDescent="0.35">
      <c r="A354" s="12" t="s">
        <v>4304</v>
      </c>
      <c r="B354" s="476" t="str">
        <f t="shared" si="9"/>
        <v>Average number of annual training hours per employee</v>
      </c>
      <c r="C354" s="500" t="s">
        <v>8368</v>
      </c>
      <c r="D354" s="12" t="s">
        <v>2919</v>
      </c>
      <c r="E354" s="500" t="s">
        <v>8823</v>
      </c>
      <c r="F354" s="494" t="s">
        <v>7897</v>
      </c>
      <c r="G354" s="12" t="s">
        <v>9404</v>
      </c>
      <c r="H354" s="443" t="s">
        <v>7056</v>
      </c>
      <c r="I354" s="443" t="s">
        <v>6367</v>
      </c>
      <c r="J354" s="443" t="s">
        <v>7410</v>
      </c>
      <c r="K354" s="498" t="s">
        <v>6708</v>
      </c>
    </row>
    <row r="355" spans="1:11" ht="28.8" x14ac:dyDescent="0.3">
      <c r="A355" t="s">
        <v>4305</v>
      </c>
      <c r="B355" s="442" t="str">
        <f t="shared" si="9"/>
        <v>C5 – Additional (general) workforce characteristics</v>
      </c>
      <c r="C355" s="492" t="s">
        <v>8369</v>
      </c>
      <c r="D355" t="s">
        <v>33</v>
      </c>
      <c r="E355" s="492" t="s">
        <v>8588</v>
      </c>
      <c r="F355" s="493" t="s">
        <v>7898</v>
      </c>
      <c r="G355" t="s">
        <v>9405</v>
      </c>
      <c r="H355" s="89" t="s">
        <v>7057</v>
      </c>
      <c r="I355" s="89" t="s">
        <v>6188</v>
      </c>
      <c r="J355" s="89" t="s">
        <v>7411</v>
      </c>
      <c r="K355" s="475" t="s">
        <v>6568</v>
      </c>
    </row>
    <row r="356" spans="1:11" x14ac:dyDescent="0.3">
      <c r="A356" t="s">
        <v>4306</v>
      </c>
      <c r="B356" s="442" t="str">
        <f t="shared" si="9"/>
        <v>Number of male employees at management level</v>
      </c>
      <c r="C356" s="492" t="s">
        <v>8370</v>
      </c>
      <c r="D356" t="s">
        <v>3985</v>
      </c>
      <c r="E356" s="492" t="s">
        <v>8824</v>
      </c>
      <c r="F356" s="493" t="s">
        <v>7899</v>
      </c>
      <c r="G356" t="s">
        <v>9406</v>
      </c>
      <c r="H356" s="89" t="s">
        <v>7058</v>
      </c>
      <c r="I356" s="89" t="s">
        <v>6368</v>
      </c>
      <c r="J356" s="89" t="s">
        <v>7412</v>
      </c>
      <c r="K356" s="475" t="s">
        <v>6709</v>
      </c>
    </row>
    <row r="357" spans="1:11" x14ac:dyDescent="0.3">
      <c r="A357" t="s">
        <v>4307</v>
      </c>
      <c r="B357" s="442" t="str">
        <f t="shared" si="9"/>
        <v>Number of female employees at management level</v>
      </c>
      <c r="C357" s="492" t="s">
        <v>8371</v>
      </c>
      <c r="D357" t="s">
        <v>2903</v>
      </c>
      <c r="E357" s="492" t="s">
        <v>8825</v>
      </c>
      <c r="F357" s="493" t="s">
        <v>7900</v>
      </c>
      <c r="G357" t="s">
        <v>9407</v>
      </c>
      <c r="H357" s="89" t="s">
        <v>7059</v>
      </c>
      <c r="I357" s="89" t="s">
        <v>6369</v>
      </c>
      <c r="J357" s="89" t="s">
        <v>7413</v>
      </c>
      <c r="K357" s="475" t="s">
        <v>6710</v>
      </c>
    </row>
    <row r="358" spans="1:11" ht="28.8" x14ac:dyDescent="0.3">
      <c r="A358" t="s">
        <v>4308</v>
      </c>
      <c r="B358" s="442" t="str">
        <f t="shared" si="9"/>
        <v>Female-to-male ratio at management level for the reporting period</v>
      </c>
      <c r="C358" s="492" t="s">
        <v>8372</v>
      </c>
      <c r="D358" t="s">
        <v>2917</v>
      </c>
      <c r="E358" s="492" t="s">
        <v>8826</v>
      </c>
      <c r="F358" s="493" t="s">
        <v>7901</v>
      </c>
      <c r="G358" t="s">
        <v>9408</v>
      </c>
      <c r="H358" s="89" t="s">
        <v>7060</v>
      </c>
      <c r="I358" s="89" t="s">
        <v>6370</v>
      </c>
      <c r="J358" s="89" t="s">
        <v>7414</v>
      </c>
      <c r="K358" s="475" t="s">
        <v>6711</v>
      </c>
    </row>
    <row r="359" spans="1:11" ht="28.8" x14ac:dyDescent="0.3">
      <c r="A359" t="s">
        <v>4309</v>
      </c>
      <c r="B359" s="442" t="str">
        <f t="shared" si="9"/>
        <v>Total self-employed workers without personnel that are working exclusively for the undertaking</v>
      </c>
      <c r="C359" s="492" t="s">
        <v>8373</v>
      </c>
      <c r="D359" t="s">
        <v>3054</v>
      </c>
      <c r="E359" s="492" t="s">
        <v>8827</v>
      </c>
      <c r="F359" s="493" t="s">
        <v>7902</v>
      </c>
      <c r="G359" t="s">
        <v>9409</v>
      </c>
      <c r="H359" s="89" t="s">
        <v>7061</v>
      </c>
      <c r="I359" s="89" t="s">
        <v>6371</v>
      </c>
      <c r="J359" s="89" t="s">
        <v>5885</v>
      </c>
      <c r="K359" s="475" t="s">
        <v>6712</v>
      </c>
    </row>
    <row r="360" spans="1:11" s="12" customFormat="1" ht="43.8" thickBot="1" x14ac:dyDescent="0.35">
      <c r="A360" s="12" t="s">
        <v>4310</v>
      </c>
      <c r="B360" s="476" t="str">
        <f t="shared" si="9"/>
        <v>Total temporary workers provided by undertakings primarily engaged in employment activities</v>
      </c>
      <c r="C360" s="500" t="s">
        <v>8374</v>
      </c>
      <c r="D360" s="12" t="s">
        <v>34</v>
      </c>
      <c r="E360" s="500" t="s">
        <v>8828</v>
      </c>
      <c r="F360" s="494" t="s">
        <v>7903</v>
      </c>
      <c r="G360" s="12" t="s">
        <v>9410</v>
      </c>
      <c r="H360" s="443" t="s">
        <v>7062</v>
      </c>
      <c r="I360" s="443" t="s">
        <v>6372</v>
      </c>
      <c r="J360" s="443" t="s">
        <v>7415</v>
      </c>
      <c r="K360" s="498" t="s">
        <v>5796</v>
      </c>
    </row>
    <row r="361" spans="1:11" ht="43.2" x14ac:dyDescent="0.3">
      <c r="A361" t="s">
        <v>4311</v>
      </c>
      <c r="B361" s="442" t="str">
        <f t="shared" si="9"/>
        <v>C6 – Additional own workforce information - Human rights policies and processes</v>
      </c>
      <c r="C361" s="492" t="s">
        <v>8375</v>
      </c>
      <c r="D361" t="s">
        <v>35</v>
      </c>
      <c r="E361" s="492" t="s">
        <v>8829</v>
      </c>
      <c r="F361" s="493" t="s">
        <v>7904</v>
      </c>
      <c r="G361" t="s">
        <v>9411</v>
      </c>
      <c r="H361" s="89" t="s">
        <v>7063</v>
      </c>
      <c r="I361" s="89" t="s">
        <v>6189</v>
      </c>
      <c r="J361" s="89" t="s">
        <v>7416</v>
      </c>
      <c r="K361" s="475" t="s">
        <v>6569</v>
      </c>
    </row>
    <row r="362" spans="1:11" ht="43.2" x14ac:dyDescent="0.3">
      <c r="A362" t="s">
        <v>4312</v>
      </c>
      <c r="B362" s="442" t="str">
        <f t="shared" si="9"/>
        <v>Does the undertaking have a code of conduct or human rights policy for its own workforce?</v>
      </c>
      <c r="C362" s="492" t="s">
        <v>8376</v>
      </c>
      <c r="D362" t="s">
        <v>36</v>
      </c>
      <c r="E362" s="492" t="s">
        <v>8830</v>
      </c>
      <c r="F362" s="493" t="s">
        <v>7905</v>
      </c>
      <c r="G362" t="s">
        <v>9412</v>
      </c>
      <c r="H362" s="89" t="s">
        <v>7064</v>
      </c>
      <c r="I362" s="89" t="s">
        <v>6373</v>
      </c>
      <c r="J362" s="89" t="s">
        <v>7417</v>
      </c>
      <c r="K362" s="475" t="s">
        <v>6713</v>
      </c>
    </row>
    <row r="363" spans="1:11" x14ac:dyDescent="0.3">
      <c r="A363" t="s">
        <v>4313</v>
      </c>
      <c r="B363" s="442" t="str">
        <f t="shared" si="9"/>
        <v>If yes does this cover:</v>
      </c>
      <c r="C363" s="492" t="s">
        <v>8377</v>
      </c>
      <c r="D363" t="s">
        <v>4049</v>
      </c>
      <c r="E363" s="492" t="s">
        <v>8831</v>
      </c>
      <c r="F363" s="493" t="s">
        <v>7906</v>
      </c>
      <c r="G363" t="s">
        <v>9413</v>
      </c>
      <c r="H363" s="89" t="s">
        <v>7065</v>
      </c>
      <c r="I363" s="89" t="s">
        <v>6374</v>
      </c>
      <c r="J363" s="89" t="s">
        <v>7418</v>
      </c>
      <c r="K363" s="475" t="s">
        <v>6714</v>
      </c>
    </row>
    <row r="364" spans="1:11" x14ac:dyDescent="0.3">
      <c r="A364" t="s">
        <v>4314</v>
      </c>
      <c r="B364" s="442" t="str">
        <f t="shared" si="9"/>
        <v>· child labour</v>
      </c>
      <c r="C364" s="492" t="s">
        <v>8378</v>
      </c>
      <c r="D364" t="s">
        <v>4501</v>
      </c>
      <c r="E364" s="492" t="s">
        <v>8832</v>
      </c>
      <c r="F364" s="493" t="s">
        <v>7907</v>
      </c>
      <c r="G364" t="s">
        <v>9414</v>
      </c>
      <c r="H364" s="89" t="s">
        <v>9035</v>
      </c>
      <c r="I364" s="89" t="s">
        <v>9034</v>
      </c>
      <c r="J364" s="89" t="s">
        <v>6098</v>
      </c>
      <c r="K364" s="475" t="s">
        <v>5797</v>
      </c>
    </row>
    <row r="365" spans="1:11" x14ac:dyDescent="0.3">
      <c r="A365" t="s">
        <v>4315</v>
      </c>
      <c r="B365" s="442" t="str">
        <f t="shared" si="9"/>
        <v>· forced labour</v>
      </c>
      <c r="C365" s="492" t="s">
        <v>8379</v>
      </c>
      <c r="D365" t="s">
        <v>4502</v>
      </c>
      <c r="E365" s="492" t="s">
        <v>8833</v>
      </c>
      <c r="F365" s="493" t="s">
        <v>7908</v>
      </c>
      <c r="G365" t="s">
        <v>9415</v>
      </c>
      <c r="H365" s="89" t="s">
        <v>6066</v>
      </c>
      <c r="I365" s="89" t="s">
        <v>9036</v>
      </c>
      <c r="J365" s="89" t="s">
        <v>5886</v>
      </c>
      <c r="K365" s="475" t="s">
        <v>5798</v>
      </c>
    </row>
    <row r="366" spans="1:11" x14ac:dyDescent="0.3">
      <c r="A366" t="s">
        <v>4316</v>
      </c>
      <c r="B366" s="442" t="str">
        <f t="shared" si="9"/>
        <v>· human trafficking</v>
      </c>
      <c r="C366" s="492" t="s">
        <v>8380</v>
      </c>
      <c r="D366" t="s">
        <v>4503</v>
      </c>
      <c r="E366" s="492" t="s">
        <v>8834</v>
      </c>
      <c r="F366" s="493" t="s">
        <v>7909</v>
      </c>
      <c r="G366" t="s">
        <v>9416</v>
      </c>
      <c r="H366" s="89" t="s">
        <v>7066</v>
      </c>
      <c r="I366" s="89" t="s">
        <v>9037</v>
      </c>
      <c r="J366" s="89" t="s">
        <v>7419</v>
      </c>
      <c r="K366" s="475" t="s">
        <v>6715</v>
      </c>
    </row>
    <row r="367" spans="1:11" x14ac:dyDescent="0.3">
      <c r="A367" t="s">
        <v>4317</v>
      </c>
      <c r="B367" s="442" t="str">
        <f t="shared" si="9"/>
        <v>· discrimination</v>
      </c>
      <c r="C367" s="492" t="s">
        <v>8381</v>
      </c>
      <c r="D367" t="s">
        <v>4504</v>
      </c>
      <c r="E367" s="492" t="s">
        <v>4504</v>
      </c>
      <c r="F367" s="493" t="s">
        <v>7910</v>
      </c>
      <c r="G367" t="s">
        <v>9417</v>
      </c>
      <c r="H367" s="89" t="s">
        <v>5691</v>
      </c>
      <c r="I367" s="89" t="s">
        <v>9038</v>
      </c>
      <c r="J367" s="89" t="s">
        <v>5887</v>
      </c>
      <c r="K367" s="475" t="s">
        <v>5799</v>
      </c>
    </row>
    <row r="368" spans="1:11" x14ac:dyDescent="0.3">
      <c r="A368" t="s">
        <v>4318</v>
      </c>
      <c r="B368" s="442" t="str">
        <f t="shared" si="9"/>
        <v>· accident prevention</v>
      </c>
      <c r="C368" s="492" t="s">
        <v>8382</v>
      </c>
      <c r="D368" t="s">
        <v>4505</v>
      </c>
      <c r="E368" s="492" t="s">
        <v>8979</v>
      </c>
      <c r="F368" s="493" t="s">
        <v>7911</v>
      </c>
      <c r="G368" t="s">
        <v>9418</v>
      </c>
      <c r="H368" s="89" t="s">
        <v>7067</v>
      </c>
      <c r="I368" s="89" t="s">
        <v>9039</v>
      </c>
      <c r="J368" s="89" t="s">
        <v>9041</v>
      </c>
      <c r="K368" s="475" t="s">
        <v>5800</v>
      </c>
    </row>
    <row r="369" spans="1:11" x14ac:dyDescent="0.3">
      <c r="A369" t="s">
        <v>4319</v>
      </c>
      <c r="B369" s="442" t="str">
        <f t="shared" si="9"/>
        <v>· other? ( if yes specify)</v>
      </c>
      <c r="C369" s="492" t="s">
        <v>8383</v>
      </c>
      <c r="D369" t="s">
        <v>4506</v>
      </c>
      <c r="E369" s="492" t="s">
        <v>8835</v>
      </c>
      <c r="F369" s="493" t="s">
        <v>7912</v>
      </c>
      <c r="G369" t="s">
        <v>9419</v>
      </c>
      <c r="H369" s="89" t="s">
        <v>9002</v>
      </c>
      <c r="I369" s="89" t="s">
        <v>9040</v>
      </c>
      <c r="J369" s="89" t="s">
        <v>9042</v>
      </c>
      <c r="K369" s="475" t="s">
        <v>6716</v>
      </c>
    </row>
    <row r="370" spans="1:11" ht="43.2" x14ac:dyDescent="0.3">
      <c r="A370" t="s">
        <v>4320</v>
      </c>
      <c r="B370" s="442" t="str">
        <f t="shared" si="9"/>
        <v>Specify other types of content covered by the code of conduct or human rights policy</v>
      </c>
      <c r="C370" s="492" t="s">
        <v>8384</v>
      </c>
      <c r="D370" t="s">
        <v>3102</v>
      </c>
      <c r="E370" s="492" t="s">
        <v>8836</v>
      </c>
      <c r="F370" s="493" t="s">
        <v>7913</v>
      </c>
      <c r="G370" t="s">
        <v>9420</v>
      </c>
      <c r="H370" s="89" t="s">
        <v>7068</v>
      </c>
      <c r="I370" s="89" t="s">
        <v>6375</v>
      </c>
      <c r="J370" s="89" t="s">
        <v>7420</v>
      </c>
      <c r="K370" s="475" t="s">
        <v>6717</v>
      </c>
    </row>
    <row r="371" spans="1:11" s="12" customFormat="1" ht="29.4" thickBot="1" x14ac:dyDescent="0.35">
      <c r="A371" s="12" t="s">
        <v>4321</v>
      </c>
      <c r="B371" s="476" t="str">
        <f t="shared" si="9"/>
        <v>Does the undertaking have a complaint-handling mechanism for its own workforce?</v>
      </c>
      <c r="C371" s="500" t="s">
        <v>8385</v>
      </c>
      <c r="D371" s="12" t="s">
        <v>3986</v>
      </c>
      <c r="E371" s="504" t="s">
        <v>8837</v>
      </c>
      <c r="F371" s="494" t="s">
        <v>7914</v>
      </c>
      <c r="G371" s="12" t="s">
        <v>9421</v>
      </c>
      <c r="H371" s="443" t="s">
        <v>7069</v>
      </c>
      <c r="I371" s="443" t="s">
        <v>6376</v>
      </c>
      <c r="J371" s="443" t="s">
        <v>7421</v>
      </c>
      <c r="K371" s="498" t="s">
        <v>6718</v>
      </c>
    </row>
    <row r="372" spans="1:11" ht="28.8" x14ac:dyDescent="0.3">
      <c r="A372" t="s">
        <v>4322</v>
      </c>
      <c r="B372" s="442" t="str">
        <f t="shared" si="9"/>
        <v>C7 – Severe negative human rights incidents</v>
      </c>
      <c r="C372" s="492" t="s">
        <v>8386</v>
      </c>
      <c r="D372" t="s">
        <v>37</v>
      </c>
      <c r="E372" s="492" t="s">
        <v>8589</v>
      </c>
      <c r="F372" s="493" t="s">
        <v>7915</v>
      </c>
      <c r="G372" t="s">
        <v>9422</v>
      </c>
      <c r="H372" s="89" t="s">
        <v>7070</v>
      </c>
      <c r="I372" s="89" t="s">
        <v>6190</v>
      </c>
      <c r="J372" s="89" t="s">
        <v>7422</v>
      </c>
      <c r="K372" s="475" t="s">
        <v>6719</v>
      </c>
    </row>
    <row r="373" spans="1:11" ht="43.2" x14ac:dyDescent="0.3">
      <c r="A373" t="s">
        <v>4323</v>
      </c>
      <c r="B373" s="442" t="str">
        <f t="shared" si="9"/>
        <v>Does the undertaking have confirmed incidents in its own workforce?</v>
      </c>
      <c r="C373" s="492" t="s">
        <v>8387</v>
      </c>
      <c r="D373" t="s">
        <v>3017</v>
      </c>
      <c r="E373" s="492" t="s">
        <v>8838</v>
      </c>
      <c r="F373" s="493" t="s">
        <v>7916</v>
      </c>
      <c r="G373" t="s">
        <v>9423</v>
      </c>
      <c r="H373" s="89" t="s">
        <v>7071</v>
      </c>
      <c r="I373" s="89" t="s">
        <v>6377</v>
      </c>
      <c r="J373" s="89" t="s">
        <v>7423</v>
      </c>
      <c r="K373" s="475" t="s">
        <v>6720</v>
      </c>
    </row>
    <row r="374" spans="1:11" x14ac:dyDescent="0.3">
      <c r="A374" t="s">
        <v>4324</v>
      </c>
      <c r="B374" s="442" t="str">
        <f t="shared" si="9"/>
        <v>If yes are incidents related to:</v>
      </c>
      <c r="C374" s="492" t="s">
        <v>8388</v>
      </c>
      <c r="D374" t="s">
        <v>4050</v>
      </c>
      <c r="E374" s="492" t="s">
        <v>8839</v>
      </c>
      <c r="F374" s="493" t="s">
        <v>7917</v>
      </c>
      <c r="G374" t="s">
        <v>9424</v>
      </c>
      <c r="H374" s="89" t="s">
        <v>7072</v>
      </c>
      <c r="I374" s="89" t="s">
        <v>6378</v>
      </c>
      <c r="J374" s="89" t="s">
        <v>7424</v>
      </c>
      <c r="K374" s="475" t="s">
        <v>6721</v>
      </c>
    </row>
    <row r="375" spans="1:11" ht="28.8" x14ac:dyDescent="0.3">
      <c r="A375" t="s">
        <v>4325</v>
      </c>
      <c r="B375" s="442" t="str">
        <f t="shared" si="9"/>
        <v>Specify other human rights related to the confirmed incidents</v>
      </c>
      <c r="C375" s="492" t="s">
        <v>8389</v>
      </c>
      <c r="D375" t="s">
        <v>3541</v>
      </c>
      <c r="E375" s="492" t="s">
        <v>8840</v>
      </c>
      <c r="F375" s="493" t="s">
        <v>7918</v>
      </c>
      <c r="G375" t="s">
        <v>9425</v>
      </c>
      <c r="H375" s="89" t="s">
        <v>7073</v>
      </c>
      <c r="I375" s="89" t="s">
        <v>6379</v>
      </c>
      <c r="J375" s="89" t="s">
        <v>7425</v>
      </c>
      <c r="K375" s="475" t="s">
        <v>6722</v>
      </c>
    </row>
    <row r="376" spans="1:11" ht="57.6" x14ac:dyDescent="0.3">
      <c r="A376" t="s">
        <v>4326</v>
      </c>
      <c r="B376" s="442" t="str">
        <f t="shared" si="9"/>
        <v>Description of actions taken to address the confirmed incidents</v>
      </c>
      <c r="C376" s="492" t="s">
        <v>8390</v>
      </c>
      <c r="D376" t="s">
        <v>4002</v>
      </c>
      <c r="E376" s="492" t="s">
        <v>8841</v>
      </c>
      <c r="F376" s="493" t="s">
        <v>7919</v>
      </c>
      <c r="G376" t="s">
        <v>9426</v>
      </c>
      <c r="H376" s="89" t="s">
        <v>7074</v>
      </c>
      <c r="I376" s="89" t="s">
        <v>6380</v>
      </c>
      <c r="J376" s="89" t="s">
        <v>7426</v>
      </c>
      <c r="K376" s="475" t="s">
        <v>6723</v>
      </c>
    </row>
    <row r="377" spans="1:11" ht="72" x14ac:dyDescent="0.3">
      <c r="A377" t="s">
        <v>4327</v>
      </c>
      <c r="B377" s="442" t="str">
        <f t="shared" si="9"/>
        <v>Is the undertaking aware of any confirmed incidents involving workers in the value chain affected communities consumers and end-users?</v>
      </c>
      <c r="C377" s="492" t="s">
        <v>8391</v>
      </c>
      <c r="D377" t="s">
        <v>4051</v>
      </c>
      <c r="E377" s="492" t="s">
        <v>8842</v>
      </c>
      <c r="F377" s="493" t="s">
        <v>7920</v>
      </c>
      <c r="G377" t="s">
        <v>9427</v>
      </c>
      <c r="H377" s="89" t="s">
        <v>7075</v>
      </c>
      <c r="I377" s="89" t="s">
        <v>6381</v>
      </c>
      <c r="J377" s="89" t="s">
        <v>7427</v>
      </c>
      <c r="K377" s="475" t="s">
        <v>6724</v>
      </c>
    </row>
    <row r="378" spans="1:11" s="12" customFormat="1" ht="58.2" thickBot="1" x14ac:dyDescent="0.35">
      <c r="A378" s="12" t="s">
        <v>4328</v>
      </c>
      <c r="B378" s="476" t="str">
        <f t="shared" si="9"/>
        <v>Specification of any confirmed incident involving workers in the value chain affected communities consumers and end-users</v>
      </c>
      <c r="C378" s="500" t="s">
        <v>8392</v>
      </c>
      <c r="D378" s="12" t="s">
        <v>4052</v>
      </c>
      <c r="E378" s="500" t="s">
        <v>8843</v>
      </c>
      <c r="F378" s="494" t="s">
        <v>7921</v>
      </c>
      <c r="G378" s="12" t="s">
        <v>9428</v>
      </c>
      <c r="H378" s="443" t="s">
        <v>7076</v>
      </c>
      <c r="I378" s="443" t="s">
        <v>6382</v>
      </c>
      <c r="J378" s="443" t="s">
        <v>7428</v>
      </c>
      <c r="K378" s="498" t="s">
        <v>6725</v>
      </c>
    </row>
    <row r="379" spans="1:11" s="119" customFormat="1" ht="29.4" thickBot="1" x14ac:dyDescent="0.35">
      <c r="A379" s="119" t="s">
        <v>4329</v>
      </c>
      <c r="B379" s="478" t="str">
        <f t="shared" si="9"/>
        <v>Disclosure of any other social and or entity specific social disclosures</v>
      </c>
      <c r="C379" s="505" t="s">
        <v>8393</v>
      </c>
      <c r="D379" s="119" t="s">
        <v>4058</v>
      </c>
      <c r="E379" s="505" t="s">
        <v>8595</v>
      </c>
      <c r="F379" s="495" t="s">
        <v>7922</v>
      </c>
      <c r="G379" s="119" t="s">
        <v>9429</v>
      </c>
      <c r="H379" s="479" t="s">
        <v>7077</v>
      </c>
      <c r="I379" s="479" t="s">
        <v>6383</v>
      </c>
      <c r="J379" s="479" t="s">
        <v>7429</v>
      </c>
      <c r="K379" s="499" t="s">
        <v>6726</v>
      </c>
    </row>
    <row r="380" spans="1:11" ht="28.8" x14ac:dyDescent="0.3">
      <c r="A380" t="s">
        <v>4330</v>
      </c>
      <c r="B380" t="str">
        <f t="shared" si="9"/>
        <v>B11 – Convictions and fines for corruption and bribery</v>
      </c>
      <c r="C380" s="492" t="s">
        <v>8394</v>
      </c>
      <c r="D380" t="s">
        <v>38</v>
      </c>
      <c r="E380" s="492" t="s">
        <v>8582</v>
      </c>
      <c r="F380" s="493" t="s">
        <v>7923</v>
      </c>
      <c r="G380" t="s">
        <v>9430</v>
      </c>
      <c r="H380" s="89" t="s">
        <v>7078</v>
      </c>
      <c r="I380" s="89" t="s">
        <v>6184</v>
      </c>
      <c r="J380" s="89" t="s">
        <v>5888</v>
      </c>
      <c r="K380" s="475" t="s">
        <v>6727</v>
      </c>
    </row>
    <row r="381" spans="1:11" ht="28.8" x14ac:dyDescent="0.3">
      <c r="A381" t="s">
        <v>4331</v>
      </c>
      <c r="B381" t="str">
        <f t="shared" si="9"/>
        <v>Has the undertaking incurred in convictions and fines in the reporting period?</v>
      </c>
      <c r="C381" s="492" t="s">
        <v>8395</v>
      </c>
      <c r="D381" t="s">
        <v>3089</v>
      </c>
      <c r="E381" s="492" t="s">
        <v>8844</v>
      </c>
      <c r="F381" s="493" t="s">
        <v>7924</v>
      </c>
      <c r="G381" t="s">
        <v>9431</v>
      </c>
      <c r="H381" s="89" t="s">
        <v>7079</v>
      </c>
      <c r="I381" s="89" t="s">
        <v>6384</v>
      </c>
      <c r="J381" s="89" t="s">
        <v>7430</v>
      </c>
      <c r="K381" s="475" t="s">
        <v>6728</v>
      </c>
    </row>
    <row r="382" spans="1:11" ht="43.2" x14ac:dyDescent="0.3">
      <c r="A382" t="s">
        <v>4332</v>
      </c>
      <c r="B382" t="str">
        <f t="shared" si="9"/>
        <v>Total number of convictions  for the violation of anti-corruption and anti-bribery laws</v>
      </c>
      <c r="C382" s="492" t="s">
        <v>8396</v>
      </c>
      <c r="D382" t="s">
        <v>3109</v>
      </c>
      <c r="E382" s="492" t="s">
        <v>8845</v>
      </c>
      <c r="F382" s="493" t="s">
        <v>7925</v>
      </c>
      <c r="G382" t="s">
        <v>9432</v>
      </c>
      <c r="H382" s="89" t="s">
        <v>7080</v>
      </c>
      <c r="I382" s="89" t="s">
        <v>6385</v>
      </c>
      <c r="J382" s="89" t="s">
        <v>6099</v>
      </c>
      <c r="K382" s="475" t="s">
        <v>6729</v>
      </c>
    </row>
    <row r="383" spans="1:11" s="12" customFormat="1" ht="43.8" thickBot="1" x14ac:dyDescent="0.35">
      <c r="A383" s="12" t="s">
        <v>4333</v>
      </c>
      <c r="B383" s="12" t="str">
        <f t="shared" si="9"/>
        <v>Total amount of fines for the violation of anti-corruption and anti-bribery laws</v>
      </c>
      <c r="C383" s="500" t="s">
        <v>8397</v>
      </c>
      <c r="D383" s="12" t="s">
        <v>4509</v>
      </c>
      <c r="E383" s="500" t="s">
        <v>8846</v>
      </c>
      <c r="F383" s="494" t="s">
        <v>7926</v>
      </c>
      <c r="G383" s="12" t="s">
        <v>9433</v>
      </c>
      <c r="H383" s="443" t="s">
        <v>7081</v>
      </c>
      <c r="I383" s="443" t="s">
        <v>6386</v>
      </c>
      <c r="J383" s="443" t="s">
        <v>7431</v>
      </c>
      <c r="K383" s="498" t="s">
        <v>6730</v>
      </c>
    </row>
    <row r="384" spans="1:11" x14ac:dyDescent="0.3">
      <c r="A384" t="s">
        <v>4334</v>
      </c>
      <c r="B384" t="str">
        <f t="shared" si="9"/>
        <v>C8 – Revenues from certain activities</v>
      </c>
      <c r="C384" s="492" t="s">
        <v>8398</v>
      </c>
      <c r="D384" t="s">
        <v>4617</v>
      </c>
      <c r="E384" s="492" t="s">
        <v>8847</v>
      </c>
      <c r="F384" s="493" t="s">
        <v>7927</v>
      </c>
      <c r="G384" t="s">
        <v>9434</v>
      </c>
      <c r="H384" s="89" t="s">
        <v>7082</v>
      </c>
      <c r="I384" s="89" t="s">
        <v>5971</v>
      </c>
      <c r="J384" s="89" t="s">
        <v>7432</v>
      </c>
      <c r="K384" s="475" t="s">
        <v>6731</v>
      </c>
    </row>
    <row r="385" spans="1:11" ht="28.8" x14ac:dyDescent="0.3">
      <c r="A385" t="s">
        <v>4335</v>
      </c>
      <c r="B385" t="str">
        <f t="shared" si="9"/>
        <v>Is the undertaking deriving revenues from one of the activities listed below?</v>
      </c>
      <c r="C385" s="492" t="s">
        <v>8399</v>
      </c>
      <c r="D385" t="s">
        <v>3090</v>
      </c>
      <c r="E385" s="492" t="s">
        <v>8848</v>
      </c>
      <c r="F385" s="493" t="s">
        <v>7928</v>
      </c>
      <c r="G385" t="s">
        <v>9435</v>
      </c>
      <c r="H385" s="89" t="s">
        <v>7083</v>
      </c>
      <c r="I385" s="89" t="s">
        <v>6387</v>
      </c>
      <c r="J385" s="89" t="s">
        <v>7433</v>
      </c>
      <c r="K385" s="475" t="s">
        <v>5801</v>
      </c>
    </row>
    <row r="386" spans="1:11" x14ac:dyDescent="0.3">
      <c r="A386" t="s">
        <v>4336</v>
      </c>
      <c r="B386" t="str">
        <f t="shared" si="9"/>
        <v>Monetary amount in</v>
      </c>
      <c r="C386" s="492" t="s">
        <v>8400</v>
      </c>
      <c r="D386" t="s">
        <v>3987</v>
      </c>
      <c r="E386" s="492" t="s">
        <v>8849</v>
      </c>
      <c r="F386" s="493" t="s">
        <v>7673</v>
      </c>
      <c r="G386" t="s">
        <v>9436</v>
      </c>
      <c r="H386" s="89" t="s">
        <v>7084</v>
      </c>
      <c r="I386" s="89" t="s">
        <v>5972</v>
      </c>
      <c r="J386" s="89" t="s">
        <v>5889</v>
      </c>
      <c r="K386" s="475" t="s">
        <v>5802</v>
      </c>
    </row>
    <row r="387" spans="1:11" ht="43.2" x14ac:dyDescent="0.3">
      <c r="A387" t="s">
        <v>4337</v>
      </c>
      <c r="B387" t="str">
        <f t="shared" si="9"/>
        <v>Revenue derived from controversial weapons (anti-personnel mines cluster munitions chemical weapons and biological weapons)</v>
      </c>
      <c r="C387" s="492" t="s">
        <v>8401</v>
      </c>
      <c r="D387" t="s">
        <v>4053</v>
      </c>
      <c r="E387" s="492" t="s">
        <v>8850</v>
      </c>
      <c r="F387" s="493" t="s">
        <v>7929</v>
      </c>
      <c r="G387" t="s">
        <v>9437</v>
      </c>
      <c r="H387" s="89" t="s">
        <v>7085</v>
      </c>
      <c r="I387" s="89" t="s">
        <v>6388</v>
      </c>
      <c r="J387" s="89" t="s">
        <v>7434</v>
      </c>
      <c r="K387" s="475" t="s">
        <v>6515</v>
      </c>
    </row>
    <row r="388" spans="1:11" ht="28.8" x14ac:dyDescent="0.3">
      <c r="A388" t="s">
        <v>4338</v>
      </c>
      <c r="B388" t="str">
        <f t="shared" ref="B388:B451" si="10">INDEX(D388:K388,MATCH(template_selected_display_language,$D$3:$K$3,0))</f>
        <v>Revenue derived from cultivation and production of tobacco</v>
      </c>
      <c r="C388" s="492" t="s">
        <v>8402</v>
      </c>
      <c r="D388" t="s">
        <v>3043</v>
      </c>
      <c r="E388" s="492" t="s">
        <v>8851</v>
      </c>
      <c r="F388" s="493" t="s">
        <v>7930</v>
      </c>
      <c r="G388" t="s">
        <v>9438</v>
      </c>
      <c r="H388" s="89" t="s">
        <v>7086</v>
      </c>
      <c r="I388" s="89" t="s">
        <v>6389</v>
      </c>
      <c r="J388" s="89" t="s">
        <v>7435</v>
      </c>
      <c r="K388" s="475" t="s">
        <v>6732</v>
      </c>
    </row>
    <row r="389" spans="1:11" x14ac:dyDescent="0.3">
      <c r="A389" t="s">
        <v>4339</v>
      </c>
      <c r="B389" t="str">
        <f t="shared" si="10"/>
        <v>Revenue derived from coal</v>
      </c>
      <c r="C389" s="492" t="s">
        <v>8403</v>
      </c>
      <c r="D389" t="s">
        <v>3042</v>
      </c>
      <c r="E389" s="492" t="s">
        <v>8852</v>
      </c>
      <c r="F389" s="493" t="s">
        <v>7931</v>
      </c>
      <c r="G389" t="s">
        <v>9439</v>
      </c>
      <c r="H389" s="89" t="s">
        <v>6042</v>
      </c>
      <c r="I389" s="89" t="s">
        <v>6390</v>
      </c>
      <c r="J389" s="89" t="s">
        <v>7436</v>
      </c>
      <c r="K389" s="475" t="s">
        <v>5803</v>
      </c>
    </row>
    <row r="390" spans="1:11" x14ac:dyDescent="0.3">
      <c r="A390" t="s">
        <v>4340</v>
      </c>
      <c r="B390" t="str">
        <f t="shared" si="10"/>
        <v>Revenue derived from oil</v>
      </c>
      <c r="C390" s="492" t="s">
        <v>8404</v>
      </c>
      <c r="D390" t="s">
        <v>3041</v>
      </c>
      <c r="E390" s="492" t="s">
        <v>8853</v>
      </c>
      <c r="F390" s="493" t="s">
        <v>7932</v>
      </c>
      <c r="G390" t="s">
        <v>9440</v>
      </c>
      <c r="H390" s="89" t="s">
        <v>7087</v>
      </c>
      <c r="I390" s="89" t="s">
        <v>6391</v>
      </c>
      <c r="J390" s="89" t="s">
        <v>7437</v>
      </c>
      <c r="K390" s="475" t="s">
        <v>5804</v>
      </c>
    </row>
    <row r="391" spans="1:11" x14ac:dyDescent="0.3">
      <c r="A391" t="s">
        <v>4341</v>
      </c>
      <c r="B391" t="str">
        <f t="shared" si="10"/>
        <v>Revenue derived from gas</v>
      </c>
      <c r="C391" s="492" t="s">
        <v>8405</v>
      </c>
      <c r="D391" t="s">
        <v>3040</v>
      </c>
      <c r="E391" s="492" t="s">
        <v>8854</v>
      </c>
      <c r="F391" s="493" t="s">
        <v>7933</v>
      </c>
      <c r="G391" t="s">
        <v>9441</v>
      </c>
      <c r="H391" s="89" t="s">
        <v>7088</v>
      </c>
      <c r="I391" s="89" t="s">
        <v>6392</v>
      </c>
      <c r="J391" s="89" t="s">
        <v>7438</v>
      </c>
      <c r="K391" s="475" t="s">
        <v>6104</v>
      </c>
    </row>
    <row r="392" spans="1:11" ht="144" x14ac:dyDescent="0.3">
      <c r="A392" t="s">
        <v>4342</v>
      </c>
      <c r="B392" t="str">
        <f t="shared" si="10"/>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s="492" t="s">
        <v>8406</v>
      </c>
      <c r="D392" t="s">
        <v>4633</v>
      </c>
      <c r="E392" s="492" t="s">
        <v>8855</v>
      </c>
      <c r="F392" s="493" t="s">
        <v>7934</v>
      </c>
      <c r="G392" t="s">
        <v>9442</v>
      </c>
      <c r="H392" s="89" t="s">
        <v>7089</v>
      </c>
      <c r="I392" s="89" t="s">
        <v>6393</v>
      </c>
      <c r="J392" s="89" t="s">
        <v>7439</v>
      </c>
      <c r="K392" s="475" t="s">
        <v>6516</v>
      </c>
    </row>
    <row r="393" spans="1:11" s="12" customFormat="1" ht="29.4" thickBot="1" x14ac:dyDescent="0.35">
      <c r="A393" s="12" t="s">
        <v>4343</v>
      </c>
      <c r="B393" s="12" t="str">
        <f t="shared" si="10"/>
        <v>Revenue derived from chemicals production</v>
      </c>
      <c r="C393" s="500" t="s">
        <v>8407</v>
      </c>
      <c r="D393" s="12" t="s">
        <v>3039</v>
      </c>
      <c r="E393" s="500" t="s">
        <v>8856</v>
      </c>
      <c r="F393" s="494" t="s">
        <v>7935</v>
      </c>
      <c r="G393" s="12" t="s">
        <v>9443</v>
      </c>
      <c r="H393" s="443" t="s">
        <v>7090</v>
      </c>
      <c r="I393" s="443" t="s">
        <v>6394</v>
      </c>
      <c r="J393" s="443" t="s">
        <v>7440</v>
      </c>
      <c r="K393" s="498" t="s">
        <v>5805</v>
      </c>
    </row>
    <row r="394" spans="1:11" ht="28.8" x14ac:dyDescent="0.3">
      <c r="A394" t="s">
        <v>4344</v>
      </c>
      <c r="B394" t="str">
        <f t="shared" si="10"/>
        <v>C8 – Exclusion from EU reference benchmarks</v>
      </c>
      <c r="C394" s="492" t="s">
        <v>8408</v>
      </c>
      <c r="D394" t="s">
        <v>4027</v>
      </c>
      <c r="E394" s="492" t="s">
        <v>8857</v>
      </c>
      <c r="F394" s="493" t="s">
        <v>7936</v>
      </c>
      <c r="G394" t="s">
        <v>9444</v>
      </c>
      <c r="H394" s="89" t="s">
        <v>7091</v>
      </c>
      <c r="I394" s="89" t="s">
        <v>6395</v>
      </c>
      <c r="J394" s="89" t="s">
        <v>7441</v>
      </c>
      <c r="K394" s="475" t="s">
        <v>5806</v>
      </c>
    </row>
    <row r="395" spans="1:11" ht="28.8" x14ac:dyDescent="0.3">
      <c r="A395" t="s">
        <v>4345</v>
      </c>
      <c r="B395" t="str">
        <f t="shared" si="10"/>
        <v>Undertakings are excluded from the EU Paris-aligned Benchmarks if they  derive:</v>
      </c>
      <c r="C395" s="492" t="s">
        <v>8409</v>
      </c>
      <c r="D395" t="s">
        <v>2901</v>
      </c>
      <c r="E395" s="492" t="s">
        <v>8858</v>
      </c>
      <c r="F395" s="493" t="s">
        <v>7937</v>
      </c>
      <c r="G395" t="s">
        <v>9445</v>
      </c>
      <c r="H395" s="89" t="s">
        <v>7092</v>
      </c>
      <c r="I395" s="89" t="s">
        <v>6396</v>
      </c>
      <c r="J395" s="89" t="s">
        <v>7442</v>
      </c>
      <c r="K395" s="475" t="s">
        <v>6800</v>
      </c>
    </row>
    <row r="396" spans="1:11" ht="43.2" x14ac:dyDescent="0.3">
      <c r="A396" t="s">
        <v>4346</v>
      </c>
      <c r="B396" t="str">
        <f t="shared" si="10"/>
        <v>1% or more of their revenues from exploration mining extraction distribution or refining of hard coal and lignite</v>
      </c>
      <c r="C396" s="492" t="s">
        <v>8410</v>
      </c>
      <c r="D396" t="s">
        <v>4003</v>
      </c>
      <c r="E396" s="492" t="s">
        <v>8859</v>
      </c>
      <c r="F396" s="493" t="s">
        <v>7938</v>
      </c>
      <c r="G396" t="s">
        <v>9446</v>
      </c>
      <c r="H396" s="89" t="s">
        <v>7093</v>
      </c>
      <c r="I396" s="89" t="s">
        <v>6397</v>
      </c>
      <c r="J396" s="89" t="s">
        <v>7443</v>
      </c>
      <c r="K396" s="475" t="s">
        <v>6497</v>
      </c>
    </row>
    <row r="397" spans="1:11" ht="43.2" x14ac:dyDescent="0.3">
      <c r="A397" t="s">
        <v>4347</v>
      </c>
      <c r="B397" t="str">
        <f t="shared" si="10"/>
        <v>10% or more of their revenues from the exploration extraction distribution or refining of oil fuels</v>
      </c>
      <c r="C397" s="492" t="s">
        <v>8411</v>
      </c>
      <c r="D397" t="s">
        <v>4004</v>
      </c>
      <c r="E397" s="492" t="s">
        <v>8860</v>
      </c>
      <c r="F397" s="493" t="s">
        <v>7939</v>
      </c>
      <c r="G397" t="s">
        <v>9447</v>
      </c>
      <c r="H397" s="89" t="s">
        <v>7094</v>
      </c>
      <c r="I397" s="89" t="s">
        <v>6398</v>
      </c>
      <c r="J397" s="89" t="s">
        <v>7444</v>
      </c>
      <c r="K397" s="475" t="s">
        <v>6733</v>
      </c>
    </row>
    <row r="398" spans="1:11" ht="43.2" x14ac:dyDescent="0.3">
      <c r="A398" t="s">
        <v>4348</v>
      </c>
      <c r="B398" t="str">
        <f t="shared" si="10"/>
        <v>50% or more of their revenues from the exploration extraction manufacturing or distribution of gaseous fuels</v>
      </c>
      <c r="C398" s="492" t="s">
        <v>8412</v>
      </c>
      <c r="D398" t="s">
        <v>4005</v>
      </c>
      <c r="E398" s="492" t="s">
        <v>8861</v>
      </c>
      <c r="F398" s="493" t="s">
        <v>7940</v>
      </c>
      <c r="G398" t="s">
        <v>9448</v>
      </c>
      <c r="H398" s="89" t="s">
        <v>7095</v>
      </c>
      <c r="I398" s="89" t="s">
        <v>6399</v>
      </c>
      <c r="J398" s="89" t="s">
        <v>7445</v>
      </c>
      <c r="K398" s="475" t="s">
        <v>6734</v>
      </c>
    </row>
    <row r="399" spans="1:11" ht="57.6" x14ac:dyDescent="0.3">
      <c r="A399" t="s">
        <v>4349</v>
      </c>
      <c r="B399" t="str">
        <f t="shared" si="10"/>
        <v>50% or more of their revenues from electricity generation with a GHG intensity of more than 100g CO2 e kWh</v>
      </c>
      <c r="C399" s="492" t="s">
        <v>8413</v>
      </c>
      <c r="D399" t="s">
        <v>4059</v>
      </c>
      <c r="E399" s="492" t="s">
        <v>8862</v>
      </c>
      <c r="F399" s="493" t="s">
        <v>7941</v>
      </c>
      <c r="G399" t="s">
        <v>9449</v>
      </c>
      <c r="H399" s="89" t="s">
        <v>7096</v>
      </c>
      <c r="I399" s="89" t="s">
        <v>6400</v>
      </c>
      <c r="J399" s="89" t="s">
        <v>7446</v>
      </c>
      <c r="K399" s="475" t="s">
        <v>6735</v>
      </c>
    </row>
    <row r="400" spans="1:11" x14ac:dyDescent="0.3">
      <c r="A400" t="s">
        <v>4350</v>
      </c>
      <c r="B400" t="str">
        <f t="shared" si="10"/>
        <v>None of the above</v>
      </c>
      <c r="C400" s="492" t="s">
        <v>8414</v>
      </c>
      <c r="D400" t="s">
        <v>2924</v>
      </c>
      <c r="E400" s="492" t="s">
        <v>8863</v>
      </c>
      <c r="F400" s="493" t="s">
        <v>7942</v>
      </c>
      <c r="G400" t="s">
        <v>9450</v>
      </c>
      <c r="H400" s="89" t="s">
        <v>7097</v>
      </c>
      <c r="I400" s="89" t="s">
        <v>6401</v>
      </c>
      <c r="J400" s="89" t="s">
        <v>7447</v>
      </c>
      <c r="K400" s="475" t="s">
        <v>5807</v>
      </c>
    </row>
    <row r="401" spans="1:11" s="12" customFormat="1" ht="29.4" thickBot="1" x14ac:dyDescent="0.35">
      <c r="A401" s="12" t="s">
        <v>4351</v>
      </c>
      <c r="B401" s="12" t="str">
        <f t="shared" si="10"/>
        <v>Undertakings are excluded from any EU reference benchmarks that are aligned with the Paris Agreement</v>
      </c>
      <c r="C401" s="500" t="s">
        <v>8415</v>
      </c>
      <c r="D401" s="12" t="s">
        <v>3988</v>
      </c>
      <c r="E401" s="500" t="s">
        <v>8864</v>
      </c>
      <c r="F401" s="494" t="s">
        <v>7943</v>
      </c>
      <c r="G401" s="12" t="s">
        <v>9451</v>
      </c>
      <c r="H401" s="443" t="s">
        <v>7098</v>
      </c>
      <c r="I401" s="443" t="s">
        <v>6402</v>
      </c>
      <c r="J401" s="443" t="s">
        <v>7448</v>
      </c>
      <c r="K401" s="498" t="s">
        <v>6736</v>
      </c>
    </row>
    <row r="402" spans="1:11" x14ac:dyDescent="0.3">
      <c r="A402" t="s">
        <v>4352</v>
      </c>
      <c r="B402" t="str">
        <f t="shared" si="10"/>
        <v>C9 – Gender diversity ratio in the governance body</v>
      </c>
      <c r="C402" s="492" t="s">
        <v>8416</v>
      </c>
      <c r="D402" t="s">
        <v>39</v>
      </c>
      <c r="E402" s="492" t="s">
        <v>8592</v>
      </c>
      <c r="F402" s="493" t="s">
        <v>7944</v>
      </c>
      <c r="G402" t="s">
        <v>9452</v>
      </c>
      <c r="H402" s="89" t="s">
        <v>6043</v>
      </c>
      <c r="I402" s="89" t="s">
        <v>6403</v>
      </c>
      <c r="J402" s="89" t="s">
        <v>7449</v>
      </c>
      <c r="K402" s="475" t="s">
        <v>6571</v>
      </c>
    </row>
    <row r="403" spans="1:11" ht="43.2" x14ac:dyDescent="0.3">
      <c r="A403" t="s">
        <v>4353</v>
      </c>
      <c r="B403" t="str">
        <f t="shared" si="10"/>
        <v>Does the undertaking have a governance body in place?</v>
      </c>
      <c r="C403" s="492" t="s">
        <v>8417</v>
      </c>
      <c r="D403" t="s">
        <v>3091</v>
      </c>
      <c r="E403" s="492" t="s">
        <v>8865</v>
      </c>
      <c r="F403" s="493" t="s">
        <v>7945</v>
      </c>
      <c r="G403" t="s">
        <v>9453</v>
      </c>
      <c r="H403" s="89" t="s">
        <v>7099</v>
      </c>
      <c r="I403" s="89" t="s">
        <v>6404</v>
      </c>
      <c r="J403" s="89" t="s">
        <v>7450</v>
      </c>
      <c r="K403" s="475" t="s">
        <v>6737</v>
      </c>
    </row>
    <row r="404" spans="1:11" ht="28.8" x14ac:dyDescent="0.3">
      <c r="A404" t="s">
        <v>4354</v>
      </c>
      <c r="B404" t="str">
        <f t="shared" si="10"/>
        <v>Number of female board members at the end of the reporting period</v>
      </c>
      <c r="C404" s="492" t="s">
        <v>8418</v>
      </c>
      <c r="D404" t="s">
        <v>3546</v>
      </c>
      <c r="E404" s="492" t="s">
        <v>8866</v>
      </c>
      <c r="F404" s="493" t="s">
        <v>7946</v>
      </c>
      <c r="G404" t="s">
        <v>9454</v>
      </c>
      <c r="H404" s="89" t="s">
        <v>6044</v>
      </c>
      <c r="I404" s="89" t="s">
        <v>6405</v>
      </c>
      <c r="J404" s="89" t="s">
        <v>7451</v>
      </c>
      <c r="K404" s="475" t="s">
        <v>6738</v>
      </c>
    </row>
    <row r="405" spans="1:11" ht="28.8" x14ac:dyDescent="0.3">
      <c r="A405" t="s">
        <v>4355</v>
      </c>
      <c r="B405" t="str">
        <f t="shared" si="10"/>
        <v>Number of male board members at the end of the reporting period</v>
      </c>
      <c r="C405" s="492" t="s">
        <v>8419</v>
      </c>
      <c r="D405" t="s">
        <v>3547</v>
      </c>
      <c r="E405" s="492" t="s">
        <v>8867</v>
      </c>
      <c r="F405" s="493" t="s">
        <v>7947</v>
      </c>
      <c r="G405" t="s">
        <v>9455</v>
      </c>
      <c r="H405" s="89" t="s">
        <v>6045</v>
      </c>
      <c r="I405" s="89" t="s">
        <v>6406</v>
      </c>
      <c r="J405" s="89" t="s">
        <v>7452</v>
      </c>
      <c r="K405" s="475" t="s">
        <v>6739</v>
      </c>
    </row>
    <row r="406" spans="1:11" s="12" customFormat="1" ht="29.4" thickBot="1" x14ac:dyDescent="0.35">
      <c r="A406" s="12" t="s">
        <v>4356</v>
      </c>
      <c r="B406" s="12" t="str">
        <f t="shared" si="10"/>
        <v>Gender diversity ratio in governance body</v>
      </c>
      <c r="C406" s="500" t="s">
        <v>8420</v>
      </c>
      <c r="D406" s="12" t="s">
        <v>3989</v>
      </c>
      <c r="E406" s="500" t="s">
        <v>8868</v>
      </c>
      <c r="F406" s="494" t="s">
        <v>7948</v>
      </c>
      <c r="G406" s="12" t="s">
        <v>9452</v>
      </c>
      <c r="H406" s="443" t="s">
        <v>6046</v>
      </c>
      <c r="I406" s="443" t="s">
        <v>6407</v>
      </c>
      <c r="J406" s="443" t="s">
        <v>5890</v>
      </c>
      <c r="K406" s="498" t="s">
        <v>5808</v>
      </c>
    </row>
    <row r="407" spans="1:11" s="119" customFormat="1" ht="29.4" thickBot="1" x14ac:dyDescent="0.35">
      <c r="A407" s="119" t="s">
        <v>4357</v>
      </c>
      <c r="B407" s="119" t="str">
        <f t="shared" si="10"/>
        <v>Disclosure of any other governance and or entity specific governance disclosures</v>
      </c>
      <c r="C407" s="505" t="s">
        <v>8421</v>
      </c>
      <c r="D407" s="119" t="s">
        <v>4060</v>
      </c>
      <c r="E407" s="505" t="s">
        <v>8596</v>
      </c>
      <c r="F407" s="495" t="s">
        <v>7949</v>
      </c>
      <c r="G407" s="119" t="s">
        <v>9456</v>
      </c>
      <c r="H407" s="479" t="s">
        <v>7100</v>
      </c>
      <c r="I407" s="479" t="s">
        <v>6408</v>
      </c>
      <c r="J407" s="479" t="s">
        <v>7453</v>
      </c>
      <c r="K407" s="499" t="s">
        <v>6740</v>
      </c>
    </row>
    <row r="408" spans="1:11" x14ac:dyDescent="0.3">
      <c r="A408" t="s">
        <v>4541</v>
      </c>
      <c r="B408" t="str">
        <f t="shared" si="10"/>
        <v>FUEL CONVERTER</v>
      </c>
      <c r="C408" s="492" t="s">
        <v>8422</v>
      </c>
      <c r="D408" t="s">
        <v>2925</v>
      </c>
      <c r="E408" s="492" t="s">
        <v>8869</v>
      </c>
      <c r="F408" s="493" t="s">
        <v>7950</v>
      </c>
      <c r="G408" t="s">
        <v>9457</v>
      </c>
      <c r="H408" s="89" t="s">
        <v>7101</v>
      </c>
      <c r="I408" s="89" t="s">
        <v>5973</v>
      </c>
      <c r="J408" s="89" t="s">
        <v>5891</v>
      </c>
      <c r="K408" s="475" t="s">
        <v>5809</v>
      </c>
    </row>
    <row r="409" spans="1:11" x14ac:dyDescent="0.3">
      <c r="A409" t="s">
        <v>4542</v>
      </c>
      <c r="B409" t="str">
        <f t="shared" si="10"/>
        <v>DISCLAIMER:</v>
      </c>
      <c r="C409" s="492" t="s">
        <v>8423</v>
      </c>
      <c r="D409" t="s">
        <v>4532</v>
      </c>
      <c r="E409" s="492" t="s">
        <v>8870</v>
      </c>
      <c r="F409" s="493" t="s">
        <v>7951</v>
      </c>
      <c r="G409" t="s">
        <v>9458</v>
      </c>
      <c r="H409" s="89" t="s">
        <v>7102</v>
      </c>
      <c r="I409" s="89" t="s">
        <v>6409</v>
      </c>
      <c r="J409" s="89" t="s">
        <v>7454</v>
      </c>
      <c r="K409" s="475" t="s">
        <v>6741</v>
      </c>
    </row>
    <row r="410" spans="1:11" ht="115.2" x14ac:dyDescent="0.3">
      <c r="A410" t="s">
        <v>4543</v>
      </c>
      <c r="B410" t="str">
        <f t="shared" si="10"/>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s="492" t="s">
        <v>8424</v>
      </c>
      <c r="D410" t="s">
        <v>4533</v>
      </c>
      <c r="E410" s="492" t="s">
        <v>8871</v>
      </c>
      <c r="F410" s="493" t="s">
        <v>7952</v>
      </c>
      <c r="G410" t="s">
        <v>9459</v>
      </c>
      <c r="H410" s="89" t="s">
        <v>7103</v>
      </c>
      <c r="I410" s="89" t="s">
        <v>6410</v>
      </c>
      <c r="J410" s="89" t="s">
        <v>7455</v>
      </c>
      <c r="K410" s="475" t="s">
        <v>6517</v>
      </c>
    </row>
    <row r="411" spans="1:11" ht="129.6" x14ac:dyDescent="0.3">
      <c r="A411" t="s">
        <v>4544</v>
      </c>
      <c r="B411" t="str">
        <f t="shared" si="10"/>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s="492" t="s">
        <v>8425</v>
      </c>
      <c r="D411" t="s">
        <v>4534</v>
      </c>
      <c r="E411" s="492" t="s">
        <v>8872</v>
      </c>
      <c r="F411" s="493" t="s">
        <v>7953</v>
      </c>
      <c r="G411" t="s">
        <v>9460</v>
      </c>
      <c r="H411" s="89" t="s">
        <v>7104</v>
      </c>
      <c r="I411" s="89" t="s">
        <v>6411</v>
      </c>
      <c r="J411" s="89" t="s">
        <v>7456</v>
      </c>
      <c r="K411" s="475" t="s">
        <v>6742</v>
      </c>
    </row>
    <row r="412" spans="1:11" ht="129.6" x14ac:dyDescent="0.3">
      <c r="A412" t="s">
        <v>4573</v>
      </c>
      <c r="B412" t="str">
        <f t="shared" si="10"/>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s="492" t="s">
        <v>8426</v>
      </c>
      <c r="D412" t="s">
        <v>4535</v>
      </c>
      <c r="E412" s="492" t="s">
        <v>8873</v>
      </c>
      <c r="F412" s="493" t="s">
        <v>7954</v>
      </c>
      <c r="G412" t="s">
        <v>9461</v>
      </c>
      <c r="H412" s="89" t="s">
        <v>7105</v>
      </c>
      <c r="I412" s="89" t="s">
        <v>6412</v>
      </c>
      <c r="J412" s="89" t="s">
        <v>7457</v>
      </c>
      <c r="K412" s="475" t="s">
        <v>6518</v>
      </c>
    </row>
    <row r="413" spans="1:11" ht="57.6" x14ac:dyDescent="0.3">
      <c r="A413" t="s">
        <v>4545</v>
      </c>
      <c r="B413" t="str">
        <f t="shared" si="10"/>
        <v>Indicates that the cell should be filled either by selecting a value from the dropdown (e.g. Type of fuel or Unit of Measurement) or by entering an amount.</v>
      </c>
      <c r="C413" s="492" t="s">
        <v>8427</v>
      </c>
      <c r="D413" t="s">
        <v>3775</v>
      </c>
      <c r="E413" s="492" t="s">
        <v>8874</v>
      </c>
      <c r="F413" s="493" t="s">
        <v>7955</v>
      </c>
      <c r="G413" t="s">
        <v>9462</v>
      </c>
      <c r="H413" s="89" t="s">
        <v>7106</v>
      </c>
      <c r="I413" s="89" t="s">
        <v>6413</v>
      </c>
      <c r="J413" s="89" t="s">
        <v>7458</v>
      </c>
      <c r="K413" s="475" t="s">
        <v>6743</v>
      </c>
    </row>
    <row r="414" spans="1:11" x14ac:dyDescent="0.3">
      <c r="A414" t="s">
        <v>4546</v>
      </c>
      <c r="B414" t="str">
        <f t="shared" si="10"/>
        <v>Fuel type</v>
      </c>
      <c r="C414" s="492" t="s">
        <v>8428</v>
      </c>
      <c r="D414" t="s">
        <v>4064</v>
      </c>
      <c r="E414" s="492" t="s">
        <v>8875</v>
      </c>
      <c r="F414" s="493" t="s">
        <v>7956</v>
      </c>
      <c r="G414" t="s">
        <v>9463</v>
      </c>
      <c r="H414" s="89" t="s">
        <v>7107</v>
      </c>
      <c r="I414" s="89" t="s">
        <v>5974</v>
      </c>
      <c r="J414" s="89" t="s">
        <v>6100</v>
      </c>
      <c r="K414" s="475" t="s">
        <v>5810</v>
      </c>
    </row>
    <row r="415" spans="1:11" x14ac:dyDescent="0.3">
      <c r="A415" t="s">
        <v>4547</v>
      </c>
      <c r="B415" t="str">
        <f t="shared" si="10"/>
        <v>Amount</v>
      </c>
      <c r="C415" s="492" t="s">
        <v>8429</v>
      </c>
      <c r="D415" t="s">
        <v>3024</v>
      </c>
      <c r="E415" s="492" t="s">
        <v>8876</v>
      </c>
      <c r="F415" s="493" t="s">
        <v>7957</v>
      </c>
      <c r="G415" t="s">
        <v>9464</v>
      </c>
      <c r="H415" s="89" t="s">
        <v>7108</v>
      </c>
      <c r="I415" s="89" t="s">
        <v>6414</v>
      </c>
      <c r="J415" s="89" t="s">
        <v>5892</v>
      </c>
      <c r="K415" s="475" t="s">
        <v>6744</v>
      </c>
    </row>
    <row r="416" spans="1:11" x14ac:dyDescent="0.3">
      <c r="A416" t="s">
        <v>4548</v>
      </c>
      <c r="B416" t="str">
        <f t="shared" si="10"/>
        <v>State of matter</v>
      </c>
      <c r="C416" s="492" t="s">
        <v>8430</v>
      </c>
      <c r="D416" t="s">
        <v>3019</v>
      </c>
      <c r="E416" s="492" t="s">
        <v>8877</v>
      </c>
      <c r="F416" s="493" t="s">
        <v>7958</v>
      </c>
      <c r="G416" t="s">
        <v>9465</v>
      </c>
      <c r="H416" s="89" t="s">
        <v>7109</v>
      </c>
      <c r="I416" s="89" t="s">
        <v>5975</v>
      </c>
      <c r="J416" s="89" t="s">
        <v>5893</v>
      </c>
      <c r="K416" s="475" t="s">
        <v>6745</v>
      </c>
    </row>
    <row r="417" spans="1:11" x14ac:dyDescent="0.3">
      <c r="A417" t="s">
        <v>4549</v>
      </c>
      <c r="B417" t="str">
        <f t="shared" si="10"/>
        <v>Typical renewable state</v>
      </c>
      <c r="C417" s="492" t="s">
        <v>8431</v>
      </c>
      <c r="D417" t="s">
        <v>4065</v>
      </c>
      <c r="E417" s="492" t="s">
        <v>8878</v>
      </c>
      <c r="F417" s="493" t="s">
        <v>7959</v>
      </c>
      <c r="G417" t="s">
        <v>9466</v>
      </c>
      <c r="H417" s="89" t="s">
        <v>7110</v>
      </c>
      <c r="I417" s="89" t="s">
        <v>5976</v>
      </c>
      <c r="J417" s="89" t="s">
        <v>5894</v>
      </c>
      <c r="K417" s="475" t="s">
        <v>5811</v>
      </c>
    </row>
    <row r="418" spans="1:11" x14ac:dyDescent="0.3">
      <c r="A418" t="s">
        <v>4550</v>
      </c>
      <c r="B418" t="str">
        <f t="shared" si="10"/>
        <v>Calculated Energy in MWh</v>
      </c>
      <c r="C418" s="492" t="s">
        <v>8432</v>
      </c>
      <c r="D418" t="s">
        <v>4066</v>
      </c>
      <c r="E418" s="492" t="s">
        <v>8879</v>
      </c>
      <c r="F418" s="493" t="s">
        <v>7960</v>
      </c>
      <c r="G418" t="s">
        <v>9467</v>
      </c>
      <c r="H418" s="89" t="s">
        <v>7111</v>
      </c>
      <c r="I418" s="89" t="s">
        <v>6082</v>
      </c>
      <c r="J418" s="89" t="s">
        <v>7459</v>
      </c>
      <c r="K418" s="475" t="s">
        <v>5812</v>
      </c>
    </row>
    <row r="419" spans="1:11" x14ac:dyDescent="0.3">
      <c r="A419" t="s">
        <v>4551</v>
      </c>
      <c r="B419" t="str">
        <f t="shared" si="10"/>
        <v>Usage of Fuel Converter:</v>
      </c>
      <c r="C419" s="492" t="s">
        <v>8433</v>
      </c>
      <c r="D419" t="s">
        <v>3673</v>
      </c>
      <c r="E419" s="492" t="s">
        <v>8880</v>
      </c>
      <c r="F419" s="493" t="s">
        <v>7961</v>
      </c>
      <c r="G419" t="s">
        <v>9468</v>
      </c>
      <c r="H419" s="89" t="s">
        <v>7112</v>
      </c>
      <c r="I419" s="89" t="s">
        <v>6415</v>
      </c>
      <c r="J419" s="89" t="s">
        <v>7460</v>
      </c>
      <c r="K419" s="475" t="s">
        <v>6746</v>
      </c>
    </row>
    <row r="420" spans="1:11" ht="43.2" x14ac:dyDescent="0.3">
      <c r="A420" t="s">
        <v>4574</v>
      </c>
      <c r="B420" t="str">
        <f t="shared" si="10"/>
        <v>1. In cell A9 select the Fuel used, searching for it or scrolling down the list displayed clicking the cell</v>
      </c>
      <c r="C420" s="492" t="s">
        <v>8434</v>
      </c>
      <c r="D420" t="s">
        <v>4067</v>
      </c>
      <c r="E420" s="492" t="s">
        <v>8881</v>
      </c>
      <c r="F420" s="493" t="s">
        <v>7962</v>
      </c>
      <c r="G420" t="s">
        <v>9469</v>
      </c>
      <c r="H420" s="89" t="s">
        <v>7113</v>
      </c>
      <c r="I420" s="89" t="s">
        <v>6416</v>
      </c>
      <c r="J420" s="89" t="s">
        <v>7509</v>
      </c>
      <c r="K420" s="475" t="s">
        <v>6747</v>
      </c>
    </row>
    <row r="421" spans="1:11" x14ac:dyDescent="0.3">
      <c r="A421" t="s">
        <v>4552</v>
      </c>
      <c r="B421" t="str">
        <f t="shared" si="10"/>
        <v>2. In cell B9 select the Unit of measurement used</v>
      </c>
      <c r="C421" s="492" t="s">
        <v>8435</v>
      </c>
      <c r="D421" t="s">
        <v>4068</v>
      </c>
      <c r="E421" s="492" t="s">
        <v>8882</v>
      </c>
      <c r="F421" s="493" t="s">
        <v>7963</v>
      </c>
      <c r="G421" t="s">
        <v>9470</v>
      </c>
      <c r="H421" s="89" t="s">
        <v>6047</v>
      </c>
      <c r="I421" s="89" t="s">
        <v>6417</v>
      </c>
      <c r="J421" s="89" t="s">
        <v>7508</v>
      </c>
      <c r="K421" s="475" t="s">
        <v>6791</v>
      </c>
    </row>
    <row r="422" spans="1:11" ht="28.8" x14ac:dyDescent="0.3">
      <c r="A422" t="s">
        <v>4553</v>
      </c>
      <c r="B422" t="str">
        <f t="shared" si="10"/>
        <v>3. In cell C9 select the Amount of fuel used</v>
      </c>
      <c r="C422" s="492" t="s">
        <v>8436</v>
      </c>
      <c r="D422" t="s">
        <v>4069</v>
      </c>
      <c r="E422" s="492" t="s">
        <v>8883</v>
      </c>
      <c r="F422" s="493" t="s">
        <v>7964</v>
      </c>
      <c r="G422" t="s">
        <v>9471</v>
      </c>
      <c r="H422" s="89" t="s">
        <v>7114</v>
      </c>
      <c r="I422" s="89" t="s">
        <v>5977</v>
      </c>
      <c r="J422" s="89" t="s">
        <v>7461</v>
      </c>
      <c r="K422" s="475" t="s">
        <v>6792</v>
      </c>
    </row>
    <row r="423" spans="1:11" ht="28.8" x14ac:dyDescent="0.3">
      <c r="A423" t="s">
        <v>4554</v>
      </c>
      <c r="B423" t="str">
        <f t="shared" si="10"/>
        <v>4. In cell D9 it is displayed the State of matter for the Fuel selected</v>
      </c>
      <c r="C423" s="492" t="s">
        <v>8437</v>
      </c>
      <c r="D423" t="s">
        <v>4071</v>
      </c>
      <c r="E423" s="492" t="s">
        <v>8884</v>
      </c>
      <c r="F423" s="493" t="s">
        <v>7965</v>
      </c>
      <c r="G423" t="s">
        <v>9472</v>
      </c>
      <c r="H423" s="89" t="s">
        <v>7115</v>
      </c>
      <c r="I423" s="89" t="s">
        <v>5978</v>
      </c>
      <c r="J423" s="89" t="s">
        <v>7462</v>
      </c>
      <c r="K423" s="475" t="s">
        <v>6793</v>
      </c>
    </row>
    <row r="424" spans="1:11" ht="28.8" x14ac:dyDescent="0.3">
      <c r="A424" t="s">
        <v>4555</v>
      </c>
      <c r="B424" t="str">
        <f t="shared" si="10"/>
        <v>5. In cell E9 it is displayed the Typical renewability state for the Fuel selected</v>
      </c>
      <c r="C424" s="492" t="s">
        <v>8438</v>
      </c>
      <c r="D424" t="s">
        <v>4070</v>
      </c>
      <c r="E424" s="492" t="s">
        <v>8885</v>
      </c>
      <c r="F424" s="493" t="s">
        <v>7966</v>
      </c>
      <c r="G424" t="s">
        <v>9473</v>
      </c>
      <c r="H424" s="89" t="s">
        <v>7116</v>
      </c>
      <c r="I424" s="89" t="s">
        <v>6418</v>
      </c>
      <c r="J424" s="89" t="s">
        <v>7510</v>
      </c>
      <c r="K424" s="475" t="s">
        <v>6794</v>
      </c>
    </row>
    <row r="425" spans="1:11" ht="28.8" x14ac:dyDescent="0.3">
      <c r="A425" t="s">
        <v>4556</v>
      </c>
      <c r="B425" t="str">
        <f t="shared" si="10"/>
        <v>6. In cell F9 is displayed the Energy produced in Mega Watt hours by the Amount of Fuel specified</v>
      </c>
      <c r="C425" s="492" t="s">
        <v>8439</v>
      </c>
      <c r="D425" t="s">
        <v>4072</v>
      </c>
      <c r="E425" s="492" t="s">
        <v>8886</v>
      </c>
      <c r="F425" s="493" t="s">
        <v>7967</v>
      </c>
      <c r="G425" t="s">
        <v>9474</v>
      </c>
      <c r="H425" s="89" t="s">
        <v>7117</v>
      </c>
      <c r="I425" s="89" t="s">
        <v>6419</v>
      </c>
      <c r="J425" s="89" t="s">
        <v>7511</v>
      </c>
      <c r="K425" s="475" t="s">
        <v>6795</v>
      </c>
    </row>
    <row r="426" spans="1:11" ht="28.8" x14ac:dyDescent="0.3">
      <c r="A426" t="s">
        <v>4557</v>
      </c>
      <c r="B426" t="str">
        <f t="shared" si="10"/>
        <v>7. In cell A28 is displayed the Total Energy in Mega Watt hours</v>
      </c>
      <c r="C426" s="492" t="s">
        <v>8440</v>
      </c>
      <c r="D426" t="s">
        <v>4536</v>
      </c>
      <c r="E426" s="492" t="s">
        <v>8887</v>
      </c>
      <c r="F426" s="493" t="s">
        <v>7968</v>
      </c>
      <c r="G426" t="s">
        <v>9475</v>
      </c>
      <c r="H426" s="89" t="s">
        <v>7118</v>
      </c>
      <c r="I426" s="89" t="s">
        <v>6083</v>
      </c>
      <c r="J426" s="89" t="s">
        <v>7512</v>
      </c>
      <c r="K426" s="475" t="s">
        <v>6796</v>
      </c>
    </row>
    <row r="427" spans="1:11" ht="28.8" x14ac:dyDescent="0.3">
      <c r="A427" t="s">
        <v>4558</v>
      </c>
      <c r="B427" t="str">
        <f t="shared" si="10"/>
        <v>8. In cell A31 is displayed the Total Renewable Energy in Mega Watt hours</v>
      </c>
      <c r="C427" s="492" t="s">
        <v>8441</v>
      </c>
      <c r="D427" t="s">
        <v>4537</v>
      </c>
      <c r="E427" s="492" t="s">
        <v>8888</v>
      </c>
      <c r="F427" s="493" t="s">
        <v>7969</v>
      </c>
      <c r="G427" t="s">
        <v>9476</v>
      </c>
      <c r="H427" s="89" t="s">
        <v>7119</v>
      </c>
      <c r="I427" s="89" t="s">
        <v>6084</v>
      </c>
      <c r="J427" s="89" t="s">
        <v>7513</v>
      </c>
      <c r="K427" s="475" t="s">
        <v>6797</v>
      </c>
    </row>
    <row r="428" spans="1:11" ht="28.8" x14ac:dyDescent="0.3">
      <c r="A428" t="s">
        <v>4575</v>
      </c>
      <c r="B428" t="str">
        <f t="shared" si="10"/>
        <v>9. In cell B31 is displayed the Total Non-renewable Energy in Mega Watt hours</v>
      </c>
      <c r="C428" s="492" t="s">
        <v>8442</v>
      </c>
      <c r="D428" t="s">
        <v>4538</v>
      </c>
      <c r="E428" s="492" t="s">
        <v>8889</v>
      </c>
      <c r="F428" s="493" t="s">
        <v>7970</v>
      </c>
      <c r="G428" t="s">
        <v>9477</v>
      </c>
      <c r="H428" s="89" t="s">
        <v>7120</v>
      </c>
      <c r="I428" s="89" t="s">
        <v>5979</v>
      </c>
      <c r="J428" s="89" t="s">
        <v>7514</v>
      </c>
      <c r="K428" s="475" t="s">
        <v>6798</v>
      </c>
    </row>
    <row r="429" spans="1:11" x14ac:dyDescent="0.3">
      <c r="A429" t="s">
        <v>4559</v>
      </c>
      <c r="B429" t="str">
        <f t="shared" si="10"/>
        <v>10. Further notes can be found below</v>
      </c>
      <c r="C429" s="492" t="s">
        <v>8443</v>
      </c>
      <c r="D429" t="s">
        <v>4539</v>
      </c>
      <c r="E429" s="492" t="s">
        <v>8890</v>
      </c>
      <c r="F429" s="493" t="s">
        <v>7971</v>
      </c>
      <c r="G429" t="s">
        <v>9478</v>
      </c>
      <c r="H429" s="89" t="s">
        <v>7121</v>
      </c>
      <c r="I429" s="89" t="s">
        <v>5980</v>
      </c>
      <c r="J429" s="89" t="s">
        <v>7463</v>
      </c>
      <c r="K429" s="475" t="s">
        <v>6799</v>
      </c>
    </row>
    <row r="430" spans="1:11" ht="28.8" x14ac:dyDescent="0.3">
      <c r="A430" t="s">
        <v>4560</v>
      </c>
      <c r="B430" t="str">
        <f t="shared" si="10"/>
        <v>Transfer the total calculated results to the B3 "Fuel Energy Consumption" reporting cell</v>
      </c>
      <c r="C430" s="492" t="s">
        <v>8444</v>
      </c>
      <c r="D430" t="s">
        <v>4636</v>
      </c>
      <c r="E430" s="492" t="s">
        <v>8891</v>
      </c>
      <c r="F430" s="493" t="s">
        <v>7972</v>
      </c>
      <c r="G430" t="s">
        <v>9479</v>
      </c>
      <c r="H430" s="89" t="s">
        <v>7122</v>
      </c>
      <c r="I430" s="89" t="s">
        <v>6420</v>
      </c>
      <c r="J430" s="89" t="s">
        <v>7464</v>
      </c>
      <c r="K430" s="475" t="s">
        <v>6748</v>
      </c>
    </row>
    <row r="431" spans="1:11" x14ac:dyDescent="0.3">
      <c r="A431" t="s">
        <v>4561</v>
      </c>
      <c r="B431" t="str">
        <f t="shared" si="10"/>
        <v>Total Energy [MWh]</v>
      </c>
      <c r="C431" s="492" t="s">
        <v>8445</v>
      </c>
      <c r="D431" t="s">
        <v>3561</v>
      </c>
      <c r="E431" s="492" t="s">
        <v>8892</v>
      </c>
      <c r="F431" s="493" t="s">
        <v>7973</v>
      </c>
      <c r="G431" t="s">
        <v>9480</v>
      </c>
      <c r="H431" s="89" t="s">
        <v>6067</v>
      </c>
      <c r="I431" s="89" t="s">
        <v>6421</v>
      </c>
      <c r="J431" s="89" t="s">
        <v>5895</v>
      </c>
      <c r="K431" s="475" t="s">
        <v>6749</v>
      </c>
    </row>
    <row r="432" spans="1:11" ht="57.6" x14ac:dyDescent="0.3">
      <c r="A432" t="s">
        <v>4562</v>
      </c>
      <c r="B432" t="str">
        <f t="shared" si="10"/>
        <v>Total Renewable Energy [MWh]</v>
      </c>
      <c r="C432" s="492" t="s">
        <v>8446</v>
      </c>
      <c r="D432" t="s">
        <v>3543</v>
      </c>
      <c r="E432" s="492" t="s">
        <v>8893</v>
      </c>
      <c r="F432" s="493" t="s">
        <v>7974</v>
      </c>
      <c r="G432" t="s">
        <v>9481</v>
      </c>
      <c r="H432" s="89" t="s">
        <v>7123</v>
      </c>
      <c r="I432" s="89" t="s">
        <v>6422</v>
      </c>
      <c r="J432" s="89" t="s">
        <v>7465</v>
      </c>
      <c r="K432" s="475" t="s">
        <v>6750</v>
      </c>
    </row>
    <row r="433" spans="1:11" x14ac:dyDescent="0.3">
      <c r="A433" t="s">
        <v>4576</v>
      </c>
      <c r="B433" t="str">
        <f t="shared" si="10"/>
        <v>Total Non-renewable Energy [MWh]</v>
      </c>
      <c r="C433" s="492" t="s">
        <v>8447</v>
      </c>
      <c r="D433" t="s">
        <v>3544</v>
      </c>
      <c r="E433" s="492" t="s">
        <v>8894</v>
      </c>
      <c r="F433" s="493" t="s">
        <v>7975</v>
      </c>
      <c r="G433" t="s">
        <v>9482</v>
      </c>
      <c r="H433" s="89" t="s">
        <v>7124</v>
      </c>
      <c r="I433" s="89" t="s">
        <v>6423</v>
      </c>
      <c r="J433" s="89" t="s">
        <v>7466</v>
      </c>
      <c r="K433" s="475" t="s">
        <v>6751</v>
      </c>
    </row>
    <row r="434" spans="1:11" x14ac:dyDescent="0.3">
      <c r="A434" t="s">
        <v>4563</v>
      </c>
      <c r="B434" t="str">
        <f t="shared" si="10"/>
        <v>Further notes:</v>
      </c>
      <c r="C434" s="492" t="s">
        <v>8448</v>
      </c>
      <c r="D434" t="s">
        <v>3672</v>
      </c>
      <c r="E434" s="492" t="s">
        <v>8895</v>
      </c>
      <c r="F434" s="493" t="s">
        <v>7976</v>
      </c>
      <c r="G434" t="s">
        <v>9483</v>
      </c>
      <c r="H434" s="89" t="s">
        <v>7125</v>
      </c>
      <c r="I434" s="89" t="s">
        <v>5981</v>
      </c>
      <c r="J434" s="89" t="s">
        <v>7467</v>
      </c>
      <c r="K434" s="475" t="s">
        <v>5813</v>
      </c>
    </row>
    <row r="435" spans="1:11" s="12" customFormat="1" ht="15" customHeight="1" thickBot="1" x14ac:dyDescent="0.35">
      <c r="A435" s="12" t="s">
        <v>4564</v>
      </c>
      <c r="B435" s="12" t="str">
        <f t="shared" si="10"/>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500" t="s">
        <v>8449</v>
      </c>
      <c r="D435" s="477" t="s">
        <v>3671</v>
      </c>
      <c r="E435" s="500" t="s">
        <v>8896</v>
      </c>
      <c r="F435" s="494" t="s">
        <v>7977</v>
      </c>
      <c r="G435" s="12" t="s">
        <v>9484</v>
      </c>
      <c r="H435" s="443" t="s">
        <v>7126</v>
      </c>
      <c r="I435" s="443" t="s">
        <v>6424</v>
      </c>
      <c r="J435" s="443" t="s">
        <v>7468</v>
      </c>
      <c r="K435" s="498" t="s">
        <v>6519</v>
      </c>
    </row>
    <row r="436" spans="1:11" ht="28.8" x14ac:dyDescent="0.3">
      <c r="A436" t="s">
        <v>4565</v>
      </c>
      <c r="B436" t="str">
        <f t="shared" si="10"/>
        <v>Energy Consumption per Hour in MWh for Solid Fuels:</v>
      </c>
      <c r="C436" s="492" t="s">
        <v>8450</v>
      </c>
      <c r="D436" t="s">
        <v>4510</v>
      </c>
      <c r="E436" s="492" t="s">
        <v>8897</v>
      </c>
      <c r="F436" s="493" t="s">
        <v>7978</v>
      </c>
      <c r="G436" t="s">
        <v>9485</v>
      </c>
      <c r="H436" s="89" t="s">
        <v>7127</v>
      </c>
      <c r="I436" s="89" t="s">
        <v>6085</v>
      </c>
      <c r="J436" s="89" t="s">
        <v>7469</v>
      </c>
      <c r="K436" s="475" t="s">
        <v>6105</v>
      </c>
    </row>
    <row r="437" spans="1:11" ht="43.2" x14ac:dyDescent="0.3">
      <c r="A437" t="s">
        <v>4566</v>
      </c>
      <c r="B437" t="str">
        <f t="shared" si="10"/>
        <v>Energy [MWh] = Mass [t] * NCV [MWh/t]</v>
      </c>
      <c r="C437" s="492" t="s">
        <v>8451</v>
      </c>
      <c r="D437" t="s">
        <v>4512</v>
      </c>
      <c r="E437" s="492" t="s">
        <v>8898</v>
      </c>
      <c r="F437" s="493" t="s">
        <v>7979</v>
      </c>
      <c r="G437" t="s">
        <v>9486</v>
      </c>
      <c r="H437" s="89" t="s">
        <v>7128</v>
      </c>
      <c r="I437" s="89" t="s">
        <v>6425</v>
      </c>
      <c r="J437" s="89" t="s">
        <v>7470</v>
      </c>
      <c r="K437" s="475" t="s">
        <v>6752</v>
      </c>
    </row>
    <row r="438" spans="1:11" ht="28.8" x14ac:dyDescent="0.3">
      <c r="A438" t="s">
        <v>4567</v>
      </c>
      <c r="B438" t="str">
        <f t="shared" si="10"/>
        <v>Energy Consumption per Hour in MWh for Liquid Fuels:</v>
      </c>
      <c r="C438" s="492" t="s">
        <v>8452</v>
      </c>
      <c r="D438" t="s">
        <v>4511</v>
      </c>
      <c r="E438" s="492" t="s">
        <v>8899</v>
      </c>
      <c r="F438" s="493" t="s">
        <v>7980</v>
      </c>
      <c r="G438" t="s">
        <v>9487</v>
      </c>
      <c r="H438" s="89" t="s">
        <v>7129</v>
      </c>
      <c r="I438" s="89" t="s">
        <v>6426</v>
      </c>
      <c r="J438" s="89" t="s">
        <v>7471</v>
      </c>
      <c r="K438" s="475" t="s">
        <v>5814</v>
      </c>
    </row>
    <row r="439" spans="1:11" x14ac:dyDescent="0.3">
      <c r="A439" t="s">
        <v>4568</v>
      </c>
      <c r="B439" t="str">
        <f t="shared" si="10"/>
        <v>Mass [t] = Volume [L] * Density [t/L]</v>
      </c>
      <c r="C439" s="492" t="s">
        <v>8453</v>
      </c>
      <c r="D439" t="s">
        <v>4513</v>
      </c>
      <c r="E439" s="492" t="s">
        <v>8900</v>
      </c>
      <c r="F439" s="493" t="s">
        <v>7981</v>
      </c>
      <c r="G439" t="s">
        <v>9488</v>
      </c>
      <c r="H439" s="89" t="s">
        <v>6048</v>
      </c>
      <c r="I439" s="89" t="s">
        <v>5982</v>
      </c>
      <c r="J439" s="89" t="s">
        <v>5896</v>
      </c>
      <c r="K439" s="475" t="s">
        <v>5815</v>
      </c>
    </row>
    <row r="440" spans="1:11" x14ac:dyDescent="0.3">
      <c r="A440" t="s">
        <v>4569</v>
      </c>
      <c r="B440" t="str">
        <f t="shared" si="10"/>
        <v>Energy [MWh] = Mass [t] * [MWh/t]</v>
      </c>
      <c r="C440" s="492" t="s">
        <v>8454</v>
      </c>
      <c r="D440" t="s">
        <v>4514</v>
      </c>
      <c r="E440" s="492" t="s">
        <v>8901</v>
      </c>
      <c r="F440" s="493" t="s">
        <v>7982</v>
      </c>
      <c r="G440" t="s">
        <v>5695</v>
      </c>
      <c r="H440" s="89" t="s">
        <v>7130</v>
      </c>
      <c r="I440" s="89" t="s">
        <v>5983</v>
      </c>
      <c r="J440" s="89" t="s">
        <v>5695</v>
      </c>
      <c r="K440" s="475" t="s">
        <v>5816</v>
      </c>
    </row>
    <row r="441" spans="1:11" ht="28.8" x14ac:dyDescent="0.3">
      <c r="A441" t="s">
        <v>4570</v>
      </c>
      <c r="B441" t="str">
        <f t="shared" si="10"/>
        <v>Energy Consumption per Hour in MWh for Gaseous Fuels:</v>
      </c>
      <c r="C441" s="492" t="s">
        <v>8455</v>
      </c>
      <c r="D441" t="s">
        <v>4515</v>
      </c>
      <c r="E441" s="492" t="s">
        <v>8902</v>
      </c>
      <c r="F441" s="493" t="s">
        <v>7983</v>
      </c>
      <c r="G441" t="s">
        <v>9489</v>
      </c>
      <c r="H441" s="89" t="s">
        <v>7131</v>
      </c>
      <c r="I441" s="89" t="s">
        <v>5984</v>
      </c>
      <c r="J441" s="89" t="s">
        <v>7472</v>
      </c>
      <c r="K441" s="475" t="s">
        <v>5817</v>
      </c>
    </row>
    <row r="442" spans="1:11" x14ac:dyDescent="0.3">
      <c r="A442" t="s">
        <v>4571</v>
      </c>
      <c r="B442" t="str">
        <f t="shared" si="10"/>
        <v>Mass [t] = Volume [m³] * Density [t/m³]</v>
      </c>
      <c r="C442" s="492" t="s">
        <v>8456</v>
      </c>
      <c r="D442" t="s">
        <v>4540</v>
      </c>
      <c r="E442" s="492" t="s">
        <v>8903</v>
      </c>
      <c r="F442" s="493" t="s">
        <v>7984</v>
      </c>
      <c r="G442" t="s">
        <v>9490</v>
      </c>
      <c r="H442" s="89" t="s">
        <v>6068</v>
      </c>
      <c r="I442" s="89" t="s">
        <v>6086</v>
      </c>
      <c r="J442" s="89" t="s">
        <v>6101</v>
      </c>
      <c r="K442" s="475" t="s">
        <v>6106</v>
      </c>
    </row>
    <row r="443" spans="1:11" s="12" customFormat="1" ht="15" thickBot="1" x14ac:dyDescent="0.35">
      <c r="A443" s="12" t="s">
        <v>4572</v>
      </c>
      <c r="B443" s="12" t="str">
        <f t="shared" si="10"/>
        <v>Energy [MWh] = Mass [t] * NCV [MWh/t]</v>
      </c>
      <c r="C443" s="500" t="s">
        <v>8451</v>
      </c>
      <c r="D443" s="12" t="s">
        <v>4512</v>
      </c>
      <c r="E443" s="500" t="s">
        <v>8904</v>
      </c>
      <c r="F443" s="494" t="s">
        <v>7979</v>
      </c>
      <c r="G443" s="12" t="s">
        <v>9486</v>
      </c>
      <c r="H443" s="443" t="s">
        <v>7128</v>
      </c>
      <c r="I443" s="443" t="s">
        <v>6425</v>
      </c>
      <c r="J443" s="443" t="s">
        <v>7470</v>
      </c>
      <c r="K443" s="498" t="s">
        <v>6753</v>
      </c>
    </row>
    <row r="444" spans="1:11" x14ac:dyDescent="0.3">
      <c r="A444" t="s">
        <v>4583</v>
      </c>
      <c r="B444" t="str">
        <f t="shared" si="10"/>
        <v>UNIT OF MEASUREMENT CONVERTER</v>
      </c>
      <c r="C444" s="492" t="s">
        <v>8457</v>
      </c>
      <c r="D444" t="s">
        <v>2928</v>
      </c>
      <c r="E444" s="492" t="s">
        <v>8905</v>
      </c>
      <c r="F444" s="493" t="s">
        <v>7985</v>
      </c>
      <c r="G444" t="s">
        <v>9491</v>
      </c>
      <c r="H444" s="89" t="s">
        <v>7132</v>
      </c>
      <c r="I444" s="89" t="s">
        <v>6427</v>
      </c>
      <c r="J444" s="89" t="s">
        <v>7473</v>
      </c>
      <c r="K444" s="475" t="s">
        <v>5818</v>
      </c>
    </row>
    <row r="445" spans="1:11" x14ac:dyDescent="0.3">
      <c r="A445" t="s">
        <v>4589</v>
      </c>
      <c r="B445" t="str">
        <f t="shared" si="10"/>
        <v xml:space="preserve">From </v>
      </c>
      <c r="C445" s="492" t="s">
        <v>8458</v>
      </c>
      <c r="D445" t="s">
        <v>4577</v>
      </c>
      <c r="E445" s="492" t="s">
        <v>5696</v>
      </c>
      <c r="F445" s="493" t="s">
        <v>7986</v>
      </c>
      <c r="G445" t="s">
        <v>9492</v>
      </c>
      <c r="H445" s="89" t="s">
        <v>7133</v>
      </c>
      <c r="I445" s="89" t="s">
        <v>5692</v>
      </c>
      <c r="J445" s="89" t="s">
        <v>5696</v>
      </c>
      <c r="K445" s="475" t="s">
        <v>6754</v>
      </c>
    </row>
    <row r="446" spans="1:11" x14ac:dyDescent="0.3">
      <c r="A446" t="s">
        <v>4584</v>
      </c>
      <c r="B446" t="str">
        <f t="shared" si="10"/>
        <v>Unit of measurement of Mass Converter</v>
      </c>
      <c r="C446" s="492" t="s">
        <v>8459</v>
      </c>
      <c r="D446" t="s">
        <v>2929</v>
      </c>
      <c r="E446" s="492" t="s">
        <v>8906</v>
      </c>
      <c r="F446" s="493" t="s">
        <v>7987</v>
      </c>
      <c r="G446" t="s">
        <v>9493</v>
      </c>
      <c r="H446" s="89" t="s">
        <v>7134</v>
      </c>
      <c r="I446" s="89" t="s">
        <v>6428</v>
      </c>
      <c r="J446" s="89" t="s">
        <v>7474</v>
      </c>
      <c r="K446" s="475" t="s">
        <v>6755</v>
      </c>
    </row>
    <row r="447" spans="1:11" x14ac:dyDescent="0.3">
      <c r="A447" t="s">
        <v>4585</v>
      </c>
      <c r="B447" t="str">
        <f t="shared" si="10"/>
        <v>Unit of measurement of Volume Converter</v>
      </c>
      <c r="C447" s="492" t="s">
        <v>8460</v>
      </c>
      <c r="D447" t="s">
        <v>2931</v>
      </c>
      <c r="E447" s="492" t="s">
        <v>8907</v>
      </c>
      <c r="F447" s="493" t="s">
        <v>7988</v>
      </c>
      <c r="G447" t="s">
        <v>9494</v>
      </c>
      <c r="H447" s="89" t="s">
        <v>7135</v>
      </c>
      <c r="I447" s="89" t="s">
        <v>6429</v>
      </c>
      <c r="J447" s="89" t="s">
        <v>7475</v>
      </c>
      <c r="K447" s="475" t="s">
        <v>6756</v>
      </c>
    </row>
    <row r="448" spans="1:11" x14ac:dyDescent="0.3">
      <c r="A448" t="s">
        <v>4586</v>
      </c>
      <c r="B448" t="str">
        <f t="shared" si="10"/>
        <v>Unit of measurement of Energy Consumption per Hour</v>
      </c>
      <c r="C448" s="492" t="s">
        <v>8461</v>
      </c>
      <c r="D448" t="s">
        <v>2932</v>
      </c>
      <c r="E448" s="492" t="s">
        <v>8908</v>
      </c>
      <c r="F448" s="493" t="s">
        <v>7989</v>
      </c>
      <c r="G448" t="s">
        <v>9495</v>
      </c>
      <c r="H448" s="89" t="s">
        <v>6049</v>
      </c>
      <c r="I448" s="89" t="s">
        <v>5985</v>
      </c>
      <c r="J448" s="89" t="s">
        <v>7476</v>
      </c>
      <c r="K448" s="475" t="s">
        <v>6757</v>
      </c>
    </row>
    <row r="449" spans="1:11" ht="28.8" x14ac:dyDescent="0.3">
      <c r="A449" t="s">
        <v>4591</v>
      </c>
      <c r="B449" t="str">
        <f t="shared" si="10"/>
        <v>Unit of measurement of NCV Converter</v>
      </c>
      <c r="C449" s="492" t="s">
        <v>8462</v>
      </c>
      <c r="D449" t="s">
        <v>2934</v>
      </c>
      <c r="E449" s="492" t="s">
        <v>8909</v>
      </c>
      <c r="F449" s="493" t="s">
        <v>7990</v>
      </c>
      <c r="G449" t="s">
        <v>9496</v>
      </c>
      <c r="H449" s="89" t="s">
        <v>7136</v>
      </c>
      <c r="I449" s="89" t="s">
        <v>6430</v>
      </c>
      <c r="J449" s="89" t="s">
        <v>5897</v>
      </c>
      <c r="K449" s="475" t="s">
        <v>5819</v>
      </c>
    </row>
    <row r="450" spans="1:11" ht="43.2" x14ac:dyDescent="0.3">
      <c r="A450" t="s">
        <v>4597</v>
      </c>
      <c r="B450" t="str">
        <f t="shared" si="10"/>
        <v>Unit of measurement of Density Converter</v>
      </c>
      <c r="C450" s="492" t="s">
        <v>8463</v>
      </c>
      <c r="D450" t="s">
        <v>2933</v>
      </c>
      <c r="E450" s="492" t="s">
        <v>8910</v>
      </c>
      <c r="F450" s="493" t="s">
        <v>7991</v>
      </c>
      <c r="G450" t="s">
        <v>9497</v>
      </c>
      <c r="H450" s="89" t="s">
        <v>7137</v>
      </c>
      <c r="I450" s="89" t="s">
        <v>6431</v>
      </c>
      <c r="J450" s="89" t="s">
        <v>7477</v>
      </c>
      <c r="K450" s="475" t="s">
        <v>6758</v>
      </c>
    </row>
    <row r="451" spans="1:11" x14ac:dyDescent="0.3">
      <c r="A451" t="s">
        <v>4587</v>
      </c>
      <c r="B451" t="str">
        <f t="shared" si="10"/>
        <v>Usage of Unit of Measurement Converter</v>
      </c>
      <c r="C451" s="492" t="s">
        <v>8464</v>
      </c>
      <c r="D451" t="s">
        <v>4516</v>
      </c>
      <c r="E451" s="492" t="s">
        <v>8911</v>
      </c>
      <c r="F451" s="493" t="s">
        <v>7992</v>
      </c>
      <c r="G451" t="s">
        <v>9498</v>
      </c>
      <c r="H451" s="89" t="s">
        <v>7138</v>
      </c>
      <c r="I451" s="89" t="s">
        <v>6432</v>
      </c>
      <c r="J451" s="89" t="s">
        <v>7478</v>
      </c>
      <c r="K451" s="475" t="s">
        <v>6759</v>
      </c>
    </row>
    <row r="452" spans="1:11" x14ac:dyDescent="0.3">
      <c r="A452" t="s">
        <v>4588</v>
      </c>
      <c r="B452" t="str">
        <f t="shared" ref="B452:B490" si="11">INDEX(D452:K452,MATCH(template_selected_display_language,$D$3:$K$3,0))</f>
        <v>Steps to follow for the Mass table:</v>
      </c>
      <c r="C452" s="492" t="s">
        <v>8465</v>
      </c>
      <c r="D452" t="s">
        <v>4517</v>
      </c>
      <c r="E452" s="492" t="s">
        <v>8912</v>
      </c>
      <c r="F452" s="493" t="s">
        <v>7993</v>
      </c>
      <c r="G452" t="s">
        <v>9499</v>
      </c>
      <c r="H452" s="89" t="s">
        <v>7139</v>
      </c>
      <c r="I452" s="89" t="s">
        <v>6433</v>
      </c>
      <c r="J452" s="89" t="s">
        <v>7479</v>
      </c>
      <c r="K452" s="475" t="s">
        <v>6760</v>
      </c>
    </row>
    <row r="453" spans="1:11" ht="57.6" x14ac:dyDescent="0.3">
      <c r="A453" t="s">
        <v>4596</v>
      </c>
      <c r="B453" t="str">
        <f t="shared" si="11"/>
        <v>1. In the cell B5 of the table related to the Unit of measurement of Mass Converter should be inserted the Unit of measurement to convert.</v>
      </c>
      <c r="C453" s="492" t="s">
        <v>8466</v>
      </c>
      <c r="D453" t="s">
        <v>4531</v>
      </c>
      <c r="E453" s="492" t="s">
        <v>8913</v>
      </c>
      <c r="F453" s="493" t="s">
        <v>7994</v>
      </c>
      <c r="G453" t="s">
        <v>9500</v>
      </c>
      <c r="H453" s="89" t="s">
        <v>7140</v>
      </c>
      <c r="I453" s="89" t="s">
        <v>6434</v>
      </c>
      <c r="J453" s="89" t="s">
        <v>7507</v>
      </c>
      <c r="K453" s="475" t="s">
        <v>6761</v>
      </c>
    </row>
    <row r="454" spans="1:11" ht="28.8" x14ac:dyDescent="0.3">
      <c r="A454" t="s">
        <v>4592</v>
      </c>
      <c r="B454" t="str">
        <f t="shared" si="11"/>
        <v>2. Then in the cell B6 the amount of mass can be inserted.</v>
      </c>
      <c r="C454" s="492" t="s">
        <v>8467</v>
      </c>
      <c r="D454" t="s">
        <v>4529</v>
      </c>
      <c r="E454" s="492" t="s">
        <v>8914</v>
      </c>
      <c r="F454" s="493" t="s">
        <v>7995</v>
      </c>
      <c r="G454" t="s">
        <v>9501</v>
      </c>
      <c r="H454" s="89" t="s">
        <v>7141</v>
      </c>
      <c r="I454" s="89" t="s">
        <v>5986</v>
      </c>
      <c r="J454" s="89" t="s">
        <v>7506</v>
      </c>
      <c r="K454" s="475" t="s">
        <v>6762</v>
      </c>
    </row>
    <row r="455" spans="1:11" ht="28.8" x14ac:dyDescent="0.3">
      <c r="A455" t="s">
        <v>4593</v>
      </c>
      <c r="B455" t="str">
        <f t="shared" si="11"/>
        <v>3. Finally in the cell D5 there should be the unit of measurement of interest.</v>
      </c>
      <c r="C455" s="492" t="s">
        <v>8468</v>
      </c>
      <c r="D455" t="s">
        <v>4530</v>
      </c>
      <c r="E455" s="492" t="s">
        <v>8915</v>
      </c>
      <c r="F455" s="493" t="s">
        <v>7996</v>
      </c>
      <c r="G455" t="s">
        <v>9502</v>
      </c>
      <c r="H455" s="89" t="s">
        <v>7142</v>
      </c>
      <c r="I455" s="89" t="s">
        <v>6435</v>
      </c>
      <c r="J455" s="89" t="s">
        <v>7505</v>
      </c>
      <c r="K455" s="475" t="s">
        <v>6763</v>
      </c>
    </row>
    <row r="456" spans="1:11" x14ac:dyDescent="0.3">
      <c r="A456" t="s">
        <v>4594</v>
      </c>
      <c r="B456" t="str">
        <f t="shared" si="11"/>
        <v>4. The outcome of the conversion will be displayed in the cell D6.</v>
      </c>
      <c r="C456" s="492" t="s">
        <v>8469</v>
      </c>
      <c r="D456" t="s">
        <v>4528</v>
      </c>
      <c r="E456" s="492" t="s">
        <v>8916</v>
      </c>
      <c r="F456" s="493" t="s">
        <v>7997</v>
      </c>
      <c r="G456" t="s">
        <v>9503</v>
      </c>
      <c r="H456" s="89" t="s">
        <v>7143</v>
      </c>
      <c r="I456" s="89" t="s">
        <v>5987</v>
      </c>
      <c r="J456" s="89" t="s">
        <v>5898</v>
      </c>
      <c r="K456" s="475" t="s">
        <v>6764</v>
      </c>
    </row>
    <row r="457" spans="1:11" ht="43.2" x14ac:dyDescent="0.3">
      <c r="A457" t="s">
        <v>4595</v>
      </c>
      <c r="B457" t="str">
        <f t="shared" si="11"/>
        <v>The steps to follow for the other tables (Volume, Energy Consumption, Density and NCV) are the same of the Mass table.</v>
      </c>
      <c r="C457" s="492" t="s">
        <v>8470</v>
      </c>
      <c r="D457" t="s">
        <v>4518</v>
      </c>
      <c r="E457" s="492" t="s">
        <v>8917</v>
      </c>
      <c r="F457" s="493" t="s">
        <v>7998</v>
      </c>
      <c r="G457" t="s">
        <v>9504</v>
      </c>
      <c r="H457" s="89" t="s">
        <v>7144</v>
      </c>
      <c r="I457" s="89" t="s">
        <v>6436</v>
      </c>
      <c r="J457" s="89" t="s">
        <v>7480</v>
      </c>
      <c r="K457" s="475" t="s">
        <v>6765</v>
      </c>
    </row>
    <row r="458" spans="1:11" ht="28.8" x14ac:dyDescent="0.3">
      <c r="A458" t="s">
        <v>4590</v>
      </c>
      <c r="B458" t="str">
        <f t="shared" si="11"/>
        <v>Below are specified all the Units of measurement conversions of each table.</v>
      </c>
      <c r="C458" s="492" t="s">
        <v>8471</v>
      </c>
      <c r="D458" t="s">
        <v>4519</v>
      </c>
      <c r="E458" s="492" t="s">
        <v>8918</v>
      </c>
      <c r="F458" s="493" t="s">
        <v>7999</v>
      </c>
      <c r="G458" t="s">
        <v>9505</v>
      </c>
      <c r="H458" s="89" t="s">
        <v>7145</v>
      </c>
      <c r="I458" s="89" t="s">
        <v>6437</v>
      </c>
      <c r="J458" s="89" t="s">
        <v>7481</v>
      </c>
      <c r="K458" s="475" t="s">
        <v>5820</v>
      </c>
    </row>
    <row r="459" spans="1:11" x14ac:dyDescent="0.3">
      <c r="A459" t="s">
        <v>4602</v>
      </c>
      <c r="B459" t="str">
        <f t="shared" si="11"/>
        <v>▪ Unit of measurement of Mass Converter:</v>
      </c>
      <c r="C459" s="492" t="s">
        <v>8472</v>
      </c>
      <c r="D459" t="s">
        <v>4578</v>
      </c>
      <c r="E459" s="492" t="s">
        <v>8919</v>
      </c>
      <c r="F459" s="493" t="s">
        <v>8980</v>
      </c>
      <c r="G459" t="s">
        <v>9506</v>
      </c>
      <c r="H459" s="89" t="s">
        <v>9003</v>
      </c>
      <c r="I459" s="89" t="s">
        <v>6438</v>
      </c>
      <c r="J459" s="89" t="s">
        <v>5899</v>
      </c>
      <c r="K459" s="475" t="s">
        <v>6766</v>
      </c>
    </row>
    <row r="460" spans="1:11" x14ac:dyDescent="0.3">
      <c r="A460" t="s">
        <v>4601</v>
      </c>
      <c r="B460" t="str">
        <f t="shared" si="11"/>
        <v>▪ Unit of measurement of Volume Converter:</v>
      </c>
      <c r="C460" s="492" t="s">
        <v>8473</v>
      </c>
      <c r="D460" t="s">
        <v>4579</v>
      </c>
      <c r="E460" s="492" t="s">
        <v>8920</v>
      </c>
      <c r="F460" s="493" t="s">
        <v>8981</v>
      </c>
      <c r="G460" t="s">
        <v>9507</v>
      </c>
      <c r="H460" s="89" t="s">
        <v>9004</v>
      </c>
      <c r="I460" s="89" t="s">
        <v>6439</v>
      </c>
      <c r="J460" s="89" t="s">
        <v>7504</v>
      </c>
      <c r="K460" s="475" t="s">
        <v>6767</v>
      </c>
    </row>
    <row r="461" spans="1:11" x14ac:dyDescent="0.3">
      <c r="A461" t="s">
        <v>4600</v>
      </c>
      <c r="B461" t="str">
        <f t="shared" si="11"/>
        <v>▪ Unit of measurement of Energy Converter:</v>
      </c>
      <c r="C461" s="492" t="s">
        <v>8474</v>
      </c>
      <c r="D461" t="s">
        <v>4580</v>
      </c>
      <c r="E461" s="492" t="s">
        <v>8921</v>
      </c>
      <c r="F461" s="493" t="s">
        <v>8982</v>
      </c>
      <c r="G461" t="s">
        <v>9508</v>
      </c>
      <c r="H461" s="89" t="s">
        <v>9005</v>
      </c>
      <c r="I461" s="89" t="s">
        <v>6440</v>
      </c>
      <c r="J461" s="89" t="s">
        <v>7503</v>
      </c>
      <c r="K461" s="475" t="s">
        <v>6768</v>
      </c>
    </row>
    <row r="462" spans="1:11" x14ac:dyDescent="0.3">
      <c r="A462" t="s">
        <v>4599</v>
      </c>
      <c r="B462" t="str">
        <f t="shared" si="11"/>
        <v>▪ Unit of measurement of Density Converter:</v>
      </c>
      <c r="C462" s="492" t="s">
        <v>8475</v>
      </c>
      <c r="D462" t="s">
        <v>4581</v>
      </c>
      <c r="E462" s="492" t="s">
        <v>8922</v>
      </c>
      <c r="F462" s="493" t="s">
        <v>8983</v>
      </c>
      <c r="G462" t="s">
        <v>9509</v>
      </c>
      <c r="H462" s="89" t="s">
        <v>9006</v>
      </c>
      <c r="I462" s="89" t="s">
        <v>6441</v>
      </c>
      <c r="J462" s="89" t="s">
        <v>7482</v>
      </c>
      <c r="K462" s="475" t="s">
        <v>6769</v>
      </c>
    </row>
    <row r="463" spans="1:11" s="12" customFormat="1" ht="15" thickBot="1" x14ac:dyDescent="0.35">
      <c r="A463" s="12" t="s">
        <v>4598</v>
      </c>
      <c r="B463" s="12" t="str">
        <f t="shared" si="11"/>
        <v>▪ Unit of measurement of NCV Converter:</v>
      </c>
      <c r="C463" s="500" t="s">
        <v>8476</v>
      </c>
      <c r="D463" s="12" t="s">
        <v>4582</v>
      </c>
      <c r="E463" s="500" t="s">
        <v>8923</v>
      </c>
      <c r="F463" s="494" t="s">
        <v>8984</v>
      </c>
      <c r="G463" s="12" t="s">
        <v>9510</v>
      </c>
      <c r="H463" s="443" t="s">
        <v>9007</v>
      </c>
      <c r="I463" s="443" t="s">
        <v>6442</v>
      </c>
      <c r="J463" s="443" t="s">
        <v>7483</v>
      </c>
      <c r="K463" s="498" t="s">
        <v>6770</v>
      </c>
    </row>
    <row r="464" spans="1:11" x14ac:dyDescent="0.3">
      <c r="A464" t="s">
        <v>4605</v>
      </c>
      <c r="B464" t="str">
        <f t="shared" si="11"/>
        <v>INCOMPLETE</v>
      </c>
      <c r="C464" s="492" t="s">
        <v>8477</v>
      </c>
      <c r="D464" t="s">
        <v>4603</v>
      </c>
      <c r="E464" s="492" t="s">
        <v>8924</v>
      </c>
      <c r="F464" s="493" t="s">
        <v>8000</v>
      </c>
      <c r="G464" t="s">
        <v>5699</v>
      </c>
      <c r="H464" s="89" t="s">
        <v>7146</v>
      </c>
      <c r="I464" s="89" t="s">
        <v>6443</v>
      </c>
      <c r="J464" s="89" t="s">
        <v>5699</v>
      </c>
      <c r="K464" s="475" t="s">
        <v>5699</v>
      </c>
    </row>
    <row r="465" spans="1:11" ht="28.8" x14ac:dyDescent="0.3">
      <c r="A465" t="s">
        <v>4606</v>
      </c>
      <c r="B465" t="str">
        <f t="shared" si="11"/>
        <v>COMPLETE</v>
      </c>
      <c r="C465" s="492" t="s">
        <v>8478</v>
      </c>
      <c r="D465" t="s">
        <v>4604</v>
      </c>
      <c r="E465" s="492" t="s">
        <v>8925</v>
      </c>
      <c r="F465" s="493" t="s">
        <v>8001</v>
      </c>
      <c r="G465" t="s">
        <v>5700</v>
      </c>
      <c r="H465" s="89" t="s">
        <v>7147</v>
      </c>
      <c r="I465" s="89" t="s">
        <v>6444</v>
      </c>
      <c r="J465" s="89" t="s">
        <v>5700</v>
      </c>
      <c r="K465" s="475" t="s">
        <v>5700</v>
      </c>
    </row>
    <row r="466" spans="1:11" x14ac:dyDescent="0.3">
      <c r="A466" t="s">
        <v>4618</v>
      </c>
      <c r="B466" t="str">
        <f t="shared" si="11"/>
        <v>MISSING VALUE</v>
      </c>
      <c r="C466" s="492" t="s">
        <v>8479</v>
      </c>
      <c r="D466" t="s">
        <v>4607</v>
      </c>
      <c r="E466" s="492" t="s">
        <v>8926</v>
      </c>
      <c r="F466" s="493" t="s">
        <v>8002</v>
      </c>
      <c r="G466" t="s">
        <v>9511</v>
      </c>
      <c r="H466" s="89" t="s">
        <v>7148</v>
      </c>
      <c r="I466" s="89" t="s">
        <v>6445</v>
      </c>
      <c r="J466" s="89" t="s">
        <v>7484</v>
      </c>
      <c r="K466" s="475" t="s">
        <v>6498</v>
      </c>
    </row>
    <row r="467" spans="1:11" x14ac:dyDescent="0.3">
      <c r="A467" t="s">
        <v>4619</v>
      </c>
      <c r="B467" t="str">
        <f t="shared" si="11"/>
        <v>ERROR</v>
      </c>
      <c r="C467" s="492" t="s">
        <v>8480</v>
      </c>
      <c r="D467" t="s">
        <v>4608</v>
      </c>
      <c r="E467" s="492" t="s">
        <v>8927</v>
      </c>
      <c r="F467" s="493" t="s">
        <v>8003</v>
      </c>
      <c r="G467" t="s">
        <v>9512</v>
      </c>
      <c r="H467" s="89" t="s">
        <v>6050</v>
      </c>
      <c r="I467" s="89" t="s">
        <v>5988</v>
      </c>
      <c r="J467" s="89" t="s">
        <v>5900</v>
      </c>
      <c r="K467" s="475" t="s">
        <v>4608</v>
      </c>
    </row>
    <row r="468" spans="1:11" x14ac:dyDescent="0.3">
      <c r="A468" t="s">
        <v>4620</v>
      </c>
      <c r="B468" t="str">
        <f t="shared" si="11"/>
        <v>VALUE INCONSISTENCY</v>
      </c>
      <c r="C468" s="492" t="s">
        <v>8481</v>
      </c>
      <c r="D468" t="s">
        <v>4609</v>
      </c>
      <c r="E468" s="492" t="s">
        <v>8928</v>
      </c>
      <c r="F468" s="493" t="s">
        <v>8004</v>
      </c>
      <c r="G468" t="s">
        <v>9513</v>
      </c>
      <c r="H468" s="89" t="s">
        <v>7149</v>
      </c>
      <c r="I468" s="89" t="s">
        <v>5989</v>
      </c>
      <c r="J468" s="89" t="s">
        <v>7485</v>
      </c>
      <c r="K468" s="475" t="s">
        <v>5821</v>
      </c>
    </row>
    <row r="469" spans="1:11" x14ac:dyDescent="0.3">
      <c r="A469" t="s">
        <v>4622</v>
      </c>
      <c r="B469" t="str">
        <f t="shared" si="11"/>
        <v>ERROR + VALUE INCONSISTENCY</v>
      </c>
      <c r="C469" s="492" t="s">
        <v>8482</v>
      </c>
      <c r="D469" t="s">
        <v>4610</v>
      </c>
      <c r="E469" s="492" t="s">
        <v>8929</v>
      </c>
      <c r="F469" s="493" t="s">
        <v>8005</v>
      </c>
      <c r="G469" t="s">
        <v>9514</v>
      </c>
      <c r="H469" s="89" t="s">
        <v>7150</v>
      </c>
      <c r="I469" s="89" t="s">
        <v>5990</v>
      </c>
      <c r="J469" s="89" t="s">
        <v>5901</v>
      </c>
      <c r="K469" s="475" t="s">
        <v>6499</v>
      </c>
    </row>
    <row r="470" spans="1:11" ht="28.8" x14ac:dyDescent="0.3">
      <c r="A470" t="s">
        <v>4623</v>
      </c>
      <c r="B470" t="str">
        <f t="shared" si="11"/>
        <v>ERROR + MISSING VALUE + VALUE INCONSISTENCY</v>
      </c>
      <c r="C470" s="492" t="s">
        <v>8483</v>
      </c>
      <c r="D470" t="s">
        <v>4611</v>
      </c>
      <c r="E470" s="492" t="s">
        <v>8930</v>
      </c>
      <c r="F470" s="493" t="s">
        <v>8006</v>
      </c>
      <c r="G470" t="s">
        <v>9515</v>
      </c>
      <c r="H470" s="89" t="s">
        <v>7151</v>
      </c>
      <c r="I470" s="89" t="s">
        <v>6446</v>
      </c>
      <c r="J470" s="89" t="s">
        <v>7486</v>
      </c>
      <c r="K470" s="475" t="s">
        <v>6500</v>
      </c>
    </row>
    <row r="471" spans="1:11" x14ac:dyDescent="0.3">
      <c r="A471" t="s">
        <v>4624</v>
      </c>
      <c r="B471" t="str">
        <f t="shared" si="11"/>
        <v>ERROR + MISSING VALUE</v>
      </c>
      <c r="C471" s="492" t="s">
        <v>8484</v>
      </c>
      <c r="D471" t="s">
        <v>4612</v>
      </c>
      <c r="E471" s="492" t="s">
        <v>8931</v>
      </c>
      <c r="F471" s="493" t="s">
        <v>8007</v>
      </c>
      <c r="G471" t="s">
        <v>9516</v>
      </c>
      <c r="H471" s="89" t="s">
        <v>7152</v>
      </c>
      <c r="I471" s="89" t="s">
        <v>6447</v>
      </c>
      <c r="J471" s="89" t="s">
        <v>7487</v>
      </c>
      <c r="K471" s="475" t="s">
        <v>6501</v>
      </c>
    </row>
    <row r="472" spans="1:11" x14ac:dyDescent="0.3">
      <c r="A472" t="s">
        <v>4625</v>
      </c>
      <c r="B472" t="str">
        <f t="shared" si="11"/>
        <v>MISSING VALUE + VALUE INCONSISTENCY</v>
      </c>
      <c r="C472" s="492" t="s">
        <v>8485</v>
      </c>
      <c r="D472" t="s">
        <v>4613</v>
      </c>
      <c r="E472" s="492" t="s">
        <v>8932</v>
      </c>
      <c r="F472" s="493" t="s">
        <v>8008</v>
      </c>
      <c r="G472" t="s">
        <v>9517</v>
      </c>
      <c r="H472" s="89" t="s">
        <v>7153</v>
      </c>
      <c r="I472" s="89" t="s">
        <v>6448</v>
      </c>
      <c r="J472" s="89" t="s">
        <v>7488</v>
      </c>
      <c r="K472" s="475" t="s">
        <v>6502</v>
      </c>
    </row>
    <row r="473" spans="1:11" x14ac:dyDescent="0.3">
      <c r="A473" t="s">
        <v>4621</v>
      </c>
      <c r="B473" t="str">
        <f t="shared" si="11"/>
        <v>INVALID URL</v>
      </c>
      <c r="C473" s="492" t="s">
        <v>8486</v>
      </c>
      <c r="D473" t="s">
        <v>4614</v>
      </c>
      <c r="E473" s="492" t="s">
        <v>8933</v>
      </c>
      <c r="F473" s="493" t="s">
        <v>8009</v>
      </c>
      <c r="G473" t="s">
        <v>9518</v>
      </c>
      <c r="H473" s="89" t="s">
        <v>7154</v>
      </c>
      <c r="I473" s="89" t="s">
        <v>6449</v>
      </c>
      <c r="J473" s="89" t="s">
        <v>5902</v>
      </c>
      <c r="K473" s="475" t="s">
        <v>6771</v>
      </c>
    </row>
    <row r="474" spans="1:11" x14ac:dyDescent="0.3">
      <c r="A474" t="s">
        <v>5634</v>
      </c>
      <c r="B474" t="str">
        <f t="shared" si="11"/>
        <v>OK</v>
      </c>
      <c r="C474" s="492" t="s">
        <v>5633</v>
      </c>
      <c r="D474" t="s">
        <v>5633</v>
      </c>
      <c r="E474" s="492" t="s">
        <v>5633</v>
      </c>
      <c r="F474" s="493" t="s">
        <v>5633</v>
      </c>
      <c r="G474" t="s">
        <v>5633</v>
      </c>
      <c r="H474" s="89" t="s">
        <v>7155</v>
      </c>
      <c r="I474" s="89" t="s">
        <v>5633</v>
      </c>
      <c r="J474" s="89" t="s">
        <v>5633</v>
      </c>
      <c r="K474" s="475" t="s">
        <v>6790</v>
      </c>
    </row>
    <row r="475" spans="1:11" ht="28.8" x14ac:dyDescent="0.3">
      <c r="A475" t="s">
        <v>5637</v>
      </c>
      <c r="B475" t="str">
        <f t="shared" si="11"/>
        <v>ℹ️ Liquid fuel: please select one unit of measurement among m³ and L</v>
      </c>
      <c r="C475" s="492" t="s">
        <v>8487</v>
      </c>
      <c r="D475" t="s">
        <v>6115</v>
      </c>
      <c r="E475" s="492" t="s">
        <v>8934</v>
      </c>
      <c r="F475" s="493" t="s">
        <v>8010</v>
      </c>
      <c r="G475" t="s">
        <v>9519</v>
      </c>
      <c r="H475" s="89" t="s">
        <v>7156</v>
      </c>
      <c r="I475" s="89" t="s">
        <v>6450</v>
      </c>
      <c r="J475" s="89" t="s">
        <v>6132</v>
      </c>
      <c r="K475" s="475" t="s">
        <v>6772</v>
      </c>
    </row>
    <row r="476" spans="1:11" ht="28.8" x14ac:dyDescent="0.3">
      <c r="A476" t="s">
        <v>5635</v>
      </c>
      <c r="B476" t="str">
        <f t="shared" si="11"/>
        <v>ℹ️ Solid fuel: please select one unit of measurement among Gg, t, Kg and g</v>
      </c>
      <c r="C476" s="492" t="s">
        <v>8488</v>
      </c>
      <c r="D476" t="s">
        <v>6116</v>
      </c>
      <c r="E476" s="492" t="s">
        <v>8935</v>
      </c>
      <c r="F476" s="493" t="s">
        <v>8011</v>
      </c>
      <c r="G476" t="s">
        <v>9520</v>
      </c>
      <c r="H476" s="89" t="s">
        <v>7157</v>
      </c>
      <c r="I476" s="89" t="s">
        <v>6130</v>
      </c>
      <c r="J476" s="89" t="s">
        <v>7502</v>
      </c>
      <c r="K476" s="475" t="s">
        <v>6133</v>
      </c>
    </row>
    <row r="477" spans="1:11" ht="28.8" x14ac:dyDescent="0.3">
      <c r="A477" t="s">
        <v>5636</v>
      </c>
      <c r="B477" t="str">
        <f t="shared" si="11"/>
        <v>ℹ️ Gaseous fuel: please select one unit of measurement among m³ and L</v>
      </c>
      <c r="C477" s="492" t="s">
        <v>8489</v>
      </c>
      <c r="D477" t="s">
        <v>6117</v>
      </c>
      <c r="E477" s="492" t="s">
        <v>8936</v>
      </c>
      <c r="F477" s="493" t="s">
        <v>8012</v>
      </c>
      <c r="G477" t="s">
        <v>9521</v>
      </c>
      <c r="H477" s="89" t="s">
        <v>7158</v>
      </c>
      <c r="I477" s="89" t="s">
        <v>6131</v>
      </c>
      <c r="J477" s="89" t="s">
        <v>7489</v>
      </c>
      <c r="K477" s="475" t="s">
        <v>6134</v>
      </c>
    </row>
    <row r="478" spans="1:11" ht="100.8" x14ac:dyDescent="0.3">
      <c r="A478" t="s">
        <v>5672</v>
      </c>
      <c r="B478" t="str">
        <f t="shared" si="11"/>
        <v xml:space="preserve">ℹ️  The entity identifier is a unique ID, that will enable identifying the company that has reported the information. The VSME Standard does not require any specific identifier. An entity identifier is required for the digital reporting. </v>
      </c>
      <c r="C478" s="492" t="s">
        <v>8490</v>
      </c>
      <c r="D478" t="s">
        <v>6118</v>
      </c>
      <c r="E478" s="492" t="s">
        <v>8937</v>
      </c>
      <c r="F478" s="493" t="s">
        <v>8013</v>
      </c>
      <c r="G478" t="s">
        <v>9522</v>
      </c>
      <c r="H478" s="89" t="s">
        <v>7159</v>
      </c>
      <c r="I478" s="89" t="s">
        <v>6451</v>
      </c>
      <c r="J478" s="89" t="s">
        <v>7490</v>
      </c>
      <c r="K478" s="475" t="s">
        <v>6773</v>
      </c>
    </row>
    <row r="479" spans="1:11" ht="72" x14ac:dyDescent="0.3">
      <c r="A479" t="s">
        <v>5673</v>
      </c>
      <c r="B479" t="str">
        <f t="shared" si="11"/>
        <v>ℹ️ If VALUE INCONSISTENCY message appears on the right, please ensure that the reporting period end date is greater than the reporting period start date.</v>
      </c>
      <c r="C479" s="492" t="s">
        <v>8491</v>
      </c>
      <c r="D479" t="s">
        <v>6119</v>
      </c>
      <c r="E479" s="492" t="s">
        <v>8938</v>
      </c>
      <c r="F479" s="493" t="s">
        <v>8014</v>
      </c>
      <c r="G479" t="s">
        <v>9523</v>
      </c>
      <c r="H479" s="89" t="s">
        <v>7160</v>
      </c>
      <c r="I479" s="89" t="s">
        <v>6452</v>
      </c>
      <c r="J479" s="89" t="s">
        <v>7491</v>
      </c>
      <c r="K479" s="475" t="s">
        <v>6774</v>
      </c>
    </row>
    <row r="480" spans="1:11" ht="72" x14ac:dyDescent="0.3">
      <c r="A480" t="s">
        <v>5674</v>
      </c>
      <c r="B480" t="str">
        <f t="shared" si="11"/>
        <v>ℹ️  Lists can be expanded using the little [+] button on the left.  If the number of rows is not sufficient, those can be added by right clicking the second row and selecting "Insert row".</v>
      </c>
      <c r="C480" s="492" t="s">
        <v>8492</v>
      </c>
      <c r="D480" t="s">
        <v>6120</v>
      </c>
      <c r="E480" s="492" t="s">
        <v>8939</v>
      </c>
      <c r="F480" s="493" t="s">
        <v>8015</v>
      </c>
      <c r="G480" t="s">
        <v>9524</v>
      </c>
      <c r="H480" s="89" t="s">
        <v>7161</v>
      </c>
      <c r="I480" s="89" t="s">
        <v>6453</v>
      </c>
      <c r="J480" s="89" t="s">
        <v>7492</v>
      </c>
      <c r="K480" s="475" t="s">
        <v>6775</v>
      </c>
    </row>
    <row r="481" spans="1:11" ht="28.8" x14ac:dyDescent="0.3">
      <c r="A481" t="s">
        <v>5675</v>
      </c>
      <c r="B481" t="str">
        <f t="shared" si="11"/>
        <v>ℹ️ When "other" is chosen as undertaking legal form please fill the row below</v>
      </c>
      <c r="C481" s="492" t="s">
        <v>8493</v>
      </c>
      <c r="D481" t="s">
        <v>6121</v>
      </c>
      <c r="E481" s="492" t="s">
        <v>8940</v>
      </c>
      <c r="F481" s="493" t="s">
        <v>8016</v>
      </c>
      <c r="G481" t="s">
        <v>9525</v>
      </c>
      <c r="H481" s="89" t="s">
        <v>7162</v>
      </c>
      <c r="I481" s="89" t="s">
        <v>6454</v>
      </c>
      <c r="J481" s="89" t="s">
        <v>7493</v>
      </c>
      <c r="K481" s="475" t="s">
        <v>6776</v>
      </c>
    </row>
    <row r="482" spans="1:11" ht="57.6" x14ac:dyDescent="0.3">
      <c r="A482" t="s">
        <v>5676</v>
      </c>
      <c r="B482" t="str">
        <f t="shared" si="11"/>
        <v>ℹ️  Please select a NACE code rather than a category else an ERROR message will appear.</v>
      </c>
      <c r="C482" s="492" t="s">
        <v>8494</v>
      </c>
      <c r="D482" t="s">
        <v>6122</v>
      </c>
      <c r="E482" s="492" t="s">
        <v>8941</v>
      </c>
      <c r="F482" s="493" t="s">
        <v>8017</v>
      </c>
      <c r="G482" t="s">
        <v>9526</v>
      </c>
      <c r="H482" s="89" t="s">
        <v>7163</v>
      </c>
      <c r="I482" s="89" t="s">
        <v>6455</v>
      </c>
      <c r="J482" s="89" t="s">
        <v>7494</v>
      </c>
      <c r="K482" s="475" t="s">
        <v>6788</v>
      </c>
    </row>
    <row r="483" spans="1:11" ht="43.2" x14ac:dyDescent="0.3">
      <c r="A483" t="s">
        <v>5677</v>
      </c>
      <c r="B483" t="str">
        <f t="shared" si="11"/>
        <v>ℹ️  Please be careful to separate each street number and house number using the slash symbol "/" and not the comma ","</v>
      </c>
      <c r="C483" s="492" t="s">
        <v>8495</v>
      </c>
      <c r="D483" t="s">
        <v>6123</v>
      </c>
      <c r="E483" s="492" t="s">
        <v>8942</v>
      </c>
      <c r="F483" s="493" t="s">
        <v>8018</v>
      </c>
      <c r="G483" t="s">
        <v>9527</v>
      </c>
      <c r="H483" s="89" t="s">
        <v>7164</v>
      </c>
      <c r="I483" s="89" t="s">
        <v>6456</v>
      </c>
      <c r="J483" s="89" t="s">
        <v>7495</v>
      </c>
      <c r="K483" s="475" t="s">
        <v>6777</v>
      </c>
    </row>
    <row r="484" spans="1:11" ht="43.2" x14ac:dyDescent="0.3">
      <c r="A484" t="s">
        <v>5678</v>
      </c>
      <c r="B484" t="str">
        <f t="shared" si="11"/>
        <v xml:space="preserve">ℹ️  Please note that the formula present in this cell may be overwritten in case the undertaking wants to directly provide the value. </v>
      </c>
      <c r="C484" s="492" t="s">
        <v>8496</v>
      </c>
      <c r="D484" t="s">
        <v>6124</v>
      </c>
      <c r="E484" s="492" t="s">
        <v>8943</v>
      </c>
      <c r="F484" s="493" t="s">
        <v>8019</v>
      </c>
      <c r="G484" t="s">
        <v>9528</v>
      </c>
      <c r="H484" s="89" t="s">
        <v>7165</v>
      </c>
      <c r="I484" s="89" t="s">
        <v>6457</v>
      </c>
      <c r="J484" s="89" t="s">
        <v>7496</v>
      </c>
      <c r="K484" s="475" t="s">
        <v>6778</v>
      </c>
    </row>
    <row r="485" spans="1:11" ht="100.8" x14ac:dyDescent="0.3">
      <c r="A485" t="s">
        <v>5679</v>
      </c>
      <c r="B485" t="str">
        <f t="shared" si="11"/>
        <v>ℹ️  Scope 3 categories according to the GHG protocol might help to calculate the total Scope 3 GHG emissions. In case the undertaking wants to, it can directly provide the Total Scope 3 GHG emissions in the respective cell.</v>
      </c>
      <c r="C485" s="492" t="s">
        <v>8497</v>
      </c>
      <c r="D485" t="s">
        <v>6125</v>
      </c>
      <c r="E485" s="492" t="s">
        <v>8944</v>
      </c>
      <c r="F485" s="493" t="s">
        <v>8020</v>
      </c>
      <c r="G485" t="s">
        <v>9529</v>
      </c>
      <c r="H485" s="89" t="s">
        <v>7166</v>
      </c>
      <c r="I485" s="89" t="s">
        <v>6458</v>
      </c>
      <c r="J485" s="89" t="s">
        <v>7497</v>
      </c>
      <c r="K485" s="475" t="s">
        <v>6779</v>
      </c>
    </row>
    <row r="486" spans="1:11" ht="57.6" x14ac:dyDescent="0.3">
      <c r="A486" t="s">
        <v>5680</v>
      </c>
      <c r="B486" t="str">
        <f t="shared" si="11"/>
        <v>ℹ️  If a validation related to value inconsistency is displayed, please select a site ID that is different from one of those previously selected.</v>
      </c>
      <c r="C486" s="492" t="s">
        <v>8498</v>
      </c>
      <c r="D486" t="s">
        <v>6126</v>
      </c>
      <c r="E486" s="492" t="s">
        <v>8945</v>
      </c>
      <c r="F486" s="493" t="s">
        <v>8021</v>
      </c>
      <c r="G486" t="s">
        <v>9530</v>
      </c>
      <c r="H486" s="89" t="s">
        <v>7167</v>
      </c>
      <c r="I486" s="89" t="s">
        <v>6459</v>
      </c>
      <c r="J486" s="89" t="s">
        <v>7498</v>
      </c>
      <c r="K486" s="475" t="s">
        <v>6780</v>
      </c>
    </row>
    <row r="487" spans="1:11" ht="57.6" x14ac:dyDescent="0.3">
      <c r="A487" t="s">
        <v>5681</v>
      </c>
      <c r="B487" t="str">
        <f t="shared" si="11"/>
        <v>ℹ️  Please select a Type of waste (Hazardous or Non-Hazardous) rather than a category else an ERROR message will appear.</v>
      </c>
      <c r="C487" s="492" t="s">
        <v>8499</v>
      </c>
      <c r="D487" t="s">
        <v>6127</v>
      </c>
      <c r="E487" s="492" t="s">
        <v>8946</v>
      </c>
      <c r="F487" s="493" t="s">
        <v>8022</v>
      </c>
      <c r="G487" t="s">
        <v>9531</v>
      </c>
      <c r="H487" s="89" t="s">
        <v>7168</v>
      </c>
      <c r="I487" s="89" t="s">
        <v>6460</v>
      </c>
      <c r="J487" s="89" t="s">
        <v>7499</v>
      </c>
      <c r="K487" s="475" t="s">
        <v>6789</v>
      </c>
    </row>
    <row r="488" spans="1:11" ht="72" x14ac:dyDescent="0.3">
      <c r="A488" t="s">
        <v>5682</v>
      </c>
      <c r="B488" t="str">
        <f t="shared" si="11"/>
        <v xml:space="preserve">ℹ️  Please make sure that the total number of employees is the same as the one provided in the "General Information" sheet cell E55
</v>
      </c>
      <c r="C488" s="492" t="s">
        <v>8500</v>
      </c>
      <c r="D488" t="s">
        <v>6128</v>
      </c>
      <c r="E488" s="492" t="s">
        <v>8947</v>
      </c>
      <c r="F488" s="493" t="s">
        <v>8023</v>
      </c>
      <c r="G488" t="s">
        <v>9532</v>
      </c>
      <c r="H488" s="475" t="s">
        <v>7169</v>
      </c>
      <c r="I488" s="475" t="s">
        <v>6461</v>
      </c>
      <c r="J488" s="475" t="s">
        <v>7500</v>
      </c>
      <c r="K488" s="475" t="s">
        <v>6781</v>
      </c>
    </row>
    <row r="489" spans="1:11" ht="100.8" x14ac:dyDescent="0.3">
      <c r="A489" t="s">
        <v>5683</v>
      </c>
      <c r="B489" t="str">
        <f t="shared" si="11"/>
        <v>ℹ️  The undertaking can modify the value in this cell as 2,000 hours is based on the assumption that one full-time worker works 2,000 hours per year. This figure may vary by country or sector, depending on national rules or collective bargaining agreements.</v>
      </c>
      <c r="C489" s="492" t="s">
        <v>8501</v>
      </c>
      <c r="D489" t="s">
        <v>6129</v>
      </c>
      <c r="E489" s="1212" t="s">
        <v>8948</v>
      </c>
      <c r="F489" s="493" t="s">
        <v>8024</v>
      </c>
      <c r="G489" t="s">
        <v>9533</v>
      </c>
      <c r="H489" s="89" t="s">
        <v>7170</v>
      </c>
      <c r="I489" s="89" t="s">
        <v>6462</v>
      </c>
      <c r="J489" s="89" t="s">
        <v>7501</v>
      </c>
      <c r="K489" s="475" t="s">
        <v>6782</v>
      </c>
    </row>
    <row r="490" spans="1:11" ht="28.8" x14ac:dyDescent="0.3">
      <c r="A490" t="s">
        <v>7542</v>
      </c>
      <c r="B490" t="str">
        <f t="shared" si="11"/>
        <v>ℹ️ Check EFRAG website for a non-exhaustive list of GHG calculators.</v>
      </c>
      <c r="C490" s="492" t="s">
        <v>8503</v>
      </c>
      <c r="D490" t="s">
        <v>7543</v>
      </c>
      <c r="E490" s="1213" t="s">
        <v>8949</v>
      </c>
      <c r="F490" s="2" t="s">
        <v>8025</v>
      </c>
      <c r="G490" t="s">
        <v>9534</v>
      </c>
      <c r="H490" t="s">
        <v>7544</v>
      </c>
      <c r="I490" t="s">
        <v>7545</v>
      </c>
      <c r="J490" t="s">
        <v>7546</v>
      </c>
      <c r="K490" s="2" t="s">
        <v>7547</v>
      </c>
    </row>
    <row r="491" spans="1:11" x14ac:dyDescent="0.3">
      <c r="C491" s="492"/>
    </row>
    <row r="492" spans="1:11" x14ac:dyDescent="0.3">
      <c r="C492" s="492"/>
    </row>
    <row r="493" spans="1:11" x14ac:dyDescent="0.3">
      <c r="C493" s="492"/>
    </row>
    <row r="494" spans="1:11" x14ac:dyDescent="0.3">
      <c r="C494" s="492"/>
    </row>
    <row r="495" spans="1:11" x14ac:dyDescent="0.3">
      <c r="C495" s="492"/>
    </row>
    <row r="496" spans="1:11" x14ac:dyDescent="0.3">
      <c r="C496" s="492"/>
    </row>
    <row r="497" spans="3:3" x14ac:dyDescent="0.3">
      <c r="C497" s="492"/>
    </row>
    <row r="498" spans="3:3" x14ac:dyDescent="0.3">
      <c r="C498" s="492"/>
    </row>
    <row r="499" spans="3:3" x14ac:dyDescent="0.3">
      <c r="C499" s="492"/>
    </row>
    <row r="500" spans="3:3" x14ac:dyDescent="0.3">
      <c r="C500" s="492"/>
    </row>
    <row r="501" spans="3:3" x14ac:dyDescent="0.3">
      <c r="C501" s="492"/>
    </row>
    <row r="502" spans="3:3" x14ac:dyDescent="0.3">
      <c r="C502" s="492"/>
    </row>
    <row r="503" spans="3:3" x14ac:dyDescent="0.3">
      <c r="C503" s="492"/>
    </row>
    <row r="504" spans="3:3" x14ac:dyDescent="0.3">
      <c r="C504" s="492"/>
    </row>
    <row r="505" spans="3:3" x14ac:dyDescent="0.3">
      <c r="C505" s="492"/>
    </row>
    <row r="506" spans="3:3" x14ac:dyDescent="0.3">
      <c r="C506" s="492"/>
    </row>
    <row r="507" spans="3:3" x14ac:dyDescent="0.3">
      <c r="C507" s="492"/>
    </row>
    <row r="508" spans="3:3" x14ac:dyDescent="0.3">
      <c r="C508" s="492"/>
    </row>
    <row r="509" spans="3:3" x14ac:dyDescent="0.3">
      <c r="C509" s="492"/>
    </row>
    <row r="510" spans="3:3" x14ac:dyDescent="0.3">
      <c r="C510" s="492"/>
    </row>
    <row r="511" spans="3:3" x14ac:dyDescent="0.3">
      <c r="C511" s="492"/>
    </row>
    <row r="512" spans="3:3" x14ac:dyDescent="0.3">
      <c r="C512" s="492"/>
    </row>
    <row r="513" spans="3:3" x14ac:dyDescent="0.3">
      <c r="C513" s="492"/>
    </row>
    <row r="514" spans="3:3" x14ac:dyDescent="0.3">
      <c r="C514" s="492"/>
    </row>
    <row r="515" spans="3:3" x14ac:dyDescent="0.3">
      <c r="C515" s="492"/>
    </row>
    <row r="516" spans="3:3" x14ac:dyDescent="0.3">
      <c r="C516" s="492"/>
    </row>
    <row r="517" spans="3:3" x14ac:dyDescent="0.3">
      <c r="C517" s="492"/>
    </row>
    <row r="518" spans="3:3" x14ac:dyDescent="0.3">
      <c r="C518" s="492"/>
    </row>
    <row r="519" spans="3:3" x14ac:dyDescent="0.3">
      <c r="C519" s="492"/>
    </row>
    <row r="520" spans="3:3" x14ac:dyDescent="0.3">
      <c r="C520" s="492"/>
    </row>
    <row r="521" spans="3:3" x14ac:dyDescent="0.3">
      <c r="C521" s="492"/>
    </row>
    <row r="522" spans="3:3" x14ac:dyDescent="0.3">
      <c r="C522" s="492"/>
    </row>
    <row r="523" spans="3:3" x14ac:dyDescent="0.3">
      <c r="C523" s="492"/>
    </row>
    <row r="524" spans="3:3" x14ac:dyDescent="0.3">
      <c r="C524" s="492"/>
    </row>
    <row r="525" spans="3:3" x14ac:dyDescent="0.3">
      <c r="C525" s="492"/>
    </row>
    <row r="526" spans="3:3" x14ac:dyDescent="0.3">
      <c r="C526" s="492"/>
    </row>
    <row r="527" spans="3:3" x14ac:dyDescent="0.3">
      <c r="C527" s="492"/>
    </row>
    <row r="528" spans="3:3" x14ac:dyDescent="0.3">
      <c r="C528" s="492"/>
    </row>
    <row r="529" spans="3:3" x14ac:dyDescent="0.3">
      <c r="C529" s="492"/>
    </row>
    <row r="530" spans="3:3" x14ac:dyDescent="0.3">
      <c r="C530" s="492"/>
    </row>
    <row r="531" spans="3:3" x14ac:dyDescent="0.3">
      <c r="C531" s="492"/>
    </row>
    <row r="532" spans="3:3" x14ac:dyDescent="0.3">
      <c r="C532" s="492"/>
    </row>
    <row r="533" spans="3:3" x14ac:dyDescent="0.3">
      <c r="C533" s="492"/>
    </row>
    <row r="534" spans="3:3" x14ac:dyDescent="0.3">
      <c r="C534" s="492"/>
    </row>
    <row r="535" spans="3:3" x14ac:dyDescent="0.3">
      <c r="C535" s="492"/>
    </row>
    <row r="536" spans="3:3" x14ac:dyDescent="0.3">
      <c r="C536" s="492"/>
    </row>
    <row r="537" spans="3:3" x14ac:dyDescent="0.3">
      <c r="C537" s="492"/>
    </row>
    <row r="538" spans="3:3" x14ac:dyDescent="0.3">
      <c r="C538" s="492"/>
    </row>
    <row r="539" spans="3:3" x14ac:dyDescent="0.3">
      <c r="C539" s="492"/>
    </row>
    <row r="540" spans="3:3" x14ac:dyDescent="0.3">
      <c r="C540" s="492"/>
    </row>
    <row r="541" spans="3:3" x14ac:dyDescent="0.3">
      <c r="C541" s="492"/>
    </row>
    <row r="542" spans="3:3" x14ac:dyDescent="0.3">
      <c r="C542" s="492"/>
    </row>
    <row r="543" spans="3:3" x14ac:dyDescent="0.3">
      <c r="C543" s="492"/>
    </row>
    <row r="544" spans="3:3" x14ac:dyDescent="0.3">
      <c r="C544" s="492"/>
    </row>
    <row r="545" spans="3:3" x14ac:dyDescent="0.3">
      <c r="C545" s="492"/>
    </row>
    <row r="546" spans="3:3" x14ac:dyDescent="0.3">
      <c r="C546" s="492"/>
    </row>
    <row r="547" spans="3:3" x14ac:dyDescent="0.3">
      <c r="C547" s="492"/>
    </row>
    <row r="548" spans="3:3" x14ac:dyDescent="0.3">
      <c r="C548" s="492"/>
    </row>
    <row r="549" spans="3:3" x14ac:dyDescent="0.3">
      <c r="C549" s="492"/>
    </row>
    <row r="550" spans="3:3" x14ac:dyDescent="0.3">
      <c r="C550" s="492"/>
    </row>
    <row r="551" spans="3:3" x14ac:dyDescent="0.3">
      <c r="C551" s="492"/>
    </row>
    <row r="552" spans="3:3" x14ac:dyDescent="0.3">
      <c r="C552" s="492"/>
    </row>
    <row r="553" spans="3:3" x14ac:dyDescent="0.3">
      <c r="C553" s="492"/>
    </row>
    <row r="554" spans="3:3" x14ac:dyDescent="0.3">
      <c r="C554" s="492"/>
    </row>
    <row r="555" spans="3:3" x14ac:dyDescent="0.3">
      <c r="C555" s="492"/>
    </row>
    <row r="556" spans="3:3" x14ac:dyDescent="0.3">
      <c r="C556" s="492"/>
    </row>
    <row r="557" spans="3:3" x14ac:dyDescent="0.3">
      <c r="C557" s="492"/>
    </row>
    <row r="558" spans="3:3" x14ac:dyDescent="0.3">
      <c r="C558" s="492"/>
    </row>
    <row r="559" spans="3:3" x14ac:dyDescent="0.3">
      <c r="C559" s="492"/>
    </row>
    <row r="560" spans="3:3" x14ac:dyDescent="0.3">
      <c r="C560" s="492"/>
    </row>
    <row r="561" spans="3:3" x14ac:dyDescent="0.3">
      <c r="C561" s="492"/>
    </row>
    <row r="562" spans="3:3" x14ac:dyDescent="0.3">
      <c r="C562" s="492"/>
    </row>
    <row r="563" spans="3:3" x14ac:dyDescent="0.3">
      <c r="C563" s="492"/>
    </row>
    <row r="564" spans="3:3" x14ac:dyDescent="0.3">
      <c r="C564" s="492"/>
    </row>
    <row r="565" spans="3:3" x14ac:dyDescent="0.3">
      <c r="C565" s="492"/>
    </row>
    <row r="566" spans="3:3" x14ac:dyDescent="0.3">
      <c r="C566" s="492"/>
    </row>
    <row r="567" spans="3:3" x14ac:dyDescent="0.3">
      <c r="C567" s="492"/>
    </row>
    <row r="568" spans="3:3" x14ac:dyDescent="0.3">
      <c r="C568" s="492"/>
    </row>
    <row r="569" spans="3:3" x14ac:dyDescent="0.3">
      <c r="C569" s="492"/>
    </row>
    <row r="570" spans="3:3" x14ac:dyDescent="0.3">
      <c r="C570" s="492"/>
    </row>
    <row r="571" spans="3:3" x14ac:dyDescent="0.3">
      <c r="C571" s="492"/>
    </row>
    <row r="572" spans="3:3" x14ac:dyDescent="0.3">
      <c r="C572" s="492"/>
    </row>
    <row r="573" spans="3:3" x14ac:dyDescent="0.3">
      <c r="C573" s="492"/>
    </row>
    <row r="574" spans="3:3" x14ac:dyDescent="0.3">
      <c r="C574" s="492"/>
    </row>
    <row r="575" spans="3:3" x14ac:dyDescent="0.3">
      <c r="C575" s="492"/>
    </row>
    <row r="576" spans="3:3" x14ac:dyDescent="0.3">
      <c r="C576" s="492"/>
    </row>
    <row r="577" spans="3:3" x14ac:dyDescent="0.3">
      <c r="C577" s="492"/>
    </row>
    <row r="578" spans="3:3" x14ac:dyDescent="0.3">
      <c r="C578" s="492"/>
    </row>
    <row r="579" spans="3:3" x14ac:dyDescent="0.3">
      <c r="C579" s="492"/>
    </row>
    <row r="580" spans="3:3" x14ac:dyDescent="0.3">
      <c r="C580" s="492"/>
    </row>
    <row r="581" spans="3:3" x14ac:dyDescent="0.3">
      <c r="C581" s="492"/>
    </row>
    <row r="582" spans="3:3" x14ac:dyDescent="0.3">
      <c r="C582" s="492"/>
    </row>
    <row r="583" spans="3:3" x14ac:dyDescent="0.3">
      <c r="C583" s="492"/>
    </row>
    <row r="584" spans="3:3" x14ac:dyDescent="0.3">
      <c r="C584" s="492"/>
    </row>
    <row r="585" spans="3:3" x14ac:dyDescent="0.3">
      <c r="C585" s="492"/>
    </row>
    <row r="586" spans="3:3" x14ac:dyDescent="0.3">
      <c r="C586" s="492"/>
    </row>
    <row r="587" spans="3:3" x14ac:dyDescent="0.3">
      <c r="C587" s="492"/>
    </row>
    <row r="588" spans="3:3" x14ac:dyDescent="0.3">
      <c r="C588" s="492"/>
    </row>
    <row r="589" spans="3:3" x14ac:dyDescent="0.3">
      <c r="C589" s="492"/>
    </row>
    <row r="590" spans="3:3" x14ac:dyDescent="0.3">
      <c r="C590" s="492"/>
    </row>
    <row r="591" spans="3:3" x14ac:dyDescent="0.3">
      <c r="C591" s="492"/>
    </row>
    <row r="592" spans="3:3" x14ac:dyDescent="0.3">
      <c r="C592" s="492"/>
    </row>
    <row r="593" spans="3:3" x14ac:dyDescent="0.3">
      <c r="C593" s="492"/>
    </row>
    <row r="594" spans="3:3" x14ac:dyDescent="0.3">
      <c r="C594" s="492"/>
    </row>
    <row r="595" spans="3:3" x14ac:dyDescent="0.3">
      <c r="C595" s="492"/>
    </row>
    <row r="596" spans="3:3" x14ac:dyDescent="0.3">
      <c r="C596" s="492"/>
    </row>
    <row r="597" spans="3:3" x14ac:dyDescent="0.3">
      <c r="C597" s="492"/>
    </row>
    <row r="598" spans="3:3" x14ac:dyDescent="0.3">
      <c r="C598" s="492"/>
    </row>
    <row r="599" spans="3:3" x14ac:dyDescent="0.3">
      <c r="C599" s="492"/>
    </row>
    <row r="600" spans="3:3" x14ac:dyDescent="0.3">
      <c r="C600" s="492"/>
    </row>
    <row r="601" spans="3:3" x14ac:dyDescent="0.3">
      <c r="C601" s="492"/>
    </row>
    <row r="602" spans="3:3" x14ac:dyDescent="0.3">
      <c r="C602" s="492"/>
    </row>
    <row r="603" spans="3:3" x14ac:dyDescent="0.3">
      <c r="C603" s="492"/>
    </row>
    <row r="604" spans="3:3" x14ac:dyDescent="0.3">
      <c r="C604" s="492"/>
    </row>
    <row r="605" spans="3:3" x14ac:dyDescent="0.3">
      <c r="C605" s="492"/>
    </row>
    <row r="606" spans="3:3" x14ac:dyDescent="0.3">
      <c r="C606" s="492"/>
    </row>
    <row r="607" spans="3:3" x14ac:dyDescent="0.3">
      <c r="C607" s="492"/>
    </row>
    <row r="608" spans="3:3" x14ac:dyDescent="0.3">
      <c r="C608" s="492"/>
    </row>
    <row r="609" spans="3:3" x14ac:dyDescent="0.3">
      <c r="C609" s="492"/>
    </row>
    <row r="610" spans="3:3" x14ac:dyDescent="0.3">
      <c r="C610" s="492"/>
    </row>
    <row r="611" spans="3:3" x14ac:dyDescent="0.3">
      <c r="C611" s="492"/>
    </row>
    <row r="612" spans="3:3" x14ac:dyDescent="0.3">
      <c r="C612" s="492"/>
    </row>
    <row r="613" spans="3:3" x14ac:dyDescent="0.3">
      <c r="C613" s="492"/>
    </row>
    <row r="614" spans="3:3" x14ac:dyDescent="0.3">
      <c r="C614" s="492"/>
    </row>
    <row r="615" spans="3:3" x14ac:dyDescent="0.3">
      <c r="C615" s="492"/>
    </row>
    <row r="616" spans="3:3" x14ac:dyDescent="0.3">
      <c r="C616" s="492"/>
    </row>
    <row r="617" spans="3:3" x14ac:dyDescent="0.3">
      <c r="C617" s="492"/>
    </row>
    <row r="618" spans="3:3" x14ac:dyDescent="0.3">
      <c r="C618" s="492"/>
    </row>
    <row r="619" spans="3:3" x14ac:dyDescent="0.3">
      <c r="C619" s="492"/>
    </row>
    <row r="620" spans="3:3" x14ac:dyDescent="0.3">
      <c r="C620" s="492"/>
    </row>
    <row r="621" spans="3:3" x14ac:dyDescent="0.3">
      <c r="C621" s="492"/>
    </row>
    <row r="622" spans="3:3" x14ac:dyDescent="0.3">
      <c r="C622" s="492"/>
    </row>
    <row r="623" spans="3:3" x14ac:dyDescent="0.3">
      <c r="C623" s="492"/>
    </row>
    <row r="624" spans="3:3" x14ac:dyDescent="0.3">
      <c r="C624" s="492"/>
    </row>
    <row r="625" spans="3:3" x14ac:dyDescent="0.3">
      <c r="C625" s="492"/>
    </row>
    <row r="626" spans="3:3" x14ac:dyDescent="0.3">
      <c r="C626" s="492"/>
    </row>
    <row r="627" spans="3:3" x14ac:dyDescent="0.3">
      <c r="C627" s="492"/>
    </row>
    <row r="628" spans="3:3" x14ac:dyDescent="0.3">
      <c r="C628" s="492"/>
    </row>
    <row r="629" spans="3:3" x14ac:dyDescent="0.3">
      <c r="C629" s="492"/>
    </row>
    <row r="630" spans="3:3" x14ac:dyDescent="0.3">
      <c r="C630" s="492"/>
    </row>
    <row r="631" spans="3:3" x14ac:dyDescent="0.3">
      <c r="C631" s="492"/>
    </row>
    <row r="632" spans="3:3" x14ac:dyDescent="0.3">
      <c r="C632" s="492"/>
    </row>
    <row r="633" spans="3:3" x14ac:dyDescent="0.3">
      <c r="C633" s="492"/>
    </row>
    <row r="634" spans="3:3" x14ac:dyDescent="0.3">
      <c r="C634" s="492"/>
    </row>
    <row r="635" spans="3:3" x14ac:dyDescent="0.3">
      <c r="C635" s="492"/>
    </row>
    <row r="636" spans="3:3" x14ac:dyDescent="0.3">
      <c r="C636" s="492"/>
    </row>
    <row r="637" spans="3:3" x14ac:dyDescent="0.3">
      <c r="C637" s="492"/>
    </row>
    <row r="638" spans="3:3" x14ac:dyDescent="0.3">
      <c r="C638" s="492"/>
    </row>
    <row r="639" spans="3:3" x14ac:dyDescent="0.3">
      <c r="C639" s="492"/>
    </row>
    <row r="640" spans="3:3" x14ac:dyDescent="0.3">
      <c r="C640" s="492"/>
    </row>
    <row r="641" spans="3:3" x14ac:dyDescent="0.3">
      <c r="C641" s="492"/>
    </row>
    <row r="642" spans="3:3" x14ac:dyDescent="0.3">
      <c r="C642" s="492"/>
    </row>
    <row r="643" spans="3:3" x14ac:dyDescent="0.3">
      <c r="C643" s="492"/>
    </row>
    <row r="644" spans="3:3" x14ac:dyDescent="0.3">
      <c r="C644" s="492"/>
    </row>
    <row r="645" spans="3:3" x14ac:dyDescent="0.3">
      <c r="C645" s="492"/>
    </row>
    <row r="646" spans="3:3" x14ac:dyDescent="0.3">
      <c r="C646" s="492"/>
    </row>
    <row r="647" spans="3:3" x14ac:dyDescent="0.3">
      <c r="C647" s="492"/>
    </row>
    <row r="648" spans="3:3" x14ac:dyDescent="0.3">
      <c r="C648" s="492"/>
    </row>
    <row r="649" spans="3:3" x14ac:dyDescent="0.3">
      <c r="C649" s="492"/>
    </row>
    <row r="650" spans="3:3" x14ac:dyDescent="0.3">
      <c r="C650" s="492"/>
    </row>
    <row r="651" spans="3:3" x14ac:dyDescent="0.3">
      <c r="C651" s="492"/>
    </row>
    <row r="652" spans="3:3" x14ac:dyDescent="0.3">
      <c r="C652" s="492"/>
    </row>
    <row r="653" spans="3:3" x14ac:dyDescent="0.3">
      <c r="C653" s="492"/>
    </row>
    <row r="654" spans="3:3" x14ac:dyDescent="0.3">
      <c r="C654" s="492"/>
    </row>
    <row r="655" spans="3:3" x14ac:dyDescent="0.3">
      <c r="C655" s="492"/>
    </row>
    <row r="656" spans="3:3" x14ac:dyDescent="0.3">
      <c r="C656" s="492"/>
    </row>
    <row r="657" spans="3:3" x14ac:dyDescent="0.3">
      <c r="C657" s="492"/>
    </row>
    <row r="658" spans="3:3" x14ac:dyDescent="0.3">
      <c r="C658" s="492"/>
    </row>
    <row r="659" spans="3:3" x14ac:dyDescent="0.3">
      <c r="C659" s="492"/>
    </row>
    <row r="660" spans="3:3" x14ac:dyDescent="0.3">
      <c r="C660" s="492"/>
    </row>
    <row r="661" spans="3:3" x14ac:dyDescent="0.3">
      <c r="C661" s="492"/>
    </row>
    <row r="662" spans="3:3" x14ac:dyDescent="0.3">
      <c r="C662" s="492"/>
    </row>
    <row r="663" spans="3:3" x14ac:dyDescent="0.3">
      <c r="C663" s="492"/>
    </row>
    <row r="664" spans="3:3" x14ac:dyDescent="0.3">
      <c r="C664" s="492"/>
    </row>
    <row r="665" spans="3:3" x14ac:dyDescent="0.3">
      <c r="C665" s="492"/>
    </row>
    <row r="666" spans="3:3" x14ac:dyDescent="0.3">
      <c r="C666" s="492"/>
    </row>
    <row r="667" spans="3:3" x14ac:dyDescent="0.3">
      <c r="C667" s="492"/>
    </row>
    <row r="668" spans="3:3" x14ac:dyDescent="0.3">
      <c r="C668" s="492"/>
    </row>
    <row r="669" spans="3:3" x14ac:dyDescent="0.3">
      <c r="C669" s="492"/>
    </row>
    <row r="670" spans="3:3" x14ac:dyDescent="0.3">
      <c r="C670" s="492"/>
    </row>
    <row r="671" spans="3:3" x14ac:dyDescent="0.3">
      <c r="C671" s="492"/>
    </row>
    <row r="672" spans="3:3" x14ac:dyDescent="0.3">
      <c r="C672" s="492"/>
    </row>
    <row r="673" spans="3:3" x14ac:dyDescent="0.3">
      <c r="C673" s="492"/>
    </row>
    <row r="674" spans="3:3" x14ac:dyDescent="0.3">
      <c r="C674" s="492"/>
    </row>
    <row r="675" spans="3:3" x14ac:dyDescent="0.3">
      <c r="C675" s="492"/>
    </row>
    <row r="676" spans="3:3" x14ac:dyDescent="0.3">
      <c r="C676" s="492"/>
    </row>
    <row r="677" spans="3:3" x14ac:dyDescent="0.3">
      <c r="C677" s="492"/>
    </row>
    <row r="678" spans="3:3" x14ac:dyDescent="0.3">
      <c r="C678" s="492"/>
    </row>
    <row r="679" spans="3:3" x14ac:dyDescent="0.3">
      <c r="C679" s="492"/>
    </row>
    <row r="680" spans="3:3" x14ac:dyDescent="0.3">
      <c r="C680" s="492"/>
    </row>
    <row r="681" spans="3:3" x14ac:dyDescent="0.3">
      <c r="C681" s="492"/>
    </row>
    <row r="682" spans="3:3" x14ac:dyDescent="0.3">
      <c r="C682" s="492"/>
    </row>
    <row r="683" spans="3:3" x14ac:dyDescent="0.3">
      <c r="C683" s="492"/>
    </row>
    <row r="684" spans="3:3" x14ac:dyDescent="0.3">
      <c r="C684" s="492"/>
    </row>
    <row r="685" spans="3:3" x14ac:dyDescent="0.3">
      <c r="C685" s="492"/>
    </row>
    <row r="686" spans="3:3" x14ac:dyDescent="0.3">
      <c r="C686" s="492"/>
    </row>
    <row r="687" spans="3:3" x14ac:dyDescent="0.3">
      <c r="C687" s="492"/>
    </row>
    <row r="688" spans="3:3" x14ac:dyDescent="0.3">
      <c r="C688" s="492"/>
    </row>
    <row r="689" spans="3:3" x14ac:dyDescent="0.3">
      <c r="C689" s="492"/>
    </row>
    <row r="690" spans="3:3" x14ac:dyDescent="0.3">
      <c r="C690" s="492"/>
    </row>
    <row r="691" spans="3:3" x14ac:dyDescent="0.3">
      <c r="C691" s="492"/>
    </row>
    <row r="692" spans="3:3" x14ac:dyDescent="0.3">
      <c r="C692" s="492"/>
    </row>
    <row r="693" spans="3:3" x14ac:dyDescent="0.3">
      <c r="C693" s="492"/>
    </row>
    <row r="694" spans="3:3" x14ac:dyDescent="0.3">
      <c r="C694" s="492"/>
    </row>
    <row r="695" spans="3:3" x14ac:dyDescent="0.3">
      <c r="C695" s="492"/>
    </row>
    <row r="696" spans="3:3" x14ac:dyDescent="0.3">
      <c r="C696" s="492"/>
    </row>
    <row r="697" spans="3:3" x14ac:dyDescent="0.3">
      <c r="C697" s="492"/>
    </row>
    <row r="698" spans="3:3" x14ac:dyDescent="0.3">
      <c r="C698" s="492"/>
    </row>
    <row r="699" spans="3:3" x14ac:dyDescent="0.3">
      <c r="C699" s="492"/>
    </row>
    <row r="700" spans="3:3" x14ac:dyDescent="0.3">
      <c r="C700" s="492"/>
    </row>
    <row r="701" spans="3:3" x14ac:dyDescent="0.3">
      <c r="C701" s="492"/>
    </row>
    <row r="702" spans="3:3" x14ac:dyDescent="0.3">
      <c r="C702" s="492"/>
    </row>
    <row r="703" spans="3:3" x14ac:dyDescent="0.3">
      <c r="C703" s="492"/>
    </row>
    <row r="704" spans="3:3" x14ac:dyDescent="0.3">
      <c r="C704" s="492"/>
    </row>
    <row r="705" spans="3:3" x14ac:dyDescent="0.3">
      <c r="C705" s="492"/>
    </row>
    <row r="706" spans="3:3" x14ac:dyDescent="0.3">
      <c r="C706" s="492"/>
    </row>
    <row r="707" spans="3:3" x14ac:dyDescent="0.3">
      <c r="C707" s="492"/>
    </row>
    <row r="708" spans="3:3" x14ac:dyDescent="0.3">
      <c r="C708" s="492"/>
    </row>
    <row r="709" spans="3:3" x14ac:dyDescent="0.3">
      <c r="C709" s="492"/>
    </row>
    <row r="710" spans="3:3" x14ac:dyDescent="0.3">
      <c r="C710" s="492"/>
    </row>
    <row r="711" spans="3:3" x14ac:dyDescent="0.3">
      <c r="C711" s="492"/>
    </row>
    <row r="712" spans="3:3" x14ac:dyDescent="0.3">
      <c r="C712" s="492"/>
    </row>
    <row r="713" spans="3:3" x14ac:dyDescent="0.3">
      <c r="C713" s="492"/>
    </row>
    <row r="714" spans="3:3" x14ac:dyDescent="0.3">
      <c r="C714" s="492"/>
    </row>
    <row r="715" spans="3:3" x14ac:dyDescent="0.3">
      <c r="C715" s="492"/>
    </row>
    <row r="716" spans="3:3" x14ac:dyDescent="0.3">
      <c r="C716" s="492"/>
    </row>
    <row r="717" spans="3:3" x14ac:dyDescent="0.3">
      <c r="C717" s="492"/>
    </row>
    <row r="718" spans="3:3" x14ac:dyDescent="0.3">
      <c r="C718" s="492"/>
    </row>
    <row r="719" spans="3:3" x14ac:dyDescent="0.3">
      <c r="C719" s="492"/>
    </row>
    <row r="720" spans="3:3" x14ac:dyDescent="0.3">
      <c r="C720" s="492"/>
    </row>
    <row r="721" spans="3:3" x14ac:dyDescent="0.3">
      <c r="C721" s="492"/>
    </row>
    <row r="722" spans="3:3" x14ac:dyDescent="0.3">
      <c r="C722" s="492"/>
    </row>
    <row r="723" spans="3:3" x14ac:dyDescent="0.3">
      <c r="C723" s="492"/>
    </row>
    <row r="724" spans="3:3" x14ac:dyDescent="0.3">
      <c r="C724" s="492"/>
    </row>
    <row r="725" spans="3:3" x14ac:dyDescent="0.3">
      <c r="C725" s="492"/>
    </row>
    <row r="726" spans="3:3" x14ac:dyDescent="0.3">
      <c r="C726" s="492"/>
    </row>
    <row r="727" spans="3:3" x14ac:dyDescent="0.3">
      <c r="C727" s="492"/>
    </row>
    <row r="728" spans="3:3" x14ac:dyDescent="0.3">
      <c r="C728" s="492"/>
    </row>
    <row r="729" spans="3:3" x14ac:dyDescent="0.3">
      <c r="C729" s="492"/>
    </row>
    <row r="730" spans="3:3" x14ac:dyDescent="0.3">
      <c r="C730" s="492"/>
    </row>
    <row r="731" spans="3:3" x14ac:dyDescent="0.3">
      <c r="C731" s="492"/>
    </row>
    <row r="732" spans="3:3" x14ac:dyDescent="0.3">
      <c r="C732" s="492"/>
    </row>
    <row r="733" spans="3:3" x14ac:dyDescent="0.3">
      <c r="C733" s="492"/>
    </row>
    <row r="734" spans="3:3" x14ac:dyDescent="0.3">
      <c r="C734" s="492"/>
    </row>
    <row r="735" spans="3:3" x14ac:dyDescent="0.3">
      <c r="C735" s="492"/>
    </row>
    <row r="736" spans="3:3" x14ac:dyDescent="0.3">
      <c r="C736" s="492"/>
    </row>
    <row r="737" spans="3:3" x14ac:dyDescent="0.3">
      <c r="C737" s="492"/>
    </row>
    <row r="738" spans="3:3" x14ac:dyDescent="0.3">
      <c r="C738" s="492"/>
    </row>
    <row r="739" spans="3:3" x14ac:dyDescent="0.3">
      <c r="C739" s="492"/>
    </row>
    <row r="740" spans="3:3" x14ac:dyDescent="0.3">
      <c r="C740" s="492"/>
    </row>
    <row r="741" spans="3:3" x14ac:dyDescent="0.3">
      <c r="C741" s="492"/>
    </row>
    <row r="742" spans="3:3" x14ac:dyDescent="0.3">
      <c r="C742" s="492"/>
    </row>
    <row r="743" spans="3:3" x14ac:dyDescent="0.3">
      <c r="C743" s="492"/>
    </row>
    <row r="744" spans="3:3" x14ac:dyDescent="0.3">
      <c r="C744" s="492"/>
    </row>
    <row r="745" spans="3:3" x14ac:dyDescent="0.3">
      <c r="C745" s="492"/>
    </row>
    <row r="746" spans="3:3" x14ac:dyDescent="0.3">
      <c r="C746" s="492"/>
    </row>
    <row r="747" spans="3:3" x14ac:dyDescent="0.3">
      <c r="C747" s="492"/>
    </row>
    <row r="748" spans="3:3" x14ac:dyDescent="0.3">
      <c r="C748" s="492"/>
    </row>
    <row r="749" spans="3:3" x14ac:dyDescent="0.3">
      <c r="C749" s="492"/>
    </row>
    <row r="750" spans="3:3" x14ac:dyDescent="0.3">
      <c r="C750" s="492"/>
    </row>
    <row r="751" spans="3:3" x14ac:dyDescent="0.3">
      <c r="C751" s="492"/>
    </row>
    <row r="752" spans="3:3" x14ac:dyDescent="0.3">
      <c r="C752" s="492"/>
    </row>
    <row r="753" spans="3:3" x14ac:dyDescent="0.3">
      <c r="C753" s="492"/>
    </row>
    <row r="754" spans="3:3" x14ac:dyDescent="0.3">
      <c r="C754" s="492"/>
    </row>
    <row r="755" spans="3:3" x14ac:dyDescent="0.3">
      <c r="C755" s="492"/>
    </row>
    <row r="756" spans="3:3" x14ac:dyDescent="0.3">
      <c r="C756" s="492"/>
    </row>
    <row r="757" spans="3:3" x14ac:dyDescent="0.3">
      <c r="C757" s="492"/>
    </row>
    <row r="758" spans="3:3" x14ac:dyDescent="0.3">
      <c r="C758" s="492"/>
    </row>
    <row r="759" spans="3:3" x14ac:dyDescent="0.3">
      <c r="C759" s="492"/>
    </row>
    <row r="760" spans="3:3" x14ac:dyDescent="0.3">
      <c r="C760" s="492"/>
    </row>
    <row r="761" spans="3:3" x14ac:dyDescent="0.3">
      <c r="C761" s="492"/>
    </row>
    <row r="762" spans="3:3" x14ac:dyDescent="0.3">
      <c r="C762" s="492"/>
    </row>
    <row r="763" spans="3:3" x14ac:dyDescent="0.3">
      <c r="C763" s="492"/>
    </row>
    <row r="764" spans="3:3" x14ac:dyDescent="0.3">
      <c r="C764" s="492"/>
    </row>
    <row r="765" spans="3:3" x14ac:dyDescent="0.3">
      <c r="C765" s="492"/>
    </row>
    <row r="766" spans="3:3" x14ac:dyDescent="0.3">
      <c r="C766" s="492"/>
    </row>
    <row r="767" spans="3:3" x14ac:dyDescent="0.3">
      <c r="C767" s="492"/>
    </row>
    <row r="768" spans="3:3" x14ac:dyDescent="0.3">
      <c r="C768" s="492"/>
    </row>
    <row r="769" spans="3:3" x14ac:dyDescent="0.3">
      <c r="C769" s="492"/>
    </row>
    <row r="770" spans="3:3" x14ac:dyDescent="0.3">
      <c r="C770" s="492"/>
    </row>
    <row r="771" spans="3:3" x14ac:dyDescent="0.3">
      <c r="C771" s="492"/>
    </row>
    <row r="772" spans="3:3" x14ac:dyDescent="0.3">
      <c r="C772" s="492"/>
    </row>
    <row r="773" spans="3:3" x14ac:dyDescent="0.3">
      <c r="C773" s="492"/>
    </row>
    <row r="774" spans="3:3" x14ac:dyDescent="0.3">
      <c r="C774" s="492"/>
    </row>
    <row r="775" spans="3:3" x14ac:dyDescent="0.3">
      <c r="C775" s="492"/>
    </row>
    <row r="776" spans="3:3" x14ac:dyDescent="0.3">
      <c r="C776" s="492"/>
    </row>
    <row r="777" spans="3:3" x14ac:dyDescent="0.3">
      <c r="C777" s="492"/>
    </row>
    <row r="778" spans="3:3" x14ac:dyDescent="0.3">
      <c r="C778" s="492"/>
    </row>
    <row r="779" spans="3:3" x14ac:dyDescent="0.3">
      <c r="C779" s="492"/>
    </row>
    <row r="780" spans="3:3" x14ac:dyDescent="0.3">
      <c r="C780" s="492"/>
    </row>
    <row r="781" spans="3:3" x14ac:dyDescent="0.3">
      <c r="C781" s="492"/>
    </row>
    <row r="782" spans="3:3" x14ac:dyDescent="0.3">
      <c r="C782" s="492"/>
    </row>
    <row r="783" spans="3:3" x14ac:dyDescent="0.3">
      <c r="C783" s="492"/>
    </row>
    <row r="784" spans="3:3" x14ac:dyDescent="0.3">
      <c r="C784" s="492"/>
    </row>
    <row r="785" spans="3:3" x14ac:dyDescent="0.3">
      <c r="C785" s="492"/>
    </row>
    <row r="786" spans="3:3" x14ac:dyDescent="0.3">
      <c r="C786" s="492"/>
    </row>
    <row r="787" spans="3:3" x14ac:dyDescent="0.3">
      <c r="C787" s="492"/>
    </row>
    <row r="788" spans="3:3" x14ac:dyDescent="0.3">
      <c r="C788" s="492"/>
    </row>
    <row r="789" spans="3:3" x14ac:dyDescent="0.3">
      <c r="C789" s="492"/>
    </row>
    <row r="790" spans="3:3" x14ac:dyDescent="0.3">
      <c r="C790" s="492"/>
    </row>
    <row r="791" spans="3:3" x14ac:dyDescent="0.3">
      <c r="C791" s="492"/>
    </row>
    <row r="792" spans="3:3" x14ac:dyDescent="0.3">
      <c r="C792" s="492"/>
    </row>
    <row r="793" spans="3:3" x14ac:dyDescent="0.3">
      <c r="C793" s="492"/>
    </row>
    <row r="794" spans="3:3" x14ac:dyDescent="0.3">
      <c r="C794" s="492"/>
    </row>
    <row r="795" spans="3:3" x14ac:dyDescent="0.3">
      <c r="C795" s="492"/>
    </row>
    <row r="796" spans="3:3" x14ac:dyDescent="0.3">
      <c r="C796" s="492"/>
    </row>
    <row r="797" spans="3:3" x14ac:dyDescent="0.3">
      <c r="C797" s="492"/>
    </row>
    <row r="798" spans="3:3" x14ac:dyDescent="0.3">
      <c r="C798" s="492"/>
    </row>
    <row r="799" spans="3:3" x14ac:dyDescent="0.3">
      <c r="C799" s="492"/>
    </row>
    <row r="800" spans="3:3" x14ac:dyDescent="0.3">
      <c r="C800" s="492"/>
    </row>
    <row r="801" spans="3:3" x14ac:dyDescent="0.3">
      <c r="C801" s="492"/>
    </row>
    <row r="802" spans="3:3" x14ac:dyDescent="0.3">
      <c r="C802" s="492"/>
    </row>
    <row r="803" spans="3:3" x14ac:dyDescent="0.3">
      <c r="C803" s="492"/>
    </row>
    <row r="804" spans="3:3" x14ac:dyDescent="0.3">
      <c r="C804" s="492"/>
    </row>
    <row r="805" spans="3:3" x14ac:dyDescent="0.3">
      <c r="C805" s="492"/>
    </row>
    <row r="806" spans="3:3" x14ac:dyDescent="0.3">
      <c r="C806" s="492"/>
    </row>
    <row r="807" spans="3:3" x14ac:dyDescent="0.3">
      <c r="C807" s="492"/>
    </row>
    <row r="808" spans="3:3" x14ac:dyDescent="0.3">
      <c r="C808" s="492"/>
    </row>
    <row r="809" spans="3:3" x14ac:dyDescent="0.3">
      <c r="C809" s="492"/>
    </row>
    <row r="810" spans="3:3" x14ac:dyDescent="0.3">
      <c r="C810" s="492"/>
    </row>
    <row r="811" spans="3:3" x14ac:dyDescent="0.3">
      <c r="C811" s="492"/>
    </row>
    <row r="812" spans="3:3" x14ac:dyDescent="0.3">
      <c r="C812" s="492"/>
    </row>
    <row r="813" spans="3:3" x14ac:dyDescent="0.3">
      <c r="C813" s="492"/>
    </row>
    <row r="814" spans="3:3" x14ac:dyDescent="0.3">
      <c r="C814" s="492"/>
    </row>
    <row r="815" spans="3:3" x14ac:dyDescent="0.3">
      <c r="C815" s="492"/>
    </row>
    <row r="816" spans="3:3" x14ac:dyDescent="0.3">
      <c r="C816" s="492"/>
    </row>
    <row r="817" spans="3:3" x14ac:dyDescent="0.3">
      <c r="C817" s="492"/>
    </row>
    <row r="818" spans="3:3" x14ac:dyDescent="0.3">
      <c r="C818" s="492"/>
    </row>
    <row r="819" spans="3:3" x14ac:dyDescent="0.3">
      <c r="C819" s="492"/>
    </row>
    <row r="820" spans="3:3" x14ac:dyDescent="0.3">
      <c r="C820" s="492"/>
    </row>
    <row r="821" spans="3:3" x14ac:dyDescent="0.3">
      <c r="C821" s="492"/>
    </row>
    <row r="822" spans="3:3" x14ac:dyDescent="0.3">
      <c r="C822" s="492"/>
    </row>
    <row r="823" spans="3:3" x14ac:dyDescent="0.3">
      <c r="C823" s="492"/>
    </row>
    <row r="824" spans="3:3" x14ac:dyDescent="0.3">
      <c r="C824" s="492"/>
    </row>
  </sheetData>
  <sheetProtection algorithmName="SHA-512" hashValue="IV/0eH+ZTVz94IwEf4qXKhyOMPyLE5Uzev91gPIqiOcRTtgnFeNNjh6Y8FBTzxPxPMPN+rwjEHK4xIYYUdcxvg==" saltValue="SBjolu51T85sFcGimhMpvQ==" spinCount="100000" sheet="1" objects="1" scenarios="1"/>
  <autoFilter ref="A1:B490" xr:uid="{DA085A03-4878-4426-A2CC-5DD7C004193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21.33203125" bestFit="1" customWidth="1"/>
    <col min="2" max="2" width="59.6640625" bestFit="1" customWidth="1"/>
    <col min="3" max="3" width="31.33203125" bestFit="1" customWidth="1"/>
    <col min="4" max="4" width="89" customWidth="1"/>
    <col min="5" max="5" width="35.88671875" customWidth="1"/>
    <col min="6" max="6" width="26.6640625" customWidth="1"/>
    <col min="7" max="7" width="44.33203125" bestFit="1" customWidth="1"/>
  </cols>
  <sheetData>
    <row r="1" spans="1:7" x14ac:dyDescent="0.3">
      <c r="A1" t="s">
        <v>3061</v>
      </c>
      <c r="B1" t="str">
        <f>template_reporting_period_startdate &amp; " - " &amp; template_reporting_period_enddate</f>
        <v>- - -</v>
      </c>
      <c r="C1" t="s">
        <v>4359</v>
      </c>
      <c r="D1" t="s">
        <v>3555</v>
      </c>
      <c r="E1" t="s">
        <v>3556</v>
      </c>
      <c r="F1" t="s">
        <v>3557</v>
      </c>
      <c r="G1" t="s">
        <v>3558</v>
      </c>
    </row>
    <row r="2" spans="1:7" ht="13.95" customHeight="1" x14ac:dyDescent="0.3">
      <c r="A2" t="s">
        <v>4373</v>
      </c>
      <c r="B2" t="str">
        <f>template_reporting_period_startdate</f>
        <v>-</v>
      </c>
      <c r="C2" t="s">
        <v>4374</v>
      </c>
      <c r="D2" s="314" t="str">
        <f>IF(AND('General Information'!$H$449=TRUE, 'General Information'!D450&lt;&gt;"", 'General Information'!E450&lt;&gt;"", 'General Information'!F450&lt;&gt;"", 'General Information'!G450&lt;&gt;""), _xlfn.WEBSERVICE("https://nominatim.openstreetmap.org/search?q=" &amp; 'General Information'!K450 &amp; "&amp;format=json&amp;polygon=1&amp;addressdetails=1"), "")</f>
        <v/>
      </c>
      <c r="E2" s="315" t="e">
        <f t="shared" ref="E2:E26" si="0">MID(D2,SEARCH("""lat"":""",D2)+7,SEARCH("""lon"":""",D2)-SEARCH("""lat"":""",D2)-9)</f>
        <v>#VALUE!</v>
      </c>
      <c r="F2" s="315" t="e">
        <f t="shared" ref="F2:F26" si="1">MID(D2, SEARCH("""lon"":""", D2) + 7, SEARCH("""class""", D2) - SEARCH("""lon"":""", D2) - 9)</f>
        <v>#VALUE!</v>
      </c>
      <c r="G2" t="e">
        <f t="shared" ref="G2:G26" si="2">E2 &amp; "," &amp; F2</f>
        <v>#VALUE!</v>
      </c>
    </row>
    <row r="3" spans="1:7" ht="15.6" customHeight="1" x14ac:dyDescent="0.3">
      <c r="A3" t="s">
        <v>3062</v>
      </c>
      <c r="B3" t="str">
        <f>template_reporting_period_enddate</f>
        <v>-</v>
      </c>
      <c r="C3" t="s">
        <v>4358</v>
      </c>
      <c r="D3" s="314" t="str">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t="e">
        <f t="shared" si="0"/>
        <v>#VALUE!</v>
      </c>
      <c r="F3" s="315" t="e">
        <f t="shared" si="1"/>
        <v>#VALUE!</v>
      </c>
      <c r="G3" t="e">
        <f t="shared" si="2"/>
        <v>#VALUE!</v>
      </c>
    </row>
    <row r="4" spans="1:7" x14ac:dyDescent="0.3">
      <c r="D4" s="314" t="str">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t="e">
        <f t="shared" si="0"/>
        <v>#VALUE!</v>
      </c>
      <c r="F4" s="315" t="e">
        <f t="shared" si="1"/>
        <v>#VALUE!</v>
      </c>
      <c r="G4" t="e">
        <f t="shared" si="2"/>
        <v>#VALUE!</v>
      </c>
    </row>
    <row r="5" spans="1:7" x14ac:dyDescent="0.3">
      <c r="D5" s="314" t="str">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t="e">
        <f t="shared" si="0"/>
        <v>#VALUE!</v>
      </c>
      <c r="F5" s="315" t="e">
        <f t="shared" si="1"/>
        <v>#VALUE!</v>
      </c>
      <c r="G5" t="e">
        <f t="shared" si="2"/>
        <v>#VALUE!</v>
      </c>
    </row>
    <row r="6" spans="1:7" x14ac:dyDescent="0.3">
      <c r="D6" s="314" t="str">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t="e">
        <f t="shared" si="0"/>
        <v>#VALUE!</v>
      </c>
      <c r="F6" s="315" t="e">
        <f t="shared" si="1"/>
        <v>#VALUE!</v>
      </c>
      <c r="G6" t="e">
        <f t="shared" si="2"/>
        <v>#VALUE!</v>
      </c>
    </row>
    <row r="7" spans="1:7" x14ac:dyDescent="0.3">
      <c r="D7" s="314" t="str">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t="e">
        <f t="shared" si="0"/>
        <v>#VALUE!</v>
      </c>
      <c r="F7" s="315" t="e">
        <f t="shared" si="1"/>
        <v>#VALUE!</v>
      </c>
      <c r="G7" t="e">
        <f t="shared" si="2"/>
        <v>#VALUE!</v>
      </c>
    </row>
    <row r="8" spans="1:7" x14ac:dyDescent="0.3">
      <c r="D8" s="314" t="str">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t="e">
        <f t="shared" si="0"/>
        <v>#VALUE!</v>
      </c>
      <c r="F8" s="315" t="e">
        <f t="shared" si="1"/>
        <v>#VALUE!</v>
      </c>
      <c r="G8" t="e">
        <f t="shared" si="2"/>
        <v>#VALUE!</v>
      </c>
    </row>
    <row r="9" spans="1:7" x14ac:dyDescent="0.3">
      <c r="D9" s="314" t="str">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t="e">
        <f t="shared" si="0"/>
        <v>#VALUE!</v>
      </c>
      <c r="F9" s="315" t="e">
        <f t="shared" si="1"/>
        <v>#VALUE!</v>
      </c>
      <c r="G9" t="e">
        <f t="shared" si="2"/>
        <v>#VALUE!</v>
      </c>
    </row>
    <row r="10" spans="1:7" x14ac:dyDescent="0.3">
      <c r="D10" s="314" t="str">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t="e">
        <f t="shared" si="0"/>
        <v>#VALUE!</v>
      </c>
      <c r="F10" s="315" t="e">
        <f t="shared" si="1"/>
        <v>#VALUE!</v>
      </c>
      <c r="G10" t="e">
        <f t="shared" si="2"/>
        <v>#VALUE!</v>
      </c>
    </row>
    <row r="11" spans="1:7" x14ac:dyDescent="0.3">
      <c r="D11" s="314" t="str">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t="e">
        <f t="shared" si="0"/>
        <v>#VALUE!</v>
      </c>
      <c r="F11" s="315" t="e">
        <f t="shared" si="1"/>
        <v>#VALUE!</v>
      </c>
      <c r="G11" t="e">
        <f t="shared" si="2"/>
        <v>#VALUE!</v>
      </c>
    </row>
    <row r="12" spans="1:7" x14ac:dyDescent="0.3">
      <c r="D12" s="314" t="str">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t="e">
        <f t="shared" si="0"/>
        <v>#VALUE!</v>
      </c>
      <c r="F12" s="315" t="e">
        <f t="shared" si="1"/>
        <v>#VALUE!</v>
      </c>
      <c r="G12" t="e">
        <f t="shared" si="2"/>
        <v>#VALUE!</v>
      </c>
    </row>
    <row r="13" spans="1:7" x14ac:dyDescent="0.3">
      <c r="D13" s="314" t="str">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t="e">
        <f t="shared" si="0"/>
        <v>#VALUE!</v>
      </c>
      <c r="F13" s="315" t="e">
        <f t="shared" si="1"/>
        <v>#VALUE!</v>
      </c>
      <c r="G13" t="e">
        <f t="shared" si="2"/>
        <v>#VALUE!</v>
      </c>
    </row>
    <row r="14" spans="1:7" x14ac:dyDescent="0.3">
      <c r="D14" s="314" t="str">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t="e">
        <f t="shared" si="0"/>
        <v>#VALUE!</v>
      </c>
      <c r="F14" s="315" t="e">
        <f t="shared" si="1"/>
        <v>#VALUE!</v>
      </c>
      <c r="G14" t="e">
        <f t="shared" si="2"/>
        <v>#VALUE!</v>
      </c>
    </row>
    <row r="15" spans="1:7" x14ac:dyDescent="0.3">
      <c r="D15" s="314" t="str">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t="e">
        <f t="shared" si="0"/>
        <v>#VALUE!</v>
      </c>
      <c r="F15" s="315" t="e">
        <f t="shared" si="1"/>
        <v>#VALUE!</v>
      </c>
      <c r="G15" t="e">
        <f t="shared" si="2"/>
        <v>#VALUE!</v>
      </c>
    </row>
    <row r="16" spans="1:7" x14ac:dyDescent="0.3">
      <c r="D16" s="314" t="str">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t="e">
        <f t="shared" si="0"/>
        <v>#VALUE!</v>
      </c>
      <c r="F16" s="315" t="e">
        <f t="shared" si="1"/>
        <v>#VALUE!</v>
      </c>
      <c r="G16" t="e">
        <f t="shared" si="2"/>
        <v>#VALUE!</v>
      </c>
    </row>
    <row r="17" spans="4:7" x14ac:dyDescent="0.3">
      <c r="D17" s="314" t="str">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t="e">
        <f t="shared" si="0"/>
        <v>#VALUE!</v>
      </c>
      <c r="F17" s="315" t="e">
        <f t="shared" si="1"/>
        <v>#VALUE!</v>
      </c>
      <c r="G17" t="e">
        <f t="shared" si="2"/>
        <v>#VALUE!</v>
      </c>
    </row>
    <row r="18" spans="4:7" x14ac:dyDescent="0.3">
      <c r="D18" s="314" t="str">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t="e">
        <f t="shared" si="0"/>
        <v>#VALUE!</v>
      </c>
      <c r="F18" s="315" t="e">
        <f t="shared" si="1"/>
        <v>#VALUE!</v>
      </c>
      <c r="G18" t="e">
        <f t="shared" si="2"/>
        <v>#VALUE!</v>
      </c>
    </row>
    <row r="19" spans="4:7" x14ac:dyDescent="0.3">
      <c r="D19" s="314" t="str">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t="e">
        <f t="shared" si="0"/>
        <v>#VALUE!</v>
      </c>
      <c r="F19" s="315" t="e">
        <f t="shared" si="1"/>
        <v>#VALUE!</v>
      </c>
      <c r="G19" t="e">
        <f t="shared" si="2"/>
        <v>#VALUE!</v>
      </c>
    </row>
    <row r="20" spans="4:7" x14ac:dyDescent="0.3">
      <c r="D20" s="314" t="str">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t="e">
        <f t="shared" si="0"/>
        <v>#VALUE!</v>
      </c>
      <c r="F20" s="315" t="e">
        <f t="shared" si="1"/>
        <v>#VALUE!</v>
      </c>
      <c r="G20" t="e">
        <f t="shared" si="2"/>
        <v>#VALUE!</v>
      </c>
    </row>
    <row r="21" spans="4:7" x14ac:dyDescent="0.3">
      <c r="D21" s="314" t="str">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t="e">
        <f t="shared" si="0"/>
        <v>#VALUE!</v>
      </c>
      <c r="F21" s="315" t="e">
        <f t="shared" si="1"/>
        <v>#VALUE!</v>
      </c>
      <c r="G21" t="e">
        <f t="shared" si="2"/>
        <v>#VALUE!</v>
      </c>
    </row>
    <row r="22" spans="4:7" x14ac:dyDescent="0.3">
      <c r="D22" s="314" t="str">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t="e">
        <f t="shared" si="0"/>
        <v>#VALUE!</v>
      </c>
      <c r="F22" s="315" t="e">
        <f t="shared" si="1"/>
        <v>#VALUE!</v>
      </c>
      <c r="G22" t="e">
        <f t="shared" si="2"/>
        <v>#VALUE!</v>
      </c>
    </row>
    <row r="23" spans="4:7" x14ac:dyDescent="0.3">
      <c r="D23" s="314" t="str">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t="e">
        <f t="shared" si="0"/>
        <v>#VALUE!</v>
      </c>
      <c r="F23" s="315" t="e">
        <f t="shared" si="1"/>
        <v>#VALUE!</v>
      </c>
      <c r="G23" t="e">
        <f t="shared" si="2"/>
        <v>#VALUE!</v>
      </c>
    </row>
    <row r="24" spans="4:7" x14ac:dyDescent="0.3">
      <c r="D24" s="314" t="str">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t="e">
        <f t="shared" si="0"/>
        <v>#VALUE!</v>
      </c>
      <c r="F24" s="315" t="e">
        <f t="shared" si="1"/>
        <v>#VALUE!</v>
      </c>
      <c r="G24" t="e">
        <f t="shared" si="2"/>
        <v>#VALUE!</v>
      </c>
    </row>
    <row r="25" spans="4:7" x14ac:dyDescent="0.3">
      <c r="D25" s="314" t="str">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t="e">
        <f t="shared" si="0"/>
        <v>#VALUE!</v>
      </c>
      <c r="F25" s="315" t="e">
        <f t="shared" si="1"/>
        <v>#VALUE!</v>
      </c>
      <c r="G25" t="e">
        <f t="shared" si="2"/>
        <v>#VALUE!</v>
      </c>
    </row>
    <row r="26" spans="4:7" x14ac:dyDescent="0.3">
      <c r="D26" s="314" t="str">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t="e">
        <f t="shared" si="0"/>
        <v>#VALUE!</v>
      </c>
      <c r="F26" s="315"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customXml/itemProps3.xml><?xml version="1.0" encoding="utf-8"?>
<ds:datastoreItem xmlns:ds="http://schemas.openxmlformats.org/officeDocument/2006/customXml" ds:itemID="{E6AEBA6F-9411-4923-AA77-FC83D4C00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792</vt:i4>
      </vt:variant>
    </vt:vector>
  </HeadingPairs>
  <TitlesOfParts>
    <vt:vector size="805" baseType="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Sergio Carosio</cp:lastModifiedBy>
  <cp:revision/>
  <dcterms:created xsi:type="dcterms:W3CDTF">2025-01-13T10:12:12Z</dcterms:created>
  <dcterms:modified xsi:type="dcterms:W3CDTF">2025-11-24T09:35:18Z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