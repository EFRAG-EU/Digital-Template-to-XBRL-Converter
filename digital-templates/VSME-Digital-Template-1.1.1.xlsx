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4532" documentId="8_{8F8C91A4-9BAF-480E-93C6-D7EABA290476}" xr6:coauthVersionLast="47" xr6:coauthVersionMax="47" xr10:uidLastSave="{A96F46EB-BFF6-4471-A82D-38197A43174C}"/>
  <bookViews>
    <workbookView xWindow="-108" yWindow="-108" windowWidth="23256" windowHeight="13896" tabRatio="672"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12" i="1" l="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l="1"/>
  <c r="J426" i="1"/>
  <c r="J424" i="1"/>
  <c r="J423" i="1"/>
  <c r="G536" i="1" l="1"/>
  <c r="G535" i="1"/>
  <c r="G3" i="17"/>
  <c r="E3" i="17"/>
  <c r="D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L80" i="1" l="1"/>
  <c r="B3" i="4" l="1" a="1"/>
  <c r="B3" i="4" s="1"/>
  <c r="H33" i="7"/>
  <c r="D11" i="8"/>
  <c r="D12" i="8"/>
  <c r="D13" i="8"/>
  <c r="D14" i="8"/>
  <c r="D15" i="8"/>
  <c r="D16" i="8"/>
  <c r="D17" i="8"/>
  <c r="D18" i="8"/>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M423" i="1" a="1"/>
  <c r="M423" i="1" s="1"/>
  <c r="H317" i="1" l="1"/>
  <c r="E310" i="1"/>
  <c r="G293" i="1"/>
  <c r="L190" i="1"/>
  <c r="L191" i="1"/>
  <c r="L192" i="1"/>
  <c r="L193" i="1"/>
  <c r="L194" i="1"/>
  <c r="L189" i="1"/>
  <c r="L188" i="1"/>
  <c r="L186" i="1"/>
  <c r="L83" i="1"/>
  <c r="L84" i="1"/>
  <c r="L85" i="1"/>
  <c r="L86" i="1"/>
  <c r="L87" i="1"/>
  <c r="L88" i="1"/>
  <c r="L89" i="1"/>
  <c r="L82" i="1"/>
  <c r="L81" i="1"/>
  <c r="L78" i="1" a="1"/>
  <c r="L78" i="1" s="1"/>
  <c r="L76" i="1"/>
  <c r="L75" i="1" a="1"/>
  <c r="L75" i="1" s="1"/>
  <c r="L59" i="1"/>
  <c r="L58" i="1"/>
  <c r="L52" i="1"/>
  <c r="L30" i="1" a="1"/>
  <c r="L30" i="1" s="1"/>
  <c r="L24" i="1"/>
  <c r="L21" i="1"/>
  <c r="L12" i="1" a="1"/>
  <c r="L12" i="1" s="1"/>
  <c r="I581" i="3"/>
  <c r="H577" i="3"/>
  <c r="H56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C3" i="17"/>
  <c r="B307" i="17"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K435" i="1" s="1"/>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G11" i="8" s="1"/>
  <c r="AB11" i="8"/>
  <c r="AZ11" i="8"/>
  <c r="AV11" i="8"/>
  <c r="AN11" i="8"/>
  <c r="AF11" i="8"/>
  <c r="P10" i="8" l="1"/>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H18" i="12"/>
  <c r="C38" i="16" s="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I450" i="3"/>
  <c r="F330" i="3"/>
  <c r="E304" i="1"/>
  <c r="H573" i="3"/>
  <c r="F329" i="3"/>
  <c r="F327" i="3"/>
  <c r="F123" i="3"/>
  <c r="E303" i="1"/>
  <c r="L23" i="1"/>
  <c r="L22" i="1"/>
  <c r="H571" i="3"/>
  <c r="C30" i="16"/>
  <c r="C54" i="16"/>
  <c r="F10" i="3"/>
  <c r="C16" i="16"/>
  <c r="C15" i="16" s="1"/>
  <c r="F122" i="3"/>
  <c r="F6" i="3"/>
  <c r="C13" i="16"/>
  <c r="F5" i="3"/>
  <c r="C52" i="16"/>
  <c r="C40" i="16"/>
  <c r="C63" i="16"/>
  <c r="F4" i="3"/>
  <c r="C48" i="16"/>
  <c r="F3" i="3"/>
  <c r="C44" i="16"/>
  <c r="C51" i="16"/>
  <c r="C2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J47" i="1"/>
  <c r="G47" i="1"/>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3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D12" i="12"/>
  <c r="D11" i="12" s="1"/>
  <c r="F3" i="12"/>
  <c r="F2" i="12"/>
  <c r="K466" i="3"/>
  <c r="H454" i="3"/>
  <c r="I454" i="3" s="1"/>
  <c r="P22" i="8" l="1"/>
  <c r="H17" i="7"/>
  <c r="D6" i="9"/>
  <c r="K549" i="3" l="1"/>
  <c r="J45" i="1" l="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C12" i="16" l="1"/>
  <c r="C10" i="16" s="1"/>
  <c r="L31" i="8"/>
  <c r="L33" i="8" s="1"/>
  <c r="L30" i="8" s="1"/>
  <c r="L324" i="1" l="1"/>
  <c r="L326" i="1"/>
  <c r="L327" i="1"/>
  <c r="L328" i="1"/>
  <c r="L329" i="1"/>
  <c r="L330" i="1"/>
  <c r="L331" i="1"/>
  <c r="L332" i="1"/>
  <c r="L333" i="1"/>
  <c r="L334" i="1"/>
  <c r="L335" i="1"/>
  <c r="L336" i="1"/>
  <c r="L422" i="1"/>
  <c r="J428" i="1" l="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<sst xmlns="http://schemas.openxmlformats.org/spreadsheetml/2006/main" count="9983" uniqueCount="9539">
  <si>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</si>
  <si>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</si>
  <si>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</si>
  <si>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</si>
  <si>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</si>
  <si>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</si>
  <si>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</si>
  <si>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</si>
  <si>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</si>
  <si>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</si>
  <si>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</si>
  <si>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</si>
  <si>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</si>
  <si>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</si>
  <si>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</si>
  <si>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</si>
  <si>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</si>
  <si>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</si>
  <si>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</si>
  <si>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</si>
  <si>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</si>
  <si>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</si>
  <si>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</si>
  <si>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</si>
  <si>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</si>
  <si>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</si>
  <si>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</si>
  <si>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</si>
  <si>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</si>
  <si>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</si>
  <si>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</si>
  <si>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</si>
  <si>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</si>
  <si>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</si>
  <si>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</si>
  <si>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</si>
  <si>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</si>
  <si>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</si>
  <si>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</si>
  <si>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</si>
  <si>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</si>
  <si>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</si>
  <si>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</si>
  <si>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</si>
  <si>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</si>
  <si>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</si>
  <si>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</si>
  <si>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</si>
  <si>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</si>
  <si>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</si>
  <si>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</si>
  <si>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</si>
  <si>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</si>
  <si>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</si>
  <si>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</si>
  <si>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</si>
  <si>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</si>
  <si>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</si>
  <si>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</si>
  <si>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</si>
  <si>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</si>
  <si>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</si>
  <si>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</si>
  <si>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</si>
  <si>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</si>
  <si>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</si>
  <si>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</si>
  <si>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</si>
  <si>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</si>
  <si>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</si>
  <si>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</si>
  <si>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</si>
  <si>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</si>
  <si>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</si>
  <si>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</si>
  <si>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</si>
  <si>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</si>
  <si>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</si>
  <si>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</si>
  <si>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</si>
  <si>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</si>
  <si>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</si>
  <si>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</si>
  <si>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</si>
  <si>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</si>
  <si>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</si>
  <si>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</si>
  <si>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</si>
  <si>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</si>
  <si>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</si>
  <si>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</si>
  <si>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</si>
  <si>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</si>
  <si>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</si>
  <si>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</si>
  <si>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</si>
  <si>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</si>
  <si>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</si>
  <si>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</si>
  <si>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</si>
  <si>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</si>
  <si>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</si>
  <si>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</si>
  <si>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</si>
  <si>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</si>
  <si>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</si>
  <si>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</si>
  <si>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</si>
  <si>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</si>
  <si>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</si>
  <si>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</si>
  <si>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</si>
  <si>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</si>
  <si>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</si>
  <si>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</si>
  <si>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</si>
  <si>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</si>
  <si>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</si>
  <si>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</si>
  <si>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</si>
  <si>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</si>
  <si>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</si>
  <si>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</si>
  <si>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</si>
  <si>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</si>
  <si>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</si>
  <si>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</si>
  <si>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</si>
  <si>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</si>
  <si>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</si>
  <si>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</si>
  <si>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</si>
  <si>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</si>
  <si>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</si>
  <si>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</si>
  <si>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</si>
  <si>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</si>
  <si>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</si>
  <si>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</si>
  <si>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</si>
  <si>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</si>
  <si>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</si>
  <si>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</si>
  <si>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</si>
  <si>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</si>
  <si>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</si>
  <si>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</si>
  <si>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</si>
  <si>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</si>
  <si>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</si>
  <si>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</si>
  <si>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</si>
  <si>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</si>
  <si>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</si>
  <si>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</si>
  <si>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</si>
  <si>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</si>
  <si>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</si>
  <si>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</si>
  <si>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</si>
  <si>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</si>
  <si>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</si>
  <si>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</si>
  <si>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</si>
  <si>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</si>
  <si>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</si>
  <si>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</si>
  <si>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</si>
  <si>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</si>
  <si>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</si>
  <si>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</si>
  <si>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</si>
  <si>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</si>
  <si>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</si>
  <si>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</si>
  <si>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</si>
  <si>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</si>
  <si>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</si>
  <si>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</si>
  <si>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</si>
  <si>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</si>
  <si>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</si>
  <si>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</si>
  <si>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</si>
  <si>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</si>
  <si>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</si>
  <si>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</si>
  <si>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</si>
  <si>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</si>
  <si>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</si>
  <si>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</si>
  <si>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</si>
  <si>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</si>
  <si>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</si>
  <si>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</si>
  <si>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</si>
  <si>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</si>
  <si>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</si>
  <si>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</si>
  <si>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</si>
  <si>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</si>
  <si>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</si>
  <si>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</si>
  <si>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</si>
  <si>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</si>
  <si>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</si>
  <si>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</si>
  <si>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</si>
  <si>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</si>
  <si>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</si>
  <si>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</si>
  <si>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</si>
  <si>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</si>
  <si>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</si>
  <si>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</si>
  <si>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</si>
  <si>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</si>
  <si>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</si>
  <si>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</si>
  <si>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</si>
  <si>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</si>
  <si>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</si>
  <si>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</si>
  <si>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</si>
  <si>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</si>
  <si>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</si>
  <si>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</si>
  <si>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</si>
  <si>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</si>
  <si>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</si>
  <si>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</si>
  <si>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</si>
  <si>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</si>
  <si>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</si>
  <si>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</si>
  <si>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</si>
  <si>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</si>
  <si>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</si>
  <si>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</si>
  <si>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</si>
  <si>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</si>
  <si>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</si>
  <si>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</si>
  <si>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</si>
  <si>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</si>
  <si>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</si>
  <si>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</si>
  <si>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</si>
  <si>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</si>
  <si>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</si>
  <si>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</si>
  <si>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</si>
  <si>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</si>
  <si>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</si>
  <si>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</si>
  <si>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</si>
  <si>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</si>
  <si>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</si>
  <si>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</si>
  <si>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</si>
  <si>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</si>
  <si>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</si>
  <si>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</si>
  <si>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</si>
  <si>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</si>
  <si>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</si>
  <si>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</si>
  <si>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</si>
  <si>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</si>
  <si>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</si>
  <si>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</si>
  <si>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</si>
  <si>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</si>
  <si>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</si>
  <si>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</si>
  <si>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</si>
  <si>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</si>
  <si>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</si>
  <si>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</si>
  <si>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</si>
  <si>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</si>
  <si>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</si>
  <si>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</si>
  <si>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</si>
  <si>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</si>
  <si>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</si>
  <si>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</si>
  <si>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</si>
  <si>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</si>
  <si>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</si>
  <si>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</si>
  <si>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</si>
  <si>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</si>
  <si>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</si>
  <si>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</si>
  <si>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</si>
  <si>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</si>
  <si>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</si>
  <si>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</si>
  <si>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</si>
  <si>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</si>
  <si>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</si>
  <si>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</si>
  <si>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</si>
  <si>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</si>
  <si>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</si>
  <si>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</si>
  <si>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</si>
  <si>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</si>
  <si>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</si>
  <si>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</si>
  <si>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</si>
  <si>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</si>
  <si>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</si>
  <si>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</si>
  <si>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</si>
  <si>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</si>
  <si>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</si>
  <si>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</si>
  <si>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</si>
  <si>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</si>
  <si>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</si>
  <si>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</si>
  <si>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</si>
  <si>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</si>
  <si>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</si>
  <si>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</si>
  <si>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</si>
  <si>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</si>
  <si>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</si>
  <si>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</si>
  <si>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</si>
  <si>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</si>
  <si>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</si>
  <si>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</si>
  <si>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</si>
  <si>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</si>
  <si>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</si>
  <si>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</si>
  <si>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</si>
  <si>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</si>
  <si>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</si>
  <si>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</si>
  <si>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</si>
  <si>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</si>
  <si>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</si>
  <si>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</si>
  <si>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</si>
  <si>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</si>
  <si>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</si>
  <si>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</si>
  <si>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</si>
  <si>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</si>
  <si>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</si>
  <si>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</si>
  <si>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</si>
  <si>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</si>
  <si>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</si>
  <si>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</si>
  <si>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</si>
  <si>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</si>
  <si>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</si>
  <si>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</si>
  <si>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</si>
  <si>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</si>
  <si>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</si>
  <si>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</si>
  <si>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</si>
  <si>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</si>
  <si>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</si>
  <si>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</si>
  <si>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</si>
  <si>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</si>
  <si>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</si>
  <si>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</si>
  <si>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</si>
  <si>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</si>
  <si>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</si>
  <si>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</si>
  <si>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</si>
  <si>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</si>
  <si>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</si>
  <si>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</si>
  <si>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</si>
  <si>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</si>
  <si>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</si>
  <si>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</si>
  <si>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</si>
  <si>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</si>
  <si>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</si>
  <si>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</si>
  <si>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</si>
  <si>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</si>
  <si>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</si>
  <si>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</si>
  <si>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</si>
  <si>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</si>
  <si>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</si>
  <si>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</si>
  <si>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</si>
  <si>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</si>
  <si>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</si>
  <si>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</si>
  <si>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</si>
  <si>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</si>
  <si>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</si>
  <si>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</si>
  <si>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</si>
  <si>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</si>
  <si>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</si>
  <si>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</si>
  <si>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</si>
  <si>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</si>
  <si>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</si>
  <si>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</si>
  <si>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</si>
  <si>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</si>
  <si>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</si>
  <si>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</si>
  <si>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</si>
  <si>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</si>
  <si>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</si>
  <si>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</si>
  <si>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</si>
  <si>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</si>
  <si>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</si>
  <si>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</si>
  <si>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</si>
  <si>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</si>
  <si>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</si>
  <si>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</si>
  <si>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</si>
  <si>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</si>
  <si>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</si>
  <si>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</si>
  <si>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</si>
  <si>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</si>
  <si>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</si>
  <si>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</si>
  <si>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</si>
  <si>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</si>
  <si>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</si>
  <si>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</si>
  <si>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</si>
  <si>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</si>
  <si>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</si>
  <si>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</si>
  <si>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</si>
  <si>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</si>
  <si>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</si>
  <si>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</si>
  <si>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</si>
  <si>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</si>
  <si>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</si>
  <si>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</si>
  <si>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</si>
  <si>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</si>
  <si>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</si>
  <si>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</si>
  <si>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</si>
  <si>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</si>
  <si>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</si>
  <si>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</si>
  <si>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</si>
  <si>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</si>
  <si>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</si>
  <si>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</si>
  <si>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</si>
  <si>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</si>
  <si>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</si>
  <si>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</si>
  <si>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</si>
  <si>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</si>
  <si>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</si>
  <si>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</si>
  <si>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</si>
  <si>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</si>
  <si>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</si>
  <si>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</si>
  <si>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</si>
  <si>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</si>
  <si>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</si>
  <si>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</si>
  <si>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</si>
  <si>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</si>
  <si>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</si>
  <si>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</si>
  <si>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</si>
  <si>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</si>
  <si>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</si>
  <si>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</si>
  <si>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</si>
  <si>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</si>
  <si>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</si>
  <si>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</si>
  <si>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</si>
  <si>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</si>
  <si>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</si>
  <si>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</si>
  <si>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</si>
  <si>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</si>
  <si>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</si>
  <si>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</si>
  <si>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</si>
  <si>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</si>
  <si>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</si>
  <si>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</si>
  <si>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</si>
  <si>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</si>
  <si>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</si>
  <si>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</si>
  <si>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</si>
  <si>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</si>
  <si>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</si>
  <si>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</si>
  <si>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</si>
  <si>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</si>
  <si>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</si>
  <si>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</si>
  <si>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</si>
  <si>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</si>
  <si>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</si>
  <si>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</si>
  <si>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</si>
  <si>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</si>
  <si>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</si>
  <si>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</si>
  <si>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</si>
  <si>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</si>
  <si>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</si>
  <si>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</si>
  <si>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</si>
  <si>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</si>
  <si>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</si>
  <si>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</si>
  <si>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</si>
  <si>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</si>
  <si>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</si>
  <si>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</si>
  <si>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</si>
  <si>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</si>
  <si>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</si>
  <si>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</si>
  <si>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</si>
  <si>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</si>
  <si>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</si>
  <si>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</si>
  <si>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</si>
  <si>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</si>
  <si>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</si>
  <si>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</si>
  <si>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</si>
  <si>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</si>
  <si>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</si>
  <si>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</si>
  <si>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</si>
  <si>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</si>
  <si>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</si>
  <si>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</si>
  <si>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</si>
  <si>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</si>
  <si>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</si>
  <si>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</si>
  <si>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</si>
  <si>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</si>
  <si>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</si>
  <si>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</si>
  <si>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</si>
  <si>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</si>
  <si>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</si>
  <si>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</si>
  <si>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</si>
  <si>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</si>
  <si>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</si>
  <si>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</si>
  <si>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</si>
  <si>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</si>
  <si>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</si>
  <si>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</si>
  <si>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</si>
  <si>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</si>
  <si>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</si>
  <si>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</si>
  <si>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</si>
  <si>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</si>
  <si>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</si>
  <si>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</si>
  <si>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</si>
  <si>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</si>
  <si>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</si>
  <si>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</si>
  <si>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</si>
  <si>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</si>
  <si>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</si>
  <si>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</si>
  <si>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</si>
  <si>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</si>
  <si>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</si>
  <si>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</si>
  <si>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</si>
  <si>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</si>
  <si>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</si>
  <si>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</si>
  <si>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</si>
  <si>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</si>
  <si>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</si>
  <si>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</si>
  <si>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</si>
  <si>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</si>
  <si>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</si>
  <si>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</si>
  <si>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</si>
  <si>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</si>
  <si>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</si>
  <si>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</si>
  <si>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</si>
  <si>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</si>
  <si>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</si>
  <si>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</si>
  <si>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</si>
  <si>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</si>
  <si>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</si>
  <si>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</si>
  <si>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</si>
  <si>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</si>
  <si>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</si>
  <si>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</si>
  <si>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</si>
  <si>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</si>
  <si>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</si>
  <si>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</si>
  <si>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</si>
  <si>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</si>
  <si>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</si>
  <si>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</si>
  <si>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</si>
  <si>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</si>
  <si>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</si>
  <si>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</si>
  <si>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</si>
  <si>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</si>
  <si>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</si>
  <si>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</si>
  <si>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</si>
  <si>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</si>
  <si>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</si>
  <si>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</si>
  <si>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</si>
  <si>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</si>
  <si>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</si>
  <si>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</si>
  <si>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</si>
  <si>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</si>
  <si>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</si>
  <si>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</si>
  <si>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</si>
  <si>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</si>
  <si>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</si>
  <si>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</si>
  <si>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</si>
  <si>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</si>
  <si>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</si>
  <si>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</si>
  <si>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</si>
  <si>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</si>
  <si>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</si>
  <si>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</si>
  <si>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</si>
  <si>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</si>
  <si>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</si>
  <si>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</si>
  <si>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</si>
  <si>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</si>
  <si>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</si>
  <si>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</si>
  <si>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</si>
  <si>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</si>
  <si>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</si>
  <si>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</si>
  <si>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</si>
  <si>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</si>
  <si>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</si>
  <si>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</si>
  <si>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</si>
  <si>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</si>
  <si>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</si>
  <si>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</si>
  <si>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</si>
  <si>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</si>
  <si>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</si>
  <si>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</si>
  <si>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</si>
  <si>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</si>
  <si>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</si>
  <si>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</si>
  <si>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</si>
  <si>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</si>
  <si>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</si>
  <si>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</si>
  <si>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</si>
  <si>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</si>
  <si>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</si>
  <si>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</si>
  <si>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</si>
  <si>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</si>
  <si>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</si>
  <si>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</si>
  <si>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</si>
  <si>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</si>
  <si>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</si>
  <si>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</si>
  <si>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</si>
  <si>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</si>
  <si>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</si>
  <si>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</si>
  <si>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</si>
  <si>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</si>
  <si>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</si>
  <si>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</si>
  <si>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</si>
  <si>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</si>
  <si>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</si>
  <si>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</si>
  <si>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</si>
  <si>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</si>
  <si>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</si>
  <si>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</si>
  <si>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</si>
  <si>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</si>
  <si>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</si>
  <si>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</si>
  <si>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</si>
  <si>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</si>
  <si>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</si>
  <si>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</si>
  <si>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</si>
  <si>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</si>
  <si>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</si>
  <si>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</si>
  <si>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</si>
  <si>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</si>
  <si>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</si>
  <si>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</si>
  <si>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</si>
  <si>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</si>
  <si>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</si>
  <si>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</si>
  <si>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</si>
  <si>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</si>
  <si>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</si>
  <si>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</si>
  <si>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</si>
  <si>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</si>
  <si>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</si>
  <si>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</si>
  <si>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</si>
  <si>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</si>
  <si>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</si>
  <si>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</si>
  <si>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</si>
  <si>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</si>
  <si>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</si>
  <si>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</si>
  <si>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</si>
  <si>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</si>
  <si>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</si>
  <si>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</si>
  <si>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</si>
  <si>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</si>
  <si>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</si>
  <si>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</si>
  <si>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</si>
  <si>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</si>
  <si>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</si>
  <si>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</si>
  <si>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</si>
  <si>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</si>
  <si>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</si>
  <si>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</si>
  <si>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</si>
  <si>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</si>
  <si>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</si>
  <si>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</si>
  <si>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</si>
  <si>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</si>
  <si>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</si>
  <si>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</si>
  <si>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</si>
  <si>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</si>
  <si>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</si>
  <si>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</si>
  <si>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</si>
  <si>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</si>
  <si>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</si>
  <si>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</si>
  <si>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</si>
  <si>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</si>
  <si>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</si>
  <si>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</si>
  <si>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</si>
  <si>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</si>
  <si>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</si>
  <si>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</si>
  <si>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</si>
  <si>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</si>
  <si>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</si>
  <si>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</si>
  <si>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</si>
  <si>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</si>
  <si>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</si>
  <si>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</si>
  <si>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</si>
  <si>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</si>
  <si>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</si>
  <si>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</si>
  <si>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</si>
  <si>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</si>
  <si>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</si>
  <si>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</si>
  <si>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</si>
  <si>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</si>
  <si>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</si>
  <si>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</si>
  <si>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</si>
  <si>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</si>
  <si>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</si>
  <si>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</si>
  <si>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</si>
  <si>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</si>
  <si>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</si>
  <si>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</si>
  <si>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</si>
  <si>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</si>
  <si>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</si>
  <si>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</si>
  <si>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</si>
  <si>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</si>
  <si>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</si>
  <si>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</si>
  <si>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</si>
  <si>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</si>
  <si>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</si>
  <si>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</si>
  <si>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</si>
  <si>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</si>
  <si>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</si>
  <si>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</si>
  <si>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</si>
  <si>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</si>
  <si>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</si>
  <si>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</si>
  <si>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</si>
  <si>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</si>
  <si>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</si>
  <si>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</si>
  <si>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</si>
  <si>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</si>
  <si>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</si>
  <si>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</si>
  <si>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</si>
  <si>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</si>
  <si>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</si>
  <si>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</si>
  <si>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</si>
  <si>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</si>
  <si>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</si>
  <si>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</si>
  <si>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</si>
  <si>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</si>
  <si>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</si>
  <si>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</si>
  <si>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</si>
  <si>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</si>
  <si>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</si>
  <si>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</si>
  <si>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</si>
  <si>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</si>
  <si>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</si>
  <si>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</si>
  <si>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</si>
  <si>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</si>
  <si>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</si>
  <si>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</si>
  <si>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</si>
  <si>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</si>
  <si>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</si>
  <si>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</si>
  <si>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</si>
  <si>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</si>
  <si>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</si>
  <si>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</si>
  <si>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</si>
  <si>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</si>
  <si>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</si>
  <si>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</si>
  <si>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</si>
  <si>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</si>
  <si>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</si>
  <si>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</si>
  <si>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</si>
  <si>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</si>
  <si>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</si>
  <si>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</si>
  <si>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</si>
  <si>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</si>
  <si>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</si>
  <si>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</si>
  <si>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</si>
  <si>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</si>
  <si>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</si>
  <si>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</si>
  <si>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</si>
  <si>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</si>
  <si>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</si>
  <si>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</si>
  <si>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</si>
  <si>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</si>
  <si>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</si>
  <si>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</si>
  <si>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</si>
  <si>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</si>
  <si>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</si>
  <si>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</si>
  <si>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</si>
  <si>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</si>
  <si>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</si>
  <si>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</si>
  <si>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</si>
  <si>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</si>
  <si>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</si>
  <si>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</si>
  <si>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</si>
  <si>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</si>
  <si>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</si>
  <si>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</si>
  <si>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</si>
  <si>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</si>
  <si>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</si>
  <si>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</si>
  <si>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</si>
  <si>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</si>
  <si>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</si>
  <si>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</si>
  <si>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</si>
  <si>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</si>
  <si>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</si>
  <si>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</si>
  <si>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</si>
  <si>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</si>
  <si>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</si>
  <si>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</si>
  <si>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</si>
  <si>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</si>
  <si>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</si>
  <si>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</si>
  <si>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</si>
  <si>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</si>
  <si>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</si>
  <si>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</si>
  <si>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</si>
  <si>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</si>
  <si>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</si>
  <si>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</si>
  <si>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</si>
  <si>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</si>
  <si>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</si>
  <si>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</si>
  <si>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</si>
  <si>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</si>
  <si>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</si>
  <si>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</si>
  <si>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</si>
  <si>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</si>
  <si>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</si>
  <si>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</si>
  <si>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</si>
  <si>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</si>
  <si>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</si>
  <si>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</si>
  <si>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</si>
  <si>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</si>
  <si>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</si>
  <si>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</si>
  <si>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</si>
  <si>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</si>
  <si>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</si>
  <si>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</si>
  <si>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</si>
  <si>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</si>
  <si>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</si>
  <si>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</si>
  <si>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</si>
  <si>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</si>
  <si>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</si>
  <si>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</si>
  <si>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</si>
  <si>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</si>
  <si>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</si>
  <si>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</si>
  <si>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</si>
  <si>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</si>
  <si>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</si>
  <si>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</si>
  <si>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</si>
  <si>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</si>
  <si>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</si>
  <si>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</si>
  <si>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</si>
  <si>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</si>
  <si>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</si>
  <si>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</si>
  <si>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</si>
  <si>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</si>
  <si>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</si>
  <si>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</si>
  <si>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</si>
  <si>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</si>
  <si>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</si>
  <si>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</si>
  <si>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</si>
  <si>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</si>
  <si>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</si>
  <si>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</si>
  <si>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</si>
  <si>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</si>
  <si>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</si>
  <si>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</si>
  <si>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</si>
  <si>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</si>
  <si>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</si>
  <si>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</si>
  <si>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</si>
  <si>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</si>
  <si>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</si>
  <si>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</si>
  <si>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</si>
  <si>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</si>
  <si>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</si>
  <si>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</si>
  <si>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</si>
  <si>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</si>
  <si>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</si>
  <si>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</si>
  <si>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</si>
  <si>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</si>
  <si>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</si>
  <si>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</si>
  <si>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</si>
  <si>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</si>
  <si>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</si>
  <si>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</si>
  <si>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</si>
  <si>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</si>
  <si>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</si>
  <si>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</si>
  <si>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</si>
  <si>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</si>
  <si>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</si>
  <si>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</si>
  <si>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</si>
  <si>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</si>
  <si>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</si>
  <si>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</si>
  <si>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</si>
  <si>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</si>
  <si>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</si>
  <si>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</si>
  <si>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</si>
  <si>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</si>
  <si>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</si>
  <si>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</si>
  <si>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</si>
  <si>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</si>
  <si>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</si>
  <si>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</si>
  <si>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</si>
  <si>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</si>
  <si>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</si>
  <si>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</si>
  <si>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</si>
  <si>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</si>
  <si>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</si>
  <si>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</si>
  <si>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</si>
  <si>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</si>
  <si>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</si>
  <si>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</si>
  <si>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</si>
  <si>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</si>
  <si>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</si>
  <si>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</si>
  <si>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</si>
  <si>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</si>
  <si>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</si>
  <si>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</si>
  <si>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</si>
  <si>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</si>
  <si>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</si>
  <si>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</si>
  <si>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</si>
  <si>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</si>
  <si>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</si>
  <si>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</si>
  <si>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</si>
  <si>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</si>
  <si>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</si>
  <si>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</si>
  <si>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</si>
  <si>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</si>
  <si>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</si>
  <si>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</si>
  <si>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</si>
  <si>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</si>
  <si>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</si>
  <si>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</si>
  <si>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</si>
  <si>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</si>
  <si>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</si>
  <si>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</si>
  <si>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</si>
  <si>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</si>
  <si>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</si>
  <si>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</si>
  <si>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</si>
  <si>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</si>
  <si>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</si>
  <si>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</si>
  <si>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</si>
  <si>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</si>
  <si>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</si>
  <si>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</si>
  <si>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</si>
  <si>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</si>
  <si>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</si>
  <si>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</si>
  <si>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</si>
  <si>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</si>
  <si>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</si>
  <si>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</si>
  <si>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</si>
  <si>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</si>
  <si>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</si>
  <si>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</si>
  <si>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</si>
  <si>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</si>
  <si>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</si>
  <si>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</si>
  <si>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</si>
  <si>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</si>
  <si>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</si>
  <si>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</si>
  <si>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</si>
  <si>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</si>
  <si>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</si>
  <si>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</si>
  <si>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</si>
  <si>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</si>
  <si>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</si>
  <si>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</si>
  <si>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</si>
  <si>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</si>
  <si>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</si>
  <si>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</si>
  <si>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</si>
  <si>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</si>
  <si>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</si>
  <si>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</si>
  <si>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</si>
  <si>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</si>
  <si>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</si>
  <si>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</si>
  <si>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</si>
  <si>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</si>
  <si>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</si>
  <si>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</si>
  <si>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</si>
  <si>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</si>
  <si>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</si>
  <si>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</si>
  <si>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</si>
  <si>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</si>
  <si>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</si>
  <si>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</si>
  <si>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</si>
  <si>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</si>
  <si>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</si>
  <si>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</si>
  <si>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</si>
  <si>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</si>
  <si>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</si>
  <si>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</si>
  <si>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</si>
  <si>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</si>
  <si>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</si>
  <si>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</si>
  <si>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</si>
  <si>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</si>
  <si>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</si>
  <si>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</si>
  <si>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</si>
  <si>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</si>
  <si>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</si>
  <si>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</si>
  <si>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</si>
  <si>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</si>
  <si>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</si>
  <si>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</si>
  <si>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</si>
  <si>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</si>
  <si>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</si>
  <si>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</si>
  <si>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</si>
  <si>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</si>
  <si>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</si>
  <si>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</si>
  <si>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</si>
  <si>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</si>
  <si>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</si>
  <si>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</si>
  <si>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</si>
  <si>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</si>
  <si>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</si>
  <si>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</si>
  <si>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</si>
  <si>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</si>
  <si>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</si>
  <si>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</si>
  <si>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</si>
  <si>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</si>
  <si>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</si>
  <si>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</si>
  <si>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</si>
  <si>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</si>
  <si>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</si>
  <si>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</si>
  <si>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</si>
  <si>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</si>
  <si>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</si>
  <si>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</si>
  <si>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</si>
  <si>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</si>
  <si>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</si>
  <si>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</si>
  <si>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</si>
  <si>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</si>
  <si>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</si>
  <si>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</si>
  <si>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</si>
  <si>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</si>
  <si>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</si>
  <si>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</si>
  <si>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</si>
  <si>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</si>
  <si>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</si>
  <si>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</si>
  <si>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</si>
  <si>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</si>
  <si>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</si>
  <si>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</si>
  <si>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</si>
  <si>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</si>
  <si>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</si>
  <si>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</si>
  <si>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</si>
  <si>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</si>
  <si>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</si>
  <si>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</si>
  <si>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</si>
  <si>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</si>
  <si>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</si>
  <si>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</si>
  <si>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</si>
  <si>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</si>
  <si>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</si>
  <si>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</si>
  <si>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</si>
  <si>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</si>
  <si>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</si>
  <si>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</si>
  <si>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</si>
  <si>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</si>
  <si>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</si>
  <si>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</si>
  <si>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</si>
  <si>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</si>
  <si>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</si>
  <si>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</si>
  <si>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</si>
  <si>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</si>
  <si>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</si>
  <si>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</si>
  <si>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</si>
  <si>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</si>
  <si>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</si>
  <si>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</si>
  <si>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</si>
  <si>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</si>
  <si>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</si>
  <si>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</si>
  <si>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</si>
  <si>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</si>
  <si>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</si>
  <si>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</si>
  <si>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</si>
  <si>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</si>
  <si>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</si>
  <si>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</si>
  <si>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</si>
  <si>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</si>
  <si>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</si>
  <si>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</si>
  <si>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</si>
  <si>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</si>
  <si>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</si>
  <si>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</si>
  <si>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</si>
  <si>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</si>
  <si>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</si>
  <si>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</si>
  <si>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</si>
  <si>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</si>
  <si>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</si>
  <si>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</si>
  <si>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</si>
  <si>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</si>
  <si>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</si>
  <si>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</si>
  <si>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</si>
  <si>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</si>
  <si>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</si>
  <si>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</si>
  <si>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</si>
  <si>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</si>
  <si>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</si>
  <si>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</si>
  <si>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</si>
  <si>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</si>
  <si>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</si>
  <si>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</si>
  <si>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</si>
  <si>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</si>
  <si>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</si>
  <si>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</si>
  <si>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</si>
  <si>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</si>
  <si>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</si>
  <si>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</si>
  <si>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</si>
  <si>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</si>
  <si>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</si>
  <si>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</si>
  <si>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</si>
  <si>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</si>
  <si>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</si>
  <si>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</si>
  <si>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</si>
  <si>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</si>
  <si>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</si>
  <si>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</si>
  <si>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</si>
  <si>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</si>
  <si>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</si>
  <si>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</si>
  <si>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</si>
  <si>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</si>
  <si>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</si>
  <si>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</si>
  <si>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</si>
  <si>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</si>
  <si>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</si>
  <si>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</si>
  <si>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</si>
  <si>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</si>
  <si>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</si>
  <si>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</si>
  <si>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</si>
  <si>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</si>
  <si>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</si>
  <si>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</si>
  <si>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</si>
  <si>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</si>
  <si>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</si>
  <si>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</si>
  <si>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</si>
  <si>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</si>
  <si>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</si>
  <si>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</si>
  <si>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</si>
  <si>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</si>
  <si>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</si>
  <si>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</si>
  <si>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</si>
  <si>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</si>
  <si>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</si>
  <si>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</si>
  <si>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</si>
  <si>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</si>
  <si>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</si>
  <si>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</si>
  <si>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</si>
  <si>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</si>
  <si>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</si>
  <si>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</si>
  <si>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</si>
  <si>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</si>
  <si>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</si>
  <si>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</si>
  <si>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</si>
  <si>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</si>
  <si>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</si>
  <si>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</si>
  <si>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</si>
  <si>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</si>
  <si>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</si>
  <si>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</si>
  <si>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</si>
  <si>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</si>
  <si>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</si>
  <si>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</si>
  <si>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</si>
  <si>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</si>
  <si>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</si>
  <si>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</si>
  <si>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</si>
  <si>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</si>
  <si>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</si>
  <si>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</si>
  <si>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</si>
  <si>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</si>
  <si>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</si>
  <si>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</si>
  <si>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</si>
  <si>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</si>
  <si>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</si>
  <si>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</si>
  <si>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</si>
  <si>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</si>
  <si>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</si>
  <si>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</si>
  <si>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</si>
  <si>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</si>
  <si>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</si>
  <si>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</si>
  <si>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</si>
  <si>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</si>
  <si>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</si>
  <si>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</si>
  <si>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</si>
  <si>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</si>
  <si>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</si>
  <si>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</si>
  <si>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</si>
  <si>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</si>
  <si>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</si>
  <si>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</si>
  <si>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</si>
  <si>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</si>
  <si>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</si>
  <si>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</si>
  <si>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</si>
  <si>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</si>
  <si>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</si>
  <si>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</si>
  <si>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</si>
  <si>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</si>
  <si>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</si>
  <si>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</si>
  <si>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</si>
  <si>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</si>
  <si>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</si>
  <si>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</si>
  <si>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</si>
  <si>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</si>
  <si>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</si>
  <si>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</si>
  <si>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</si>
  <si>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</si>
  <si>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</si>
  <si>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</si>
  <si>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</si>
  <si>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</si>
  <si>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</si>
  <si>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</si>
  <si>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</si>
  <si>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</si>
  <si>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</si>
  <si>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</si>
  <si>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</si>
  <si>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</si>
  <si>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</si>
  <si>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</si>
  <si>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</si>
  <si>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</si>
  <si>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</si>
  <si>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</si>
  <si>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</si>
  <si>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</si>
  <si>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</si>
  <si>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</si>
  <si>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</si>
  <si>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</si>
  <si>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</si>
  <si>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</si>
  <si>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</si>
  <si>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</si>
  <si>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</si>
  <si>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</si>
  <si>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</si>
  <si>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</si>
  <si>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</si>
  <si>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</si>
  <si>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</si>
  <si>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</si>
  <si>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</si>
  <si>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</si>
  <si>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</si>
  <si>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</si>
  <si>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</si>
  <si>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</si>
  <si>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</si>
  <si>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</si>
  <si>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</si>
  <si>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</si>
  <si>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</si>
  <si>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</si>
  <si>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</si>
  <si>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</si>
  <si>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</si>
  <si>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</si>
  <si>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</si>
  <si>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</si>
  <si>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</si>
  <si>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</si>
  <si>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</si>
  <si>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</si>
  <si>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</si>
  <si>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</si>
  <si>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</si>
  <si>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</si>
  <si>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</si>
  <si>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</si>
  <si>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</si>
  <si>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</si>
  <si>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</si>
  <si>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</si>
  <si>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</si>
  <si>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</si>
  <si>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</si>
  <si>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</si>
  <si>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</si>
  <si>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</si>
  <si>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</si>
  <si>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</si>
  <si>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</si>
  <si>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</si>
  <si>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</si>
  <si>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</si>
  <si>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</si>
  <si>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</si>
  <si>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</si>
  <si>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</si>
  <si>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</si>
  <si>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</si>
  <si>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</si>
  <si>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</si>
  <si>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</si>
  <si>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</si>
  <si>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</si>
  <si>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</si>
  <si>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</si>
  <si>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</si>
  <si>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</si>
  <si>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</si>
  <si>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</si>
  <si>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</si>
  <si>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</si>
  <si>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</si>
  <si>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</si>
  <si>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</si>
  <si>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</si>
  <si>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</si>
  <si>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</si>
  <si>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</si>
  <si>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</si>
  <si>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</si>
  <si>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</si>
  <si>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</si>
  <si>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</si>
  <si>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</si>
  <si>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</si>
  <si>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</si>
  <si>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</si>
  <si>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</si>
  <si>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</si>
  <si>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</si>
  <si>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</si>
  <si>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</si>
  <si>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</si>
  <si>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</si>
  <si>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</si>
  <si>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</si>
  <si>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</si>
  <si>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</si>
  <si>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</si>
  <si>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</si>
  <si>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</si>
  <si>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</si>
  <si>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</si>
  <si>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</si>
  <si>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</si>
  <si>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</si>
  <si>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</si>
  <si>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</si>
  <si>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</si>
  <si>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</si>
  <si>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</si>
  <si>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</si>
  <si>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</si>
  <si>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</si>
  <si>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</si>
  <si>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</si>
  <si>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</si>
  <si>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</si>
  <si>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</si>
  <si>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</si>
  <si>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</si>
  <si>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</si>
  <si>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</si>
  <si>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</si>
  <si>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</si>
  <si>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</si>
  <si>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</si>
  <si>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</si>
  <si>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</si>
  <si>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</si>
  <si>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</si>
  <si>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</si>
  <si>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</si>
  <si>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</si>
  <si>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</si>
  <si>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</si>
  <si>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</si>
  <si>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</si>
  <si>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</si>
  <si>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</si>
  <si>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</si>
  <si>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</si>
  <si>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</si>
  <si>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</si>
  <si>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</si>
  <si>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</si>
  <si>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</si>
  <si>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</si>
  <si>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</si>
  <si>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</si>
  <si>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</si>
  <si>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</si>
  <si>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</si>
  <si>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</si>
  <si>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</si>
  <si>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</si>
  <si>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</si>
  <si>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</si>
  <si>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</si>
  <si>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</si>
  <si>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</si>
  <si>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</si>
  <si>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</si>
  <si>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</si>
  <si>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</si>
  <si>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</si>
  <si>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</si>
  <si>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</si>
  <si>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</si>
  <si>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</si>
  <si>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</si>
  <si>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</si>
  <si>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</si>
  <si>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</si>
  <si>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</si>
  <si>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</si>
  <si>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</si>
  <si>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</si>
  <si>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</si>
  <si>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</si>
  <si>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</si>
  <si>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</si>
  <si>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</si>
  <si>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</si>
  <si>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</si>
  <si>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</si>
  <si>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</si>
  <si>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</si>
  <si>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</si>
  <si>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</si>
  <si>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</si>
  <si>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</si>
  <si>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</si>
  <si>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</si>
  <si>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</si>
  <si>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</si>
  <si>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</si>
  <si>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</si>
  <si>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</si>
  <si>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</si>
  <si>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</si>
  <si>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</si>
  <si>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</si>
  <si>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</si>
  <si>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</si>
  <si>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</si>
  <si>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</si>
  <si>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</si>
  <si>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</si>
  <si>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</si>
  <si>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</si>
  <si>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</si>
  <si>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</si>
  <si>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</si>
  <si>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</si>
  <si>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</si>
  <si>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</si>
  <si>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</si>
  <si>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</si>
  <si>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</si>
  <si>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</si>
  <si>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</si>
  <si>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</si>
  <si>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</si>
  <si>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</si>
  <si>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</si>
  <si>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</si>
  <si>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</si>
  <si>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</si>
  <si>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</si>
  <si>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</si>
  <si>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</si>
  <si>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</si>
  <si>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</si>
  <si>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</si>
  <si>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</si>
  <si>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</si>
  <si>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</si>
  <si>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</si>
  <si>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</si>
  <si>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</si>
  <si>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</si>
  <si>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</si>
  <si>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</si>
  <si>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</si>
  <si>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</si>
  <si>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</si>
  <si>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</si>
  <si>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</si>
  <si>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</si>
  <si>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</si>
  <si>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</si>
  <si>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</si>
  <si>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</si>
  <si>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</si>
  <si>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</si>
  <si>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</si>
  <si>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</si>
  <si>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</si>
  <si>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</si>
  <si>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</si>
  <si>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</si>
  <si>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</si>
  <si>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</si>
  <si>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</si>
  <si>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</si>
  <si>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</si>
  <si>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</si>
  <si>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</si>
  <si>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</si>
  <si>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</si>
  <si>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</si>
  <si>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</si>
  <si>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</si>
  <si>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</si>
  <si>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</si>
  <si>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</si>
  <si>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</si>
  <si>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</si>
  <si>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</si>
  <si>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</si>
  <si>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</si>
  <si>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</si>
  <si>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</si>
  <si>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</si>
  <si>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</si>
  <si>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</si>
  <si>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</si>
  <si>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</si>
  <si>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</si>
  <si>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</si>
  <si>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</si>
  <si>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</si>
  <si>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</si>
  <si>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</si>
  <si>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</si>
  <si>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</si>
  <si>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</si>
  <si>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</si>
  <si>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</si>
  <si>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</si>
  <si>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</si>
  <si>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</si>
  <si>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</si>
  <si>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</si>
  <si>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</si>
  <si>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</si>
  <si>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</si>
  <si>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</si>
  <si>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</si>
  <si>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</si>
  <si>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</si>
  <si>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</si>
  <si>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</si>
  <si>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</si>
  <si>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</si>
  <si>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</si>
  <si>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</si>
  <si>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</si>
  <si>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</si>
  <si>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</si>
  <si>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</si>
  <si>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</si>
  <si>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</si>
  <si>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</si>
  <si>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</si>
  <si>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</si>
  <si>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</si>
  <si>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</si>
  <si>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</si>
  <si>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</si>
  <si>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</si>
  <si>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</si>
  <si>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</si>
  <si>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</si>
  <si>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</si>
  <si>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</si>
  <si>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</si>
  <si>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</si>
  <si>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</si>
  <si>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</si>
  <si>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</si>
  <si>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</si>
  <si>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</si>
  <si>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</si>
  <si>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</si>
  <si>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</si>
  <si>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</si>
  <si>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</si>
  <si>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</si>
  <si>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</si>
  <si>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</si>
  <si>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</si>
  <si>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</si>
  <si>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</si>
  <si>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</si>
  <si>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</si>
  <si>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</si>
  <si>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</si>
  <si>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</si>
  <si>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</si>
  <si>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</si>
  <si>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</si>
  <si>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</si>
  <si>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</si>
  <si>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</si>
  <si>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</si>
  <si>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</si>
  <si>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</si>
  <si>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</si>
  <si>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</si>
  <si>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</si>
  <si>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</si>
  <si>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</si>
  <si>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</si>
  <si>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</si>
  <si>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</si>
  <si>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</si>
  <si>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</si>
  <si>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</si>
  <si>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</si>
  <si>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</si>
  <si>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</si>
  <si>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</si>
  <si>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</si>
  <si>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</si>
  <si>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</si>
  <si>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</si>
  <si>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</si>
  <si>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</si>
  <si>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</si>
  <si>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</si>
  <si>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</si>
  <si>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</si>
  <si>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</si>
  <si>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</si>
  <si>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</si>
  <si>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</si>
  <si>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</si>
  <si>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</si>
  <si>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</si>
  <si>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</si>
  <si>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</si>
  <si>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</si>
  <si>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</si>
  <si>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</si>
  <si>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</si>
  <si>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</si>
  <si>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</si>
  <si>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</si>
  <si>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</si>
  <si>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</si>
  <si>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</si>
  <si>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</si>
  <si>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</si>
  <si>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</si>
  <si>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</si>
  <si>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</si>
  <si>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</si>
  <si>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</si>
  <si>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</si>
  <si>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</si>
  <si>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</si>
  <si>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</si>
  <si>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</si>
  <si>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</si>
  <si>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</si>
  <si>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</si>
  <si>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</si>
  <si>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</si>
  <si>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</si>
  <si>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</si>
  <si>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</si>
  <si>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</si>
  <si>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</si>
  <si>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</si>
  <si>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</si>
  <si>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</si>
  <si>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</si>
  <si>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</si>
  <si>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</si>
  <si>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</si>
  <si>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</si>
  <si>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</si>
  <si>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</si>
  <si>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</si>
  <si>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</si>
  <si>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</si>
  <si>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</si>
  <si>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</si>
  <si>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</si>
  <si>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</si>
  <si>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</si>
  <si>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</si>
  <si>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</si>
  <si>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</si>
  <si>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</si>
  <si>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</si>
  <si>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</si>
  <si>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</si>
  <si>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</si>
  <si>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</si>
  <si>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</si>
  <si>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</si>
  <si>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</si>
  <si>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</si>
  <si>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</si>
  <si>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</si>
  <si>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</si>
  <si>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</si>
  <si>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</si>
  <si>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</si>
  <si>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</si>
  <si>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</si>
  <si>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</si>
  <si>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</si>
  <si>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</si>
  <si>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</si>
  <si>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</si>
  <si>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</si>
  <si>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</si>
  <si>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</si>
  <si>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</si>
  <si>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</si>
  <si>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</si>
  <si>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</si>
  <si>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</si>
  <si>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</si>
  <si>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</si>
  <si>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</si>
  <si>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</si>
  <si>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</si>
  <si>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</si>
  <si>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</si>
  <si>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</si>
  <si>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</si>
  <si>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</si>
  <si>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</si>
  <si>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</si>
  <si>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</si>
  <si>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</si>
  <si>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</si>
  <si>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</si>
  <si>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</si>
  <si>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</si>
  <si>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</si>
  <si>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</si>
  <si>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</si>
  <si>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</si>
  <si>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</si>
  <si>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</si>
  <si>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</si>
  <si>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</si>
  <si>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</si>
  <si>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</si>
  <si>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</si>
  <si>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</si>
  <si>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</si>
  <si>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</si>
  <si>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</si>
  <si>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</si>
  <si>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</si>
  <si>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</si>
  <si>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</si>
  <si>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</si>
  <si>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</si>
  <si>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</si>
  <si>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</si>
  <si>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</si>
  <si>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</si>
  <si>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</si>
  <si>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</si>
  <si>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</si>
  <si>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</si>
  <si>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</si>
  <si>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</si>
  <si>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</si>
  <si>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</si>
  <si>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</si>
  <si>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</si>
  <si>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</si>
  <si>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</si>
  <si>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</si>
  <si>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</si>
  <si>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</si>
  <si>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</si>
  <si>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</si>
  <si>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</si>
  <si>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</si>
  <si>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</si>
  <si>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</si>
  <si>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</si>
  <si>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</si>
  <si>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</si>
  <si>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</si>
  <si>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</si>
  <si>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</si>
  <si>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</si>
  <si>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</si>
  <si>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</si>
  <si>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</si>
  <si>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</si>
  <si>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</si>
  <si>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</si>
  <si>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</si>
  <si>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</si>
  <si>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</si>
  <si>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</si>
  <si>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</si>
  <si>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</si>
  <si>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</si>
  <si>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</si>
  <si>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</si>
  <si>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</si>
  <si>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</si>
  <si>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</si>
  <si>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</si>
  <si>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</si>
  <si>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</si>
  <si>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</si>
  <si>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</si>
  <si>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</si>
  <si>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</si>
  <si>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</si>
  <si>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</si>
  <si>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</si>
  <si>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</si>
  <si>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</si>
  <si>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</si>
  <si>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</si>
  <si>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</si>
  <si>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</si>
  <si>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</si>
  <si>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</si>
  <si>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</si>
  <si>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</si>
  <si>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</si>
  <si>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</si>
  <si>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</si>
  <si>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</si>
  <si>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</si>
  <si>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</si>
  <si>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</si>
  <si>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</si>
  <si>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</si>
  <si>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</si>
  <si>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</si>
  <si>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</si>
  <si>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</si>
  <si>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</si>
  <si>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</si>
  <si>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</si>
  <si>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</si>
  <si>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</si>
  <si>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</si>
  <si>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</si>
  <si>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</si>
  <si>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</si>
  <si>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</si>
  <si>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</si>
  <si>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</si>
  <si>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</si>
  <si>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</si>
  <si>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</si>
  <si>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</si>
  <si>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</si>
  <si>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</si>
  <si>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</si>
  <si>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</si>
  <si>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</si>
  <si>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</si>
  <si>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</si>
  <si>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</si>
  <si>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</si>
  <si>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</si>
  <si>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</si>
  <si>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</si>
  <si>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</si>
  <si>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</si>
  <si>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</si>
  <si>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</si>
  <si>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</si>
  <si>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</si>
  <si>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</si>
  <si>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</si>
  <si>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</si>
  <si>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</si>
  <si>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</si>
  <si>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</si>
  <si>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</si>
  <si>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</si>
  <si>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</si>
  <si>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</si>
  <si>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</si>
  <si>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</si>
  <si>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</si>
  <si>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</si>
  <si>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</si>
  <si>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</si>
  <si>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</si>
  <si>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</si>
  <si>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</si>
  <si>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</si>
  <si>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</si>
  <si>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</si>
  <si>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</si>
  <si>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</si>
  <si>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</si>
  <si>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</si>
  <si>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</si>
  <si>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</si>
  <si>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</si>
  <si>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</si>
  <si>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</si>
  <si>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</si>
  <si>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</si>
  <si>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</si>
  <si>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</si>
  <si>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</si>
  <si>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</si>
  <si>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</si>
  <si>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</si>
  <si>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</si>
  <si>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</si>
  <si>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</si>
  <si>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</si>
  <si>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</si>
  <si>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</si>
  <si>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</si>
  <si>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</si>
  <si>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</si>
  <si>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</si>
  <si>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</si>
  <si>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</si>
  <si>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</si>
  <si>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</si>
  <si>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</si>
  <si>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</si>
  <si>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</si>
  <si>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</si>
  <si>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</si>
  <si>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</si>
  <si>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</si>
  <si>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</si>
  <si>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</si>
  <si>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</si>
  <si>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</si>
  <si>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</si>
  <si>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</si>
  <si>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</si>
  <si>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</si>
  <si>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</si>
  <si>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</si>
  <si>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</si>
  <si>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</si>
  <si>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</si>
  <si>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</si>
  <si>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</si>
  <si>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</si>
  <si>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</si>
  <si>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</si>
  <si>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</si>
  <si>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</si>
  <si>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</si>
  <si>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</si>
  <si>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</si>
  <si>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</si>
  <si>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</si>
  <si>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</si>
  <si>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</si>
  <si>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</si>
  <si>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</si>
  <si>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</si>
  <si>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</si>
  <si>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</si>
  <si>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</si>
  <si>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</si>
  <si>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</si>
  <si>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</si>
  <si>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</si>
  <si>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</si>
  <si>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</si>
  <si>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</si>
  <si>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</si>
  <si>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</si>
  <si>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</si>
  <si>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</si>
  <si>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</si>
  <si>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</si>
  <si>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</si>
  <si>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</si>
  <si>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</si>
  <si>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</si>
  <si>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</si>
  <si>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</si>
  <si>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</si>
  <si>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</si>
  <si>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</si>
  <si>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</si>
  <si>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</si>
  <si>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</si>
  <si>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</si>
  <si>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</si>
  <si>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</si>
  <si>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</si>
  <si>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</si>
  <si>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</si>
  <si>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</si>
  <si>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</si>
  <si>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</si>
  <si>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</si>
  <si>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</si>
  <si>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</si>
  <si>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</si>
  <si>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</si>
  <si>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</si>
  <si>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</si>
  <si>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</si>
  <si>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</si>
  <si>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</si>
  <si>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</si>
  <si>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</si>
  <si>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</si>
  <si>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</si>
  <si>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</si>
  <si>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</si>
  <si>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</si>
  <si>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</si>
  <si>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</si>
  <si>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</si>
  <si>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</si>
  <si>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</si>
  <si>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</si>
  <si>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</si>
  <si>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</si>
  <si>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</si>
  <si>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</si>
  <si>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</si>
  <si>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</si>
  <si>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</si>
  <si>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</si>
  <si>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</si>
  <si>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</si>
  <si>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</si>
  <si>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</si>
  <si>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</si>
  <si>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</si>
  <si>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</si>
  <si>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</si>
  <si>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</si>
  <si>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</si>
  <si>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</si>
  <si>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</si>
  <si>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</si>
  <si>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</si>
  <si>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</si>
  <si>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</si>
  <si>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</si>
  <si>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</si>
  <si>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</si>
  <si>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</si>
  <si>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</si>
  <si>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</si>
  <si>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</si>
  <si>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</si>
  <si>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</si>
  <si>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</si>
  <si>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</si>
  <si>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</si>
  <si>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</si>
  <si>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</si>
  <si>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</si>
  <si>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</si>
  <si>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</si>
  <si>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</si>
  <si>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</si>
  <si>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</si>
  <si>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</si>
  <si>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</si>
  <si>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</si>
  <si>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</si>
  <si>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</si>
  <si>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</si>
  <si>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</si>
  <si>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</si>
  <si>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</si>
  <si>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</si>
  <si>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</si>
  <si>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</si>
  <si>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</si>
  <si>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</si>
  <si>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</si>
  <si>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</si>
  <si>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</si>
  <si>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</si>
  <si>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</si>
  <si>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</si>
  <si>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</si>
  <si>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</si>
  <si>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</si>
  <si>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</si>
  <si>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</si>
  <si>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</si>
  <si>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</si>
  <si>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</si>
  <si>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</si>
  <si>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</si>
  <si>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</si>
  <si>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</si>
  <si>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</si>
  <si>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</si>
  <si>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</si>
  <si>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</si>
  <si>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</si>
  <si>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</si>
  <si>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</si>
  <si>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</si>
  <si>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</si>
  <si>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</si>
  <si>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</si>
  <si>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</si>
  <si>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</si>
  <si>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</si>
  <si>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</si>
  <si>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</si>
  <si>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</si>
  <si>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</si>
  <si>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</si>
  <si>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</si>
  <si>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</si>
  <si>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</si>
  <si>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</si>
  <si>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</si>
  <si>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</si>
  <si>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</si>
  <si>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</si>
  <si>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</si>
  <si>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</si>
  <si>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</si>
  <si>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</si>
  <si>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</si>
  <si>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</si>
  <si>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</si>
  <si>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</si>
  <si>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</si>
  <si>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</si>
  <si>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</si>
  <si>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</si>
  <si>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</si>
  <si>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</si>
  <si>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</si>
  <si>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</si>
  <si>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</si>
  <si>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</si>
  <si>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</si>
  <si>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</si>
  <si>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</si>
  <si>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</si>
  <si>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</si>
  <si>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</si>
  <si>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</si>
  <si>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</si>
  <si>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</si>
  <si>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</si>
  <si>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</si>
  <si>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</si>
  <si>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</si>
  <si>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</si>
  <si>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</si>
  <si>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</si>
  <si>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</si>
  <si>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</si>
  <si>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</si>
  <si>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</si>
  <si>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</si>
  <si>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</si>
  <si>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</si>
  <si>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</si>
  <si>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</si>
  <si>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</si>
  <si>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</si>
  <si>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</si>
  <si>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</si>
  <si>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</si>
  <si>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</si>
  <si>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</si>
  <si>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</si>
  <si>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</si>
  <si>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</si>
  <si>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</si>
  <si>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</si>
  <si>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</si>
  <si>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</si>
  <si>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</si>
  <si>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</si>
  <si>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</si>
  <si>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</si>
  <si>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</si>
  <si>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</si>
  <si>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</si>
  <si>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</si>
  <si>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</si>
  <si>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</si>
  <si>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</si>
  <si>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</si>
  <si>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</si>
  <si>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</si>
  <si>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</si>
  <si>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</si>
  <si>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</si>
  <si>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</si>
  <si>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</si>
  <si>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</si>
  <si>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</si>
  <si>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</si>
  <si>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</si>
  <si>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</si>
  <si>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</si>
  <si>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</si>
  <si>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</si>
  <si>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</si>
  <si>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</si>
  <si>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</si>
  <si>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</si>
  <si>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</si>
  <si>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</si>
  <si>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</si>
  <si>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</si>
  <si>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</si>
  <si>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</si>
  <si>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</si>
  <si>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</si>
  <si>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</si>
  <si>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</si>
  <si>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</si>
  <si>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</si>
  <si>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</si>
  <si>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</si>
  <si>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</si>
  <si>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</si>
  <si>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</si>
  <si>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</si>
  <si>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</si>
  <si>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</si>
  <si>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</si>
  <si>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</si>
  <si>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</si>
  <si>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</si>
  <si>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</si>
  <si>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</si>
  <si>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</si>
  <si>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</si>
  <si>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</si>
  <si>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</si>
  <si>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</si>
  <si>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</si>
  <si>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</si>
  <si>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</si>
  <si>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</si>
  <si>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</si>
  <si>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</si>
  <si>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</si>
  <si>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</si>
  <si>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</si>
  <si>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</si>
  <si>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</si>
  <si>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</si>
  <si>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</si>
  <si>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</si>
  <si>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</si>
  <si>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</si>
  <si>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</si>
  <si>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</si>
  <si>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</si>
  <si>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</si>
  <si>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</si>
  <si>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</si>
  <si>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</si>
  <si>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</si>
  <si>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</si>
  <si>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</si>
  <si>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</si>
  <si>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</si>
  <si>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</si>
  <si>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</si>
  <si>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</si>
  <si>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</si>
  <si>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</si>
  <si>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</si>
  <si>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</si>
  <si>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</si>
  <si>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</si>
  <si>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</si>
  <si>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</si>
  <si>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</si>
  <si>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</si>
  <si>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</si>
  <si>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</si>
  <si>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</si>
  <si>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</si>
  <si>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</si>
  <si>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</si>
  <si>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</si>
  <si>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</si>
  <si>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</si>
  <si>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</si>
  <si>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</si>
  <si>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</si>
  <si>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</si>
  <si>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</si>
  <si>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</si>
  <si>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</si>
  <si>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</si>
  <si>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</si>
  <si>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</si>
  <si>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</si>
  <si>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</si>
  <si>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</si>
  <si>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</si>
  <si>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</si>
  <si>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</si>
  <si>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</si>
  <si>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</si>
  <si>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</si>
  <si>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</si>
  <si>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</si>
  <si>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</si>
  <si>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</si>
  <si>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</si>
  <si>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</si>
  <si>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</si>
  <si>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</si>
  <si>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</si>
  <si>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</si>
  <si>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</si>
  <si>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</si>
  <si>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</si>
  <si>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</si>
  <si>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</si>
  <si>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</si>
  <si>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</si>
  <si>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</si>
  <si>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</si>
  <si>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</si>
  <si>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</si>
  <si>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</si>
  <si>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</si>
  <si>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</si>
  <si>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</si>
  <si>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</si>
  <si>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</si>
  <si>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</si>
  <si>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</si>
  <si>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</si>
  <si>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</si>
  <si>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</si>
  <si>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</si>
  <si>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</si>
  <si>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</si>
  <si>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</si>
  <si>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</si>
  <si>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</si>
  <si>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</si>
  <si>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</si>
  <si>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</si>
  <si>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</si>
  <si>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</si>
  <si>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</si>
  <si>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</si>
  <si>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</si>
  <si>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</si>
  <si>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</si>
  <si>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</si>
  <si>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</si>
  <si>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</si>
  <si>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</si>
  <si>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</si>
  <si>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</si>
  <si>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</si>
  <si>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</si>
  <si>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</si>
  <si>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</si>
  <si>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</si>
  <si>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</si>
  <si>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</si>
  <si>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</si>
  <si>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</si>
  <si>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</si>
  <si>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</si>
  <si>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</si>
  <si>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</si>
  <si>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</si>
  <si>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</si>
  <si>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</si>
  <si>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</si>
  <si>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</si>
  <si>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</si>
  <si>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</si>
  <si>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</si>
  <si>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</si>
  <si>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</si>
  <si>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</si>
  <si>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</si>
  <si>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</si>
  <si>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</si>
  <si>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</si>
  <si>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</si>
  <si>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</si>
  <si>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</si>
  <si>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</si>
  <si>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</si>
  <si>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</si>
  <si>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</si>
  <si>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</si>
  <si>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</si>
  <si>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</si>
  <si>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</si>
  <si>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</si>
  <si>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</si>
  <si>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</si>
  <si>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</si>
  <si>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</si>
  <si>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</si>
  <si>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</si>
  <si>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</si>
  <si>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</si>
  <si>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</si>
  <si>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</si>
  <si>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</si>
  <si>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</si>
  <si>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</si>
  <si>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</si>
  <si>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</si>
  <si>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</si>
  <si>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</si>
  <si>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</si>
  <si>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</si>
  <si>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</si>
  <si>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</si>
  <si>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</si>
  <si>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</si>
  <si>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</si>
  <si>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</si>
  <si>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</si>
  <si>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</si>
  <si>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</si>
  <si>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</si>
  <si>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</si>
  <si>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</si>
  <si>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</si>
  <si>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</si>
  <si>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</si>
  <si>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</si>
  <si>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</si>
  <si>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</si>
  <si>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</si>
  <si>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</si>
  <si>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</si>
  <si>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</si>
  <si>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</si>
  <si>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</si>
  <si>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</si>
  <si>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</si>
  <si>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</si>
  <si>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</si>
  <si>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</si>
  <si>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</si>
  <si>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</si>
  <si>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</si>
  <si>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</si>
  <si>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</si>
  <si>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</si>
  <si>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</si>
  <si>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</si>
  <si>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</si>
  <si>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</si>
  <si>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</si>
  <si>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</si>
  <si>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</si>
  <si>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</si>
  <si>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</si>
  <si>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</si>
  <si>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</si>
  <si>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</si>
  <si>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</si>
  <si>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</si>
  <si>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</si>
  <si>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</si>
  <si>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</si>
  <si>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</si>
  <si>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</si>
  <si>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</si>
  <si>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</si>
  <si>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</si>
  <si>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</si>
  <si>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</si>
  <si>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</si>
  <si>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</si>
  <si>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</si>
  <si>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</si>
  <si>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</si>
  <si>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</si>
  <si>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</si>
  <si>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</si>
  <si>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</si>
  <si>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</si>
  <si>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</si>
  <si>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</si>
  <si>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</si>
  <si>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</si>
  <si>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</si>
  <si>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</si>
  <si>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</si>
  <si>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</si>
  <si>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</si>
  <si>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</si>
  <si>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</si>
  <si>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</si>
  <si>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</si>
  <si>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</si>
  <si>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</si>
  <si>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</si>
  <si>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</si>
  <si>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</si>
  <si>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</si>
  <si>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</si>
  <si>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</si>
  <si>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</si>
  <si>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</si>
  <si>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</si>
  <si>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</si>
  <si>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</si>
  <si>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</si>
  <si>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</si>
  <si>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</si>
  <si>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</si>
  <si>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</si>
  <si>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</si>
  <si>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</si>
  <si>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</si>
  <si>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</si>
  <si>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</si>
  <si>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</si>
  <si>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</si>
  <si>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</si>
  <si>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</si>
  <si>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</si>
  <si>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</si>
  <si>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</si>
  <si>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</si>
  <si>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</si>
  <si>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</si>
  <si>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</si>
  <si>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</si>
  <si>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</si>
  <si>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</si>
  <si>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</si>
  <si>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</si>
  <si>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</si>
  <si>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</si>
  <si>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</si>
  <si>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</si>
  <si>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</si>
  <si>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</si>
  <si>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</si>
  <si>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</si>
  <si>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</si>
  <si>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</si>
  <si>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</si>
  <si>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</si>
  <si>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</si>
  <si>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</si>
  <si>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</si>
  <si>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</si>
  <si>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</si>
  <si>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</si>
  <si>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</si>
  <si>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</si>
  <si>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</si>
  <si>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</si>
  <si>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</si>
  <si>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</si>
  <si>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</si>
  <si>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</si>
  <si>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</si>
  <si>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</si>
  <si>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</si>
  <si>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</si>
  <si>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</si>
  <si>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</si>
  <si>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</si>
  <si>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</si>
  <si>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</si>
  <si>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</si>
  <si>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</si>
  <si>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</si>
  <si>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</si>
  <si>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</si>
  <si>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</si>
  <si>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</si>
  <si>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</si>
  <si>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</si>
  <si>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</si>
  <si>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</si>
  <si>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</si>
  <si>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</si>
  <si>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</si>
  <si>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</si>
  <si>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</si>
  <si>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</si>
  <si>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</si>
  <si>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</si>
  <si>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</si>
  <si>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</si>
  <si>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</si>
  <si>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</si>
  <si>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</si>
  <si>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</si>
  <si>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</si>
  <si>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</si>
  <si>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</si>
  <si>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</si>
  <si>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</si>
  <si>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</si>
  <si>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</si>
  <si>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</si>
  <si>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</si>
  <si>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</si>
  <si>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</si>
  <si>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</si>
  <si>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</si>
  <si>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</si>
  <si>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</si>
  <si>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</si>
  <si>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</si>
  <si>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</si>
  <si>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</si>
  <si>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</si>
  <si>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</si>
  <si>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</si>
  <si>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</si>
  <si>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</si>
  <si>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</si>
  <si>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</si>
  <si>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</si>
  <si>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</si>
  <si>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</si>
  <si>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</si>
  <si>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</si>
  <si>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</si>
  <si>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</si>
  <si>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</si>
  <si>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</si>
  <si>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</si>
  <si>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</si>
  <si>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</si>
  <si>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</si>
  <si>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</si>
  <si>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</si>
  <si>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</si>
  <si>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</si>
  <si>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</si>
  <si>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</si>
  <si>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</si>
  <si>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</si>
  <si>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</si>
  <si>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</si>
  <si>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</si>
  <si>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</si>
  <si>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</si>
  <si>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</si>
  <si>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</si>
  <si>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</si>
  <si>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</si>
  <si>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</si>
  <si>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</si>
  <si>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</si>
  <si>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</si>
  <si>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</si>
  <si>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</si>
  <si>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</si>
  <si>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</si>
  <si>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</si>
  <si>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</si>
  <si>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</si>
  <si>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</si>
  <si>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</si>
  <si>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</si>
  <si>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</si>
  <si>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</si>
  <si>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</si>
  <si>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</si>
  <si>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</si>
  <si>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</si>
  <si>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</si>
  <si>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</si>
  <si>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</si>
  <si>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</si>
  <si>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</si>
  <si>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</si>
  <si>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</si>
  <si>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</si>
  <si>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</si>
  <si>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</si>
  <si>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</si>
  <si>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</si>
  <si>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</si>
  <si>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</si>
  <si>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</si>
  <si>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</si>
  <si>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</si>
  <si>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</si>
  <si>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</si>
  <si>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</si>
  <si>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</si>
  <si>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</si>
  <si>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</si>
  <si>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</si>
  <si>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</si>
  <si>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</si>
  <si>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</si>
  <si>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</si>
  <si>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</si>
  <si>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</si>
  <si>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</si>
  <si>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</si>
  <si>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</si>
  <si>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</si>
  <si>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</si>
  <si>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</si>
  <si>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</si>
  <si>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</si>
  <si>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</si>
  <si>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</si>
  <si>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</si>
  <si>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</si>
  <si>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</si>
  <si>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</si>
  <si>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</si>
  <si>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</si>
  <si>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</si>
  <si>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</si>
  <si>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</si>
  <si>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</si>
  <si>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</si>
  <si>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</si>
  <si>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</si>
  <si>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</si>
  <si>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</si>
  <si>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</si>
  <si>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</si>
  <si>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</si>
  <si>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</si>
  <si>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</si>
  <si>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</si>
  <si>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</si>
  <si>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</si>
  <si>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</si>
  <si>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</si>
  <si>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</si>
  <si>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</si>
  <si>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</si>
  <si>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</si>
  <si>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</si>
  <si>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</si>
  <si>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</si>
  <si>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</si>
  <si>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</si>
  <si>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</si>
  <si>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</si>
  <si>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</si>
  <si>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</si>
  <si>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</si>
  <si>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</si>
  <si>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</si>
  <si>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</si>
  <si>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</si>
  <si>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</si>
  <si>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</si>
  <si>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</si>
  <si>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</si>
  <si>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</si>
  <si>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</si>
  <si>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</si>
  <si>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</si>
  <si>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</si>
  <si>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</si>
  <si>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</si>
  <si>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</si>
  <si>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</si>
  <si>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</si>
  <si>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</si>
  <si>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</si>
  <si>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</si>
  <si>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</si>
  <si>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</si>
  <si>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</si>
  <si>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</si>
  <si>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</si>
  <si>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</si>
  <si>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</si>
  <si>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</si>
  <si>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</si>
  <si>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</si>
  <si>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</si>
  <si>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</si>
  <si>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</si>
  <si>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</si>
  <si>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</si>
  <si>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</si>
  <si>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</si>
  <si>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</si>
  <si>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</si>
  <si>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</si>
  <si>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</si>
  <si>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</si>
  <si>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</si>
  <si>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</si>
  <si>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</si>
  <si>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</si>
  <si>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</si>
  <si>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</si>
  <si>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</si>
  <si>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</si>
  <si>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</si>
  <si>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</si>
  <si>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</si>
  <si>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</si>
  <si>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</si>
  <si>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</si>
  <si>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</si>
  <si>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</si>
  <si>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</si>
  <si>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</si>
  <si>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</si>
  <si>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</si>
  <si>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</si>
  <si>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</si>
  <si>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</si>
  <si>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</si>
  <si>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</si>
  <si>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</si>
  <si>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</si>
  <si>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</si>
  <si>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</si>
  <si>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</si>
  <si>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</si>
  <si>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</si>
  <si>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</si>
  <si>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</si>
  <si>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</si>
  <si>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</si>
  <si>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</si>
  <si>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</si>
  <si>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</si>
  <si>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</si>
  <si>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</si>
  <si>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</si>
  <si>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</si>
  <si>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</si>
  <si>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</si>
  <si>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</si>
  <si>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</si>
  <si>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</si>
  <si>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</si>
  <si>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</si>
  <si>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</si>
  <si>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</si>
  <si>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</si>
  <si>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</si>
  <si>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</si>
  <si>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</si>
  <si>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</si>
  <si>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</si>
  <si>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</si>
  <si>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</si>
  <si>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</si>
  <si>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</si>
  <si>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</si>
  <si>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</si>
  <si>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</si>
  <si>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</si>
  <si>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</si>
  <si>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</si>
  <si>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</si>
  <si>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</si>
  <si>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</si>
  <si>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</si>
  <si>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</si>
  <si>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</si>
  <si>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</si>
  <si>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</si>
  <si>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</si>
  <si>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</si>
  <si>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</si>
  <si>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</si>
  <si>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</si>
  <si>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</si>
  <si>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</si>
  <si>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</si>
  <si>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</si>
  <si>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</si>
  <si>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</si>
  <si>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</si>
  <si>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</si>
  <si>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</si>
  <si>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</si>
  <si>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</si>
  <si>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</si>
  <si>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</si>
  <si>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</si>
  <si>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</si>
  <si>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</si>
  <si>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</si>
  <si>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</si>
  <si>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</si>
  <si>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</si>
  <si>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</si>
  <si>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</si>
  <si>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</si>
  <si>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</si>
  <si>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</si>
  <si>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</si>
  <si>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</si>
  <si>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</si>
  <si>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</si>
  <si>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</si>
  <si>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</si>
  <si>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</si>
  <si>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</si>
  <si>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</si>
  <si>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</si>
  <si>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</si>
  <si>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</si>
  <si>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</si>
  <si>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</si>
  <si>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</si>
  <si>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</si>
  <si>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</si>
  <si>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</si>
  <si>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</si>
  <si>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</si>
  <si>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</si>
  <si>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</si>
  <si>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</si>
  <si>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</si>
  <si>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</si>
  <si>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</si>
  <si>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</si>
  <si>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</si>
  <si>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</si>
  <si>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</si>
  <si>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</si>
  <si>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</si>
  <si>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</si>
  <si>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</si>
  <si>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</si>
  <si>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</si>
  <si>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</si>
  <si>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</si>
  <si>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</si>
  <si>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</si>
  <si>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</si>
  <si>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</si>
  <si>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</si>
  <si>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</si>
  <si>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</si>
  <si>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</si>
  <si>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</si>
  <si>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</si>
  <si>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</si>
  <si>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</si>
  <si>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</si>
  <si>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</si>
  <si>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</si>
  <si>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</si>
  <si>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</si>
  <si>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</si>
  <si>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</si>
  <si>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</si>
  <si>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</si>
  <si>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</si>
  <si>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</si>
  <si>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</si>
  <si>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</si>
  <si>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</si>
  <si>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</si>
  <si>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</si>
  <si>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</si>
  <si>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</si>
  <si>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</si>
  <si>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</si>
  <si>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</si>
  <si>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</si>
  <si>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</si>
  <si>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</si>
  <si>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</si>
  <si>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</si>
  <si>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</si>
  <si>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</si>
  <si>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</si>
  <si>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</si>
  <si>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</si>
  <si>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</si>
  <si>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</si>
  <si>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</si>
  <si>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</si>
  <si>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</si>
  <si>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</si>
  <si>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</si>
  <si>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</si>
  <si>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</si>
  <si>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</si>
  <si>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</si>
  <si>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</si>
  <si>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</si>
  <si>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</si>
  <si>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</si>
  <si>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</si>
  <si>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</si>
  <si>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</si>
  <si>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</si>
  <si>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</si>
  <si>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</si>
  <si>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</si>
  <si>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</si>
  <si>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</si>
  <si>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</si>
  <si>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</si>
  <si>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</si>
  <si>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</si>
  <si>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</si>
  <si>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</si>
  <si>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</si>
  <si>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</si>
  <si>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</si>
  <si>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</si>
  <si>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</si>
  <si>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</si>
  <si>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</si>
  <si>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</si>
  <si>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</si>
  <si>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</si>
  <si>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</si>
  <si>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</si>
  <si>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</si>
  <si>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</si>
  <si>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</si>
  <si>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</si>
  <si>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</si>
  <si>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</si>
  <si>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</si>
  <si>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</si>
  <si>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</si>
  <si>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</si>
  <si>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</si>
  <si>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</si>
  <si>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</si>
  <si>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</si>
  <si>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</si>
  <si>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</si>
  <si>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</si>
  <si>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</si>
  <si>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</si>
  <si>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</si>
  <si>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</si>
  <si>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</si>
  <si>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</si>
  <si>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</si>
  <si>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</si>
  <si>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</si>
  <si>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</si>
  <si>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</si>
  <si>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</si>
  <si>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</si>
  <si>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</si>
  <si>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</si>
  <si>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</si>
  <si>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</si>
  <si>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</si>
  <si>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</si>
  <si>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</si>
  <si>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</si>
  <si>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</si>
  <si>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</si>
  <si>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</si>
  <si>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</si>
  <si>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</si>
  <si>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</si>
  <si>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</si>
  <si>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</si>
  <si>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</si>
  <si>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</si>
  <si>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</si>
  <si>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</si>
  <si>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</si>
  <si>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</si>
  <si>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</si>
  <si>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</si>
  <si>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</si>
  <si>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</si>
  <si>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</si>
  <si>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</si>
  <si>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</si>
  <si>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</si>
  <si>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</si>
  <si>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</si>
  <si>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</si>
  <si>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</si>
  <si>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</si>
  <si>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</si>
  <si>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</si>
  <si>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</si>
  <si>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</si>
  <si>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</si>
  <si>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</si>
  <si>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</si>
  <si>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</si>
  <si>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</si>
  <si>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</si>
  <si>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</si>
  <si>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</si>
  <si>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</si>
  <si>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</si>
  <si>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</si>
  <si>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</si>
  <si>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</si>
  <si>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</si>
  <si>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</si>
  <si>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</si>
  <si>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</si>
  <si>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</si>
  <si>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</si>
  <si>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</si>
  <si>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</si>
  <si>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</si>
  <si>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</si>
  <si>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</si>
  <si>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</si>
  <si>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</si>
  <si>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</si>
  <si>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</si>
  <si>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</si>
  <si>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</si>
  <si>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</si>
  <si>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</si>
  <si>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</si>
  <si>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</si>
  <si>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</si>
  <si>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</si>
  <si>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</si>
  <si>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</si>
  <si>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</si>
  <si>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</si>
  <si>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</si>
  <si>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</si>
  <si>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</si>
  <si>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</si>
  <si>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</si>
  <si>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</si>
  <si>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</si>
  <si>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</si>
  <si>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</si>
  <si>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</si>
  <si>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</si>
  <si>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</si>
  <si>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</si>
  <si>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</si>
  <si>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</si>
  <si>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</si>
  <si>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</si>
  <si>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</si>
  <si>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</si>
  <si>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</si>
  <si>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</si>
  <si>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</si>
  <si>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</si>
  <si>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</si>
  <si>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</si>
  <si>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</si>
  <si>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</si>
  <si>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</si>
  <si>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</si>
  <si>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</si>
  <si>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</si>
  <si>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</si>
  <si>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</si>
  <si>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</si>
  <si>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</si>
  <si>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</si>
  <si>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</si>
  <si>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</si>
  <si>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</si>
  <si>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</si>
  <si>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</si>
  <si>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</si>
  <si>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</si>
  <si>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</si>
  <si>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</si>
  <si>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</si>
  <si>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</si>
  <si>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</si>
  <si>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</si>
  <si>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</si>
  <si>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</si>
  <si>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</si>
  <si>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</si>
  <si>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</si>
  <si>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</si>
  <si>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</si>
  <si>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</si>
  <si>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</si>
  <si>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</si>
  <si>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</si>
  <si>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</si>
  <si>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</si>
  <si>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</si>
  <si>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</si>
  <si>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</si>
  <si>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</si>
  <si>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</si>
  <si>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</si>
  <si>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</si>
  <si>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</si>
  <si>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</si>
  <si>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</si>
  <si>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</si>
  <si>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</si>
  <si>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</si>
  <si>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</si>
  <si>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</si>
  <si>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</si>
  <si>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</si>
  <si>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</si>
  <si>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</si>
  <si>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</si>
  <si>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</si>
  <si>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</si>
  <si>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</si>
  <si>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</si>
  <si>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</si>
  <si>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</si>
  <si>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</si>
  <si>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</si>
  <si>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</si>
  <si>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</si>
  <si>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</si>
  <si>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</si>
  <si>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</si>
  <si>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</si>
  <si>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</si>
  <si>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</si>
  <si>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</si>
  <si>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</si>
  <si>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</si>
  <si>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</si>
  <si>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</si>
  <si>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</si>
  <si>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</si>
  <si>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</si>
  <si>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</si>
  <si>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</si>
  <si>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</si>
  <si>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</si>
  <si>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</si>
  <si>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</si>
  <si>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</si>
  <si>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</si>
  <si>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</si>
  <si>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</si>
  <si>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</si>
  <si>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</si>
  <si>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</si>
  <si>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</si>
  <si>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</si>
  <si>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</si>
  <si>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</si>
  <si>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</si>
  <si>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</si>
  <si>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</si>
  <si>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</si>
  <si>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</si>
  <si>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</si>
  <si>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</si>
  <si>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</si>
  <si>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</si>
  <si>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</si>
  <si>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</si>
  <si>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</si>
  <si>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</si>
  <si>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</si>
  <si>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</si>
  <si>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</si>
  <si>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</si>
  <si>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</si>
  <si>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</si>
  <si>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</si>
  <si>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</si>
  <si>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</si>
  <si>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</si>
  <si>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</si>
  <si>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</si>
  <si>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</si>
  <si>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</si>
  <si>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</si>
  <si>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</si>
  <si>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</si>
  <si>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</si>
  <si>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</si>
  <si>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</si>
  <si>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</si>
  <si>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</si>
  <si>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</si>
  <si>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</si>
  <si>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</si>
  <si>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</si>
  <si>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</si>
  <si>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</si>
  <si>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</si>
  <si>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</si>
  <si>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</si>
  <si>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</si>
  <si>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</si>
  <si>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</si>
  <si>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</si>
  <si>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</si>
  <si>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</si>
  <si>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</si>
  <si>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</si>
  <si>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</si>
  <si>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</si>
  <si>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</si>
  <si>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</si>
  <si>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</si>
  <si>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</si>
  <si>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</si>
  <si>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</si>
  <si>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</si>
  <si>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</si>
  <si>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</si>
  <si>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</si>
  <si>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</si>
  <si>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</si>
  <si>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</si>
  <si>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</si>
  <si>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</si>
  <si>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</si>
  <si>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</si>
  <si>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</si>
  <si>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</si>
  <si>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</si>
  <si>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</si>
  <si>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</si>
  <si>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</si>
  <si>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</si>
  <si>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</si>
  <si>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</si>
  <si>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</si>
  <si>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</si>
  <si>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</si>
  <si>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</si>
  <si>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</si>
  <si>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</si>
  <si>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</si>
  <si>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</si>
  <si>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</si>
  <si>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</si>
  <si>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</si>
  <si>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</si>
  <si>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</si>
  <si>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</si>
  <si>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</si>
  <si>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</si>
  <si>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</si>
  <si>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</si>
  <si>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</si>
  <si>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</si>
  <si>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</si>
  <si>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</si>
  <si>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</si>
  <si>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</si>
  <si>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</si>
  <si>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</si>
  <si>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</si>
  <si>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</si>
  <si>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</si>
  <si>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</si>
  <si>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</si>
  <si>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</si>
  <si>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</si>
  <si>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</si>
  <si>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</si>
  <si>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</si>
  <si>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</si>
  <si>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</si>
  <si>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</si>
  <si>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</si>
  <si>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</si>
  <si>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</si>
  <si>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</si>
  <si>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</si>
  <si>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</si>
  <si>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</si>
  <si>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</si>
  <si>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</si>
  <si>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</si>
  <si>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</si>
  <si>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</si>
  <si>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</si>
  <si>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</si>
  <si>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</si>
  <si>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</si>
  <si>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</si>
  <si>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</si>
  <si>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</si>
  <si>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</si>
  <si>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</si>
  <si>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</si>
  <si>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</si>
  <si>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</si>
  <si>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</si>
  <si>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</si>
  <si>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</si>
  <si>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</si>
  <si>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</si>
  <si>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</si>
  <si>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</si>
  <si>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</si>
  <si>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</si>
  <si>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</si>
  <si>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</si>
  <si>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</si>
  <si>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</si>
  <si>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</si>
  <si>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</si>
  <si>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</si>
  <si>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</si>
  <si>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</si>
  <si>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</si>
  <si>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</si>
  <si>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</si>
  <si>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</si>
  <si>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</si>
  <si>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</si>
  <si>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</si>
  <si>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</si>
  <si>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</si>
  <si>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</si>
  <si>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</si>
  <si>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</si>
  <si>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</si>
  <si>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</si>
  <si>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</si>
  <si>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</si>
  <si>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</si>
  <si>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</si>
  <si>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</si>
  <si>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</si>
  <si>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</si>
  <si>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</si>
  <si>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</si>
  <si>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</si>
  <si>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</si>
  <si>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</si>
  <si>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</si>
  <si>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</si>
  <si>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</si>
  <si>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</si>
  <si>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</si>
  <si>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</si>
  <si>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</si>
  <si>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</si>
  <si>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</si>
  <si>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</si>
  <si>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</si>
  <si>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</si>
  <si>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</si>
  <si>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</si>
  <si>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</si>
  <si>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</si>
  <si>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</si>
  <si>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</si>
  <si>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</si>
  <si>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</si>
  <si>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</si>
  <si>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</si>
  <si>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</si>
  <si>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</si>
  <si>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</si>
  <si>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</si>
  <si>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</si>
  <si>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</si>
  <si>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</si>
  <si>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</si>
  <si>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</si>
  <si>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</si>
  <si>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</si>
  <si>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</si>
  <si>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</si>
  <si>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</si>
  <si>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</si>
  <si>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</si>
  <si>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</si>
  <si>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</si>
  <si>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</si>
  <si>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</si>
  <si>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</si>
  <si>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</si>
  <si>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</si>
  <si>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</si>
  <si>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</si>
  <si>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</si>
  <si>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</si>
  <si>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</si>
  <si>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</si>
  <si>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</si>
  <si>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</si>
  <si>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</si>
  <si>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</si>
  <si>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</si>
  <si>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</si>
  <si>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</si>
  <si>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</si>
  <si>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</si>
  <si>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</si>
  <si>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</si>
  <si>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</si>
  <si>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</si>
  <si>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</si>
  <si>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</si>
  <si>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</si>
  <si>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</si>
  <si>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</si>
  <si>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</si>
  <si>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</si>
  <si>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</si>
  <si>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</si>
  <si>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</si>
  <si>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</si>
  <si>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</si>
  <si>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</si>
  <si>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</si>
  <si>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</si>
  <si>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</si>
  <si>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</si>
  <si>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</si>
  <si>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</si>
  <si>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</si>
  <si>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</si>
  <si>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</si>
  <si>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</si>
  <si>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</si>
  <si>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</si>
  <si>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</si>
  <si>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</si>
  <si>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</si>
  <si>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</si>
  <si>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</si>
  <si>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</si>
  <si>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</si>
  <si>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</si>
  <si>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</si>
  <si>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</si>
  <si>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</si>
  <si>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</si>
  <si>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</si>
  <si>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</si>
  <si>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</si>
  <si>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</si>
  <si>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</si>
  <si>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</si>
  <si>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</si>
  <si>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</si>
  <si>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</si>
  <si>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</si>
  <si>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</si>
  <si>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</si>
  <si>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</si>
  <si>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</si>
  <si>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</si>
  <si>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</si>
  <si>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</si>
  <si>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</si>
  <si>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</si>
  <si>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</si>
  <si>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</si>
  <si>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</si>
  <si>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</si>
  <si>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</si>
  <si>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</si>
  <si>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</si>
  <si>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</si>
  <si>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</si>
  <si>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</si>
  <si>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</si>
  <si>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</si>
  <si>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</si>
  <si>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</si>
  <si>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</si>
  <si>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</si>
  <si>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</si>
  <si>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</si>
  <si>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</si>
  <si>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</si>
  <si>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</si>
  <si>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</si>
  <si>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</si>
  <si>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</si>
  <si>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</si>
  <si>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</si>
  <si>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</si>
  <si>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</si>
  <si>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</si>
  <si>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</si>
  <si>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</si>
  <si>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</si>
  <si>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</si>
  <si>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</si>
  <si>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</si>
  <si>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</si>
  <si>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</si>
  <si>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</si>
  <si>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</si>
  <si>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</si>
  <si>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</si>
  <si>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</si>
  <si>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</si>
  <si>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</si>
  <si>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</si>
  <si>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</si>
  <si>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</si>
  <si>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</si>
  <si>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</si>
  <si>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</si>
  <si>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</si>
  <si>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</si>
  <si>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</si>
  <si>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</si>
  <si>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</si>
  <si>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</si>
  <si>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</si>
  <si>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</si>
  <si>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</si>
  <si>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</si>
  <si>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</si>
  <si>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</si>
  <si>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</si>
  <si>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</si>
  <si>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</si>
  <si>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</si>
  <si>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</si>
  <si>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</si>
  <si>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</si>
  <si>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</si>
  <si>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</si>
  <si>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</si>
  <si>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</si>
  <si>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</si>
  <si>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</si>
  <si>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</si>
  <si>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</si>
  <si>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</si>
  <si>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</si>
  <si>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</si>
  <si>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</si>
  <si>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</si>
  <si>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</si>
  <si>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</si>
  <si>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</si>
  <si>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</si>
  <si>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</si>
  <si>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</si>
  <si>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</si>
  <si>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</si>
  <si>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</si>
  <si>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</si>
  <si>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</si>
  <si>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</si>
  <si>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</si>
  <si>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</si>
  <si>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</si>
  <si>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</si>
  <si>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</si>
  <si>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</si>
  <si>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</si>
  <si>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</si>
  <si>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</si>
  <si>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</si>
  <si>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</si>
  <si>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</si>
  <si>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</si>
  <si>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</si>
  <si>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</si>
  <si>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</si>
  <si>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</si>
  <si>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</si>
  <si>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</si>
  <si>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</si>
  <si>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</si>
  <si>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</si>
  <si>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</si>
  <si>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</si>
  <si>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</si>
  <si>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</si>
  <si>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</si>
  <si>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</si>
  <si>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</si>
  <si>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</si>
  <si>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</si>
  <si>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</si>
  <si>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</si>
  <si>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</si>
  <si>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</si>
  <si>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</si>
  <si>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</si>
  <si>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</si>
  <si>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</si>
  <si>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</si>
  <si>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</si>
  <si>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</si>
  <si>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</si>
  <si>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</si>
  <si>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</si>
  <si>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</si>
  <si>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</si>
  <si>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</si>
  <si>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</si>
  <si>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</si>
  <si>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</si>
  <si>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</si>
  <si>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</si>
  <si>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</si>
  <si>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</si>
  <si>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</si>
  <si>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</si>
  <si>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</si>
  <si>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</si>
  <si>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</si>
  <si>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</si>
  <si>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</si>
  <si>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</si>
  <si>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</si>
  <si>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</si>
  <si>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</si>
  <si>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</si>
  <si>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</si>
  <si>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</si>
  <si>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</si>
  <si>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</si>
  <si>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</si>
  <si>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</si>
  <si>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</si>
  <si>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</si>
  <si>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</si>
  <si>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</si>
  <si>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</si>
  <si>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</si>
  <si>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</si>
  <si>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</si>
  <si>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</si>
  <si>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</si>
  <si>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</si>
  <si>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</si>
  <si>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</si>
  <si>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</si>
  <si>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</si>
  <si>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</si>
  <si>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</si>
  <si>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</si>
  <si>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</si>
  <si>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</si>
  <si>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</si>
  <si>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</si>
  <si>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</si>
  <si>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</si>
  <si>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</si>
  <si>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</si>
  <si>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</si>
  <si>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</si>
  <si>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</si>
  <si>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</si>
  <si>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</si>
  <si>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</si>
  <si>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</si>
  <si>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</si>
  <si>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</si>
  <si>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</si>
  <si>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</si>
  <si>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</si>
  <si>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</si>
  <si>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</si>
  <si>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</si>
  <si>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</si>
  <si>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</si>
  <si>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</si>
  <si>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</si>
  <si>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</si>
  <si>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</si>
  <si>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</si>
  <si>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</si>
  <si>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</si>
  <si>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</si>
  <si>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</si>
  <si>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</si>
  <si>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</si>
  <si>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</si>
  <si>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</si>
  <si>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</si>
  <si>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</si>
  <si>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</si>
  <si>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</si>
  <si>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</si>
  <si>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</si>
  <si>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</si>
  <si>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</si>
  <si>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</si>
  <si>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</si>
  <si>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</si>
  <si>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</si>
  <si>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</si>
  <si>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</si>
  <si>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</si>
  <si>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</si>
  <si>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</si>
  <si>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</si>
  <si>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</si>
  <si>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</si>
  <si>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</si>
  <si>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</si>
  <si>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</si>
  <si>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</si>
  <si>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</si>
  <si>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</si>
  <si>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</si>
  <si>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</si>
  <si>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</si>
  <si>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</si>
  <si>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</si>
  <si>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</si>
  <si>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</si>
  <si>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</si>
  <si>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</si>
  <si>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</si>
  <si>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</si>
  <si>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</si>
  <si>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</si>
  <si>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</si>
  <si>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</si>
  <si>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</si>
  <si>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</si>
  <si>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</si>
  <si>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</si>
  <si>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</si>
  <si>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</si>
  <si>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</si>
  <si>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</si>
  <si>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</si>
  <si>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</si>
  <si>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</si>
  <si>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</si>
  <si>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</si>
  <si>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</si>
  <si>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</si>
  <si>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</si>
  <si>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</si>
  <si>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</si>
  <si>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</si>
  <si>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</si>
  <si>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</si>
  <si>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</si>
  <si>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</si>
  <si>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</si>
  <si>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</si>
  <si>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</si>
  <si>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</si>
  <si>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</si>
  <si>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</si>
  <si>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</si>
  <si>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</si>
  <si>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</si>
  <si>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</si>
  <si>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</si>
  <si>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</si>
  <si>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</si>
  <si>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</si>
  <si>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</si>
  <si>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</si>
  <si>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</si>
  <si>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</si>
  <si>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</si>
  <si>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</si>
  <si>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</si>
  <si>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</si>
  <si>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</si>
  <si>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</si>
  <si>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</si>
  <si>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</si>
  <si>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</si>
  <si>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</si>
  <si>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</si>
  <si>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</si>
  <si>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</si>
  <si>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</si>
  <si>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</si>
  <si>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</si>
  <si>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</si>
  <si>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</si>
  <si>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</si>
  <si>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</si>
  <si>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</si>
  <si>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</si>
  <si>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</si>
  <si>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</si>
  <si>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</si>
  <si>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</si>
  <si>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</si>
  <si>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</si>
  <si>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</si>
  <si>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</si>
  <si>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</si>
  <si>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</si>
  <si>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</si>
  <si>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</si>
  <si>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</si>
  <si>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</si>
  <si>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</si>
  <si>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</si>
  <si>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</si>
  <si>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</si>
  <si>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</si>
  <si>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</si>
  <si>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</si>
  <si>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</si>
  <si>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</si>
  <si>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</si>
  <si>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</si>
  <si>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</si>
  <si>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</si>
  <si>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</si>
  <si>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</si>
  <si>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</si>
  <si>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</si>
  <si>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</si>
  <si>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</si>
  <si>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</si>
  <si>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</si>
  <si>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</si>
  <si>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</si>
  <si>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</si>
  <si>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</si>
  <si>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</si>
  <si>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</si>
  <si>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</si>
  <si>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</si>
  <si>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</si>
  <si>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</si>
  <si>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</si>
  <si>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</si>
  <si>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</si>
  <si>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</si>
  <si>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</si>
  <si>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</si>
  <si>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</si>
  <si>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</si>
  <si>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</si>
  <si>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</si>
  <si>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</si>
  <si>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</si>
  <si>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</si>
  <si>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</si>
  <si>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</si>
  <si>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</si>
  <si>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</si>
  <si>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</si>
  <si>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</si>
  <si>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</si>
  <si>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</si>
  <si>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</si>
  <si>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</si>
  <si>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</si>
  <si>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</si>
  <si>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</si>
  <si>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</si>
  <si>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</si>
  <si>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</si>
  <si>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</si>
  <si>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</si>
  <si>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</si>
  <si>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</si>
  <si>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</si>
  <si>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</si>
  <si>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</si>
  <si>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</si>
  <si>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</si>
  <si>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</si>
  <si>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</si>
  <si>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</si>
  <si>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</si>
  <si>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</si>
  <si>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</si>
  <si>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</si>
  <si>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</si>
  <si>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</si>
  <si>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</si>
  <si>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</si>
  <si>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</si>
  <si>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</si>
  <si>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</si>
  <si>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</si>
  <si>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</si>
  <si>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</si>
  <si>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</si>
  <si>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</si>
  <si>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</si>
  <si>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</si>
  <si>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</si>
  <si>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</si>
  <si>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</si>
  <si>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</si>
  <si>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</si>
  <si>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</si>
  <si>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</si>
  <si>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</si>
  <si>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</si>
  <si>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</si>
  <si>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</si>
  <si>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</si>
  <si>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</si>
  <si>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</si>
  <si>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</si>
  <si>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</si>
  <si>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</si>
  <si>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</si>
  <si>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</si>
  <si>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</si>
  <si>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</si>
  <si>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</si>
  <si>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</si>
  <si>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</si>
  <si>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</si>
  <si>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</si>
  <si>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</si>
  <si>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</si>
  <si>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</si>
  <si>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</si>
  <si>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</si>
  <si>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</si>
  <si>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</si>
  <si>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</si>
  <si>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</si>
  <si>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</si>
  <si>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</si>
  <si>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</si>
  <si>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</si>
  <si>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</si>
  <si>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</si>
  <si>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</si>
  <si>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</si>
  <si>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</si>
  <si>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</si>
  <si>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</si>
  <si>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</si>
  <si>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</si>
  <si>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</si>
  <si>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</si>
  <si>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</si>
  <si>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</si>
  <si>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</si>
  <si>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</si>
  <si>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</si>
  <si>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</si>
  <si>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</si>
  <si>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</si>
  <si>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</si>
  <si>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</si>
  <si>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</si>
  <si>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</si>
  <si>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</si>
  <si>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</si>
  <si>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</si>
  <si>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</si>
  <si>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</si>
  <si>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</si>
  <si>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</si>
  <si>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</si>
  <si>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</si>
  <si>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</si>
  <si>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</si>
  <si>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</si>
  <si>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</si>
  <si>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</si>
  <si>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</si>
  <si>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</si>
  <si>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</si>
  <si>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</si>
  <si>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</si>
  <si>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</si>
  <si>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</si>
  <si>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</si>
  <si>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</si>
  <si>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</si>
  <si>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</si>
  <si>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</si>
  <si>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</si>
  <si>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</si>
  <si>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</si>
  <si>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</si>
  <si>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</si>
  <si>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</si>
  <si>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</si>
  <si>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</si>
  <si>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</si>
  <si>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</si>
  <si>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</si>
  <si>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</si>
  <si>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</si>
  <si>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</si>
  <si>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</si>
  <si>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</si>
  <si>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</si>
  <si>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</si>
  <si>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</si>
  <si>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</si>
  <si>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</si>
  <si>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</si>
  <si>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</si>
  <si>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</si>
  <si>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</si>
  <si>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</si>
  <si>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</si>
  <si>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</si>
  <si>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</si>
  <si>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</si>
  <si>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</si>
  <si>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</si>
  <si>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</si>
  <si>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</si>
  <si>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</si>
  <si>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</si>
  <si>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</si>
  <si>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</si>
  <si>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</si>
  <si>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</si>
  <si>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</si>
  <si>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</si>
  <si>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</si>
  <si>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</si>
  <si>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</si>
  <si>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</si>
  <si>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</si>
  <si>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</si>
  <si>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</si>
  <si>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</si>
  <si>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</si>
  <si>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</si>
  <si>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</si>
  <si>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</si>
  <si>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</si>
  <si>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</si>
  <si>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</si>
  <si>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</si>
  <si>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</si>
  <si>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</si>
  <si>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</si>
  <si>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</si>
  <si>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</si>
  <si>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</si>
  <si>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</si>
  <si>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</si>
  <si>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</si>
  <si>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</si>
  <si>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</si>
  <si>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</si>
  <si>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</si>
  <si>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</si>
  <si>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</si>
  <si>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</si>
  <si>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</si>
  <si>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</si>
  <si>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</si>
  <si>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</si>
  <si>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</si>
  <si>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</si>
  <si>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</si>
  <si>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</si>
  <si>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</si>
  <si>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</si>
  <si>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</si>
  <si>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</si>
  <si>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</si>
  <si>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</si>
  <si>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</si>
  <si>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</si>
  <si>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</si>
  <si>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</si>
  <si>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</si>
  <si>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</si>
  <si>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</si>
  <si>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</si>
  <si>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</si>
  <si>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</si>
  <si>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</si>
  <si>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</si>
  <si>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</si>
  <si>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</si>
  <si>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</si>
  <si>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</si>
  <si>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</si>
  <si>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</si>
  <si>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</si>
  <si>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</si>
  <si>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</si>
  <si>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</si>
  <si>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</si>
  <si>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</si>
  <si>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</si>
  <si>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</si>
  <si>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</si>
  <si>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</si>
  <si>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</si>
  <si>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</si>
  <si>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</si>
  <si>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</si>
  <si>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</si>
  <si>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</si>
  <si>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</si>
  <si>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</si>
  <si>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</si>
  <si>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</si>
  <si>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</si>
  <si>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</si>
  <si>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</si>
  <si>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</si>
  <si>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</si>
  <si>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</si>
  <si>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</si>
  <si>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</si>
  <si>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</si>
  <si>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</si>
  <si>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</si>
  <si>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</si>
  <si>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</si>
  <si>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</si>
  <si>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</si>
  <si>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</si>
  <si>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</si>
  <si>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</si>
  <si>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</si>
  <si>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</si>
  <si>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</si>
  <si>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</si>
  <si>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</si>
  <si>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</si>
  <si>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</si>
  <si>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</si>
  <si>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</si>
  <si>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</si>
  <si>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</si>
  <si>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</si>
  <si>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</si>
  <si>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</si>
  <si>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</si>
  <si>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</si>
  <si>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</si>
  <si>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</si>
  <si>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</si>
  <si>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</si>
  <si>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</si>
  <si>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</si>
  <si>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</si>
  <si>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</si>
  <si>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</si>
  <si>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</si>
  <si>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</si>
  <si>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</si>
  <si>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</si>
  <si>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</si>
  <si>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</si>
  <si>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</si>
  <si>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</si>
  <si>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</si>
  <si>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</si>
  <si>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</si>
  <si>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</si>
  <si>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</si>
  <si>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</si>
  <si>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</si>
  <si>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</si>
  <si>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</si>
  <si>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</si>
  <si>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</si>
  <si>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</si>
  <si>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</si>
  <si>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</si>
  <si>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</si>
  <si>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</si>
  <si>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</si>
  <si>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</si>
  <si>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</si>
  <si>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</si>
  <si>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</si>
  <si>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</si>
  <si>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</si>
  <si>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</si>
  <si>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</si>
  <si>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</si>
  <si>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</si>
  <si>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</si>
  <si>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</si>
  <si>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</si>
  <si>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</si>
  <si>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</si>
  <si>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</si>
  <si>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</si>
  <si>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</si>
  <si>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</si>
  <si>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</si>
  <si>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</si>
  <si>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</si>
  <si>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</si>
  <si>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</si>
  <si>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</si>
  <si>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</si>
  <si>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</si>
  <si>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</si>
  <si>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</si>
  <si>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</si>
  <si>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</si>
  <si>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</si>
  <si>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</si>
  <si>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</si>
  <si>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</si>
  <si>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</si>
  <si>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</si>
  <si>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</si>
  <si>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</si>
  <si>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</si>
  <si>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</si>
  <si>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</si>
  <si>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</si>
  <si>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</si>
  <si>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</si>
  <si>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</si>
  <si>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</si>
  <si>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</si>
  <si>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</si>
  <si>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</si>
  <si>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</si>
  <si>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</si>
  <si>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</si>
  <si>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</si>
  <si>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</si>
  <si>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</si>
  <si>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</si>
  <si>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</si>
  <si>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</si>
  <si>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</si>
  <si>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</si>
  <si>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</si>
  <si>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</si>
  <si>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</si>
  <si>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</si>
  <si>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</si>
  <si>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</si>
  <si>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</si>
  <si>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</si>
  <si>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</si>
  <si>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</si>
  <si>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</si>
  <si>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</si>
  <si>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</si>
  <si>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</si>
  <si>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</si>
  <si>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</si>
  <si>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</si>
  <si>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</si>
  <si>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</si>
  <si>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</si>
  <si>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</si>
  <si>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</si>
  <si>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</si>
  <si>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</si>
  <si>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</si>
  <si>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</si>
  <si>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</si>
  <si>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</si>
  <si>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</si>
  <si>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</si>
  <si>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</si>
  <si>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</si>
  <si>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</si>
  <si>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</si>
  <si>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</si>
  <si>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</si>
  <si>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</si>
  <si>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</si>
  <si>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</si>
  <si>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</si>
  <si>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</si>
  <si>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</si>
  <si>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</si>
  <si>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</si>
  <si>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</si>
  <si>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</si>
  <si>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</si>
  <si>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</si>
  <si>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</si>
  <si>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</si>
  <si>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</si>
  <si>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</si>
  <si>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</si>
  <si>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</si>
  <si>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</si>
  <si>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</si>
  <si>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</si>
  <si>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</si>
  <si>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</si>
  <si>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</si>
  <si>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</si>
  <si>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</si>
  <si>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</si>
  <si>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</si>
  <si>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</si>
  <si>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</si>
  <si>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</si>
  <si>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</si>
  <si>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</si>
  <si>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</si>
  <si>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</si>
  <si>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</si>
  <si>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</si>
  <si>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</si>
  <si>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</si>
  <si>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</si>
  <si>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</si>
  <si>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</si>
  <si>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</si>
  <si>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</si>
  <si>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</si>
  <si>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</si>
  <si>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</si>
  <si>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</si>
  <si>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</si>
  <si>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</si>
  <si>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</si>
  <si>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</si>
  <si>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</si>
  <si>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</si>
  <si>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</si>
  <si>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</si>
  <si>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</si>
  <si>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</si>
  <si>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</si>
  <si>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</si>
  <si>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</si>
  <si>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</si>
  <si>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</si>
  <si>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</si>
  <si>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</si>
  <si>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</si>
  <si>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</si>
  <si>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</si>
  <si>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</si>
  <si>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</si>
  <si>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</si>
  <si>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</si>
  <si>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</si>
  <si>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</si>
  <si>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</si>
  <si>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</si>
  <si>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</si>
  <si>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</si>
  <si>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</si>
  <si>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</si>
  <si>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</si>
  <si>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</si>
  <si>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</si>
  <si>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</si>
  <si>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</si>
  <si>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</si>
  <si>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</si>
  <si>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</si>
  <si>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</si>
  <si>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</si>
  <si>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</si>
  <si>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</si>
  <si>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</si>
  <si>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</si>
  <si>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</si>
  <si>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</si>
  <si>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</si>
  <si>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</si>
  <si>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</si>
  <si>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</si>
  <si>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</si>
  <si>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</si>
  <si>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</si>
  <si>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</si>
  <si>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</si>
  <si>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</si>
  <si>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</si>
  <si>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</si>
  <si>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</si>
  <si>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</si>
  <si>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</si>
  <si>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</si>
  <si>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</si>
  <si>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</si>
  <si>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</si>
  <si>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</si>
  <si>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</si>
  <si>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</si>
  <si>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</si>
  <si>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</si>
  <si>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</si>
  <si>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</si>
  <si>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</si>
  <si>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</si>
  <si>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</si>
  <si>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</si>
  <si>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</si>
  <si>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</si>
  <si>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</si>
  <si>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</si>
  <si>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</si>
  <si>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</si>
  <si>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</si>
  <si>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</si>
  <si>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</si>
  <si>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</si>
  <si>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</si>
  <si>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</si>
  <si>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</si>
  <si>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</si>
  <si>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</si>
  <si>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</si>
  <si>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</si>
  <si>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</si>
  <si>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</si>
  <si>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</si>
  <si>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</si>
  <si>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</si>
  <si>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</si>
  <si>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</si>
  <si>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</si>
  <si>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</si>
  <si>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</si>
  <si>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</si>
  <si>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</si>
  <si>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</si>
  <si>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</si>
  <si>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</si>
  <si>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</si>
  <si>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</si>
  <si>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</si>
  <si>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</si>
  <si>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</si>
  <si>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</si>
  <si>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</si>
  <si>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</si>
  <si>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</si>
  <si>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</si>
  <si>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</si>
  <si>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</si>
  <si>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</si>
  <si>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</si>
  <si>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</si>
  <si>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</si>
  <si>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</si>
  <si>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</si>
  <si>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</si>
  <si>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</si>
  <si>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</si>
  <si>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</si>
  <si>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</si>
  <si>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</si>
  <si>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</si>
  <si>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</si>
  <si>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</si>
  <si>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</si>
  <si>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</si>
  <si>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</si>
  <si>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</si>
  <si>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</si>
  <si>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</si>
  <si>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</si>
  <si>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</si>
  <si>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</si>
  <si>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</si>
  <si>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</si>
  <si>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</si>
  <si>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</si>
  <si>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</si>
  <si>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</si>
  <si>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</si>
  <si>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</si>
  <si>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</si>
  <si>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</si>
  <si>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</si>
  <si>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</si>
  <si>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</si>
  <si>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</si>
  <si>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</si>
  <si>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</si>
  <si>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</si>
  <si>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</si>
  <si>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</si>
  <si>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</si>
  <si>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</si>
  <si>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</si>
  <si>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</si>
  <si>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</si>
  <si>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</si>
  <si>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</si>
  <si>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</si>
  <si>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</si>
  <si>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</si>
  <si>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</si>
  <si>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</si>
  <si>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</si>
  <si>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</si>
  <si>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</si>
  <si>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</si>
  <si>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</si>
  <si>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</si>
  <si>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</si>
  <si>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</si>
  <si>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</si>
  <si>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</si>
  <si>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</si>
  <si>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</si>
  <si>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</si>
  <si>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</si>
  <si>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</si>
  <si>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</si>
  <si>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</si>
  <si>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</si>
  <si>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</si>
  <si>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</si>
  <si>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</si>
  <si>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</si>
  <si>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</si>
  <si>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</si>
  <si>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</si>
  <si>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</si>
  <si>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</si>
  <si>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</si>
  <si>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</si>
  <si>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</si>
  <si>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</si>
  <si>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</si>
  <si>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</si>
  <si>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</si>
  <si>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</si>
  <si>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</si>
  <si>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</si>
  <si>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</si>
  <si>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</si>
  <si>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</si>
  <si>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</si>
  <si>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</si>
  <si>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</si>
  <si>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</si>
  <si>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</si>
  <si>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</si>
  <si>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</si>
  <si>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</si>
  <si>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</si>
  <si>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</si>
  <si>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</si>
  <si>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</si>
  <si>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</si>
  <si>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</si>
  <si>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</si>
  <si>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</si>
  <si>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</si>
  <si>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</si>
  <si>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</si>
  <si>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</si>
  <si>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</si>
  <si>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</si>
  <si>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</si>
  <si>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</si>
  <si>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</si>
  <si>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</si>
  <si>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</si>
  <si>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</si>
  <si>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</si>
  <si>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</si>
  <si>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</si>
  <si>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</si>
  <si>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</si>
  <si>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</si>
  <si>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</si>
  <si>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</si>
  <si>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</si>
  <si>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</si>
  <si>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</si>
  <si>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</si>
  <si>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</si>
  <si>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</si>
  <si>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</si>
  <si>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</si>
  <si>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</si>
  <si>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</si>
  <si>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</si>
  <si>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</si>
  <si>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</si>
  <si>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</si>
  <si>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</si>
  <si>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</si>
  <si>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</si>
  <si>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</si>
  <si>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</si>
  <si>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</si>
  <si>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</si>
  <si>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</si>
  <si>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</si>
  <si>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</si>
  <si>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</si>
  <si>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</si>
  <si>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</si>
  <si>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</si>
  <si>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</si>
  <si>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</si>
  <si>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</si>
  <si>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</si>
  <si>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</si>
  <si>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</si>
  <si>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</si>
  <si>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</si>
  <si>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</si>
  <si>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</si>
  <si>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</si>
  <si>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</si>
  <si>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</si>
  <si>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</si>
  <si>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</si>
  <si>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</si>
  <si>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</si>
  <si>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</si>
  <si>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</si>
  <si>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</si>
  <si>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</si>
  <si>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</si>
  <si>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</si>
  <si>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</si>
  <si>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</si>
  <si>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</si>
  <si>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</si>
  <si>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</si>
  <si>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</si>
  <si>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</si>
  <si>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</si>
  <si>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</si>
  <si>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</si>
  <si>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</si>
  <si>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</si>
  <si>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</si>
  <si>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</si>
  <si>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</si>
  <si>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</si>
  <si>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</si>
  <si>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</si>
  <si>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</si>
  <si>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</si>
  <si>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</si>
  <si>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</si>
  <si>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</si>
  <si>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</si>
  <si>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</si>
  <si>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</si>
  <si>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</si>
  <si>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</si>
  <si>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</si>
  <si>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</si>
  <si>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</si>
  <si>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</si>
  <si>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</si>
  <si>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</si>
  <si>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</si>
  <si>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</si>
  <si>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</si>
  <si>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</si>
  <si>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</si>
  <si>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</si>
  <si>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</si>
  <si>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</si>
  <si>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</si>
  <si>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</si>
  <si>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</si>
  <si>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</si>
  <si>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</si>
  <si>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</si>
  <si>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</si>
  <si>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</si>
  <si>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</si>
  <si>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</si>
  <si>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</si>
  <si>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</si>
  <si>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</si>
  <si>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</si>
  <si>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</si>
  <si>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</si>
  <si>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</si>
  <si>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</si>
  <si>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</si>
  <si>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</si>
  <si>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</si>
  <si>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</si>
  <si>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</si>
  <si>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</si>
  <si>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</si>
  <si>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</si>
  <si>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</si>
  <si>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</si>
  <si>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</si>
  <si>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</si>
  <si>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</si>
  <si>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</si>
  <si>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</si>
  <si>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</si>
  <si>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</si>
  <si>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</si>
  <si>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</si>
  <si>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</si>
  <si>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</si>
  <si>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</si>
  <si>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</si>
  <si>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</si>
  <si>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</si>
  <si>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</si>
  <si>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</si>
  <si>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</si>
  <si>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</si>
  <si>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</si>
  <si>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</si>
  <si>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</si>
  <si>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</si>
  <si>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</si>
  <si>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</si>
  <si>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</si>
  <si>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</si>
  <si>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</si>
  <si>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</si>
  <si>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</si>
  <si>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</si>
  <si>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</si>
  <si>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</si>
  <si>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</si>
  <si>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</si>
  <si>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</si>
  <si>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</si>
  <si>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</si>
  <si>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</si>
  <si>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</si>
  <si>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</si>
  <si>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</si>
  <si>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</si>
  <si>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</si>
  <si>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</si>
  <si>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</si>
  <si>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</si>
  <si>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</si>
  <si>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</si>
  <si>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</si>
  <si>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</si>
  <si>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</si>
  <si>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</si>
  <si>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</si>
  <si>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</si>
  <si>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</si>
  <si>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</si>
  <si>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</si>
  <si>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</si>
  <si>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</si>
  <si>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</si>
  <si>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</si>
  <si>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</si>
  <si>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</si>
  <si>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</si>
  <si>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</si>
  <si>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</si>
  <si>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</si>
  <si>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</si>
  <si>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</si>
  <si>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</si>
  <si>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</si>
  <si>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</si>
  <si>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</si>
  <si>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</si>
  <si>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</si>
  <si>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</si>
  <si>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</si>
  <si>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</si>
  <si>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</si>
  <si>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</si>
  <si>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</si>
  <si>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</si>
  <si>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</si>
  <si>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</si>
  <si>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</si>
  <si>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</si>
  <si>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</si>
  <si>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</si>
  <si>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</si>
  <si>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</si>
  <si>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</si>
  <si>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</si>
  <si>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</si>
  <si>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</si>
  <si>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</si>
  <si>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</si>
  <si>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</si>
  <si>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</si>
  <si>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</si>
  <si>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</si>
  <si>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</si>
  <si>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</si>
  <si>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</si>
  <si>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</si>
  <si>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</si>
  <si>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</si>
  <si>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</si>
  <si>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</si>
  <si>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</si>
  <si>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</si>
  <si>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</si>
  <si>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</si>
  <si>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</si>
  <si>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</si>
  <si>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</si>
  <si>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</si>
  <si>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</si>
  <si>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</si>
  <si>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</si>
  <si>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</si>
  <si>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</si>
  <si>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</si>
  <si>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</si>
  <si>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</si>
  <si>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</si>
  <si>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</si>
  <si>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</si>
  <si>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</si>
  <si>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</si>
  <si>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</si>
  <si>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</si>
  <si>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</si>
  <si>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</si>
  <si>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</si>
  <si>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</si>
  <si>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</si>
  <si>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</si>
  <si>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</si>
  <si>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</si>
  <si>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</si>
  <si>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</si>
  <si>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</si>
  <si>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</si>
  <si>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</si>
  <si>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</si>
  <si>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</si>
  <si>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</si>
  <si>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</si>
  <si>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</si>
  <si>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</si>
  <si>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</si>
  <si>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</si>
  <si>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</si>
  <si>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</si>
  <si>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</si>
  <si>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</si>
  <si>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</si>
  <si>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</si>
  <si>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</si>
  <si>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</si>
  <si>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</si>
  <si>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</si>
  <si>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</si>
  <si>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</si>
  <si>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</si>
  <si>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</si>
  <si>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</si>
  <si>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</si>
  <si>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</si>
  <si>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</si>
  <si>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</si>
  <si>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</si>
  <si>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</si>
  <si>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</si>
  <si>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</si>
  <si>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</si>
  <si>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</si>
  <si>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</si>
  <si>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</si>
  <si>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</si>
  <si>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</si>
  <si>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</si>
  <si>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</si>
  <si>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</si>
  <si>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</si>
  <si>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</si>
  <si>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</si>
  <si>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</si>
  <si>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</si>
  <si>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</si>
  <si>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</si>
  <si>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</si>
  <si>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</si>
  <si>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</si>
  <si>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</si>
  <si>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</si>
  <si>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</si>
  <si>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</si>
  <si>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</si>
  <si>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</si>
  <si>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</si>
  <si>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</si>
  <si>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</si>
  <si>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</si>
  <si>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</si>
  <si>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</si>
  <si>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</si>
  <si>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</si>
  <si>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</si>
  <si>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</si>
  <si>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</si>
  <si>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</si>
  <si>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</si>
  <si>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</si>
  <si>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</si>
  <si>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</si>
  <si>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</si>
  <si>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</si>
  <si>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</si>
  <si>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</si>
  <si>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</si>
  <si>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</si>
  <si>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</si>
  <si>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</si>
  <si>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</si>
  <si>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</si>
  <si>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</si>
  <si>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</si>
  <si>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</si>
  <si>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</si>
  <si>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</si>
  <si>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</si>
  <si>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</si>
  <si>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</si>
  <si>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</si>
  <si>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</si>
  <si>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</si>
  <si>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</si>
  <si>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</si>
  <si>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</si>
  <si>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</si>
  <si>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</si>
  <si>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</si>
  <si>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</si>
  <si>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</si>
  <si>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</si>
  <si>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</si>
  <si>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</si>
  <si>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</si>
  <si>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</si>
  <si>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</si>
  <si>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</si>
  <si>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</si>
  <si>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</si>
  <si>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</si>
  <si>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</si>
  <si>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</si>
  <si>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</si>
  <si>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</si>
  <si>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</si>
  <si>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</si>
  <si>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</si>
  <si>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</si>
  <si>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</si>
  <si>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</si>
  <si>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</si>
  <si>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</si>
  <si>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</si>
  <si>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</si>
  <si>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</si>
  <si>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</si>
  <si>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</si>
  <si>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</si>
  <si>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</si>
  <si>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</si>
  <si>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</si>
  <si>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</si>
  <si>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</si>
  <si>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</si>
  <si>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</si>
  <si>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</si>
  <si>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</si>
  <si>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</si>
  <si>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</si>
  <si>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</si>
  <si>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</si>
  <si>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</si>
  <si>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</si>
  <si>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</si>
  <si>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</si>
  <si>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</si>
  <si>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</si>
  <si>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</si>
  <si>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</si>
  <si>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</si>
  <si>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</si>
  <si>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</si>
  <si>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</si>
  <si>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</si>
  <si>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</si>
  <si>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</si>
  <si>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</si>
  <si>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</si>
  <si>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</si>
  <si>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</si>
  <si>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</si>
  <si>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</si>
  <si>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</si>
  <si>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</si>
  <si>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</si>
  <si>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</si>
  <si>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</si>
  <si>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</si>
  <si>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</si>
  <si>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</si>
  <si>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</si>
  <si>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</si>
  <si>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</si>
  <si>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</si>
  <si>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</si>
  <si>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</si>
  <si>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</si>
  <si>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</si>
  <si>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</si>
  <si>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</si>
  <si>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</si>
  <si>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</si>
  <si>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</si>
  <si>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</si>
  <si>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</si>
  <si>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</si>
  <si>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</si>
  <si>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</si>
  <si>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</si>
  <si>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</si>
  <si>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</si>
  <si>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</si>
  <si>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</si>
  <si>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</si>
  <si>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</si>
  <si>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</si>
  <si>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</si>
  <si>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</si>
  <si>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</si>
  <si>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</si>
  <si>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</si>
  <si>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</si>
  <si>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</si>
  <si>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</si>
  <si>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</si>
  <si>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</si>
  <si>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</si>
  <si>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</si>
  <si>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</si>
  <si>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</si>
  <si>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</si>
  <si>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</si>
  <si>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</si>
  <si>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</si>
  <si>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</si>
  <si>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</si>
  <si>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</si>
  <si>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</si>
  <si>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</si>
  <si>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</si>
  <si>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</si>
  <si>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</si>
  <si>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</si>
  <si>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</si>
  <si>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</si>
  <si>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</si>
  <si>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</si>
  <si>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</si>
  <si>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</si>
  <si>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</si>
  <si>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</si>
  <si>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</si>
  <si>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</si>
  <si>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</si>
  <si>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</si>
  <si>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</si>
  <si>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</si>
  <si>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</si>
  <si>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</si>
  <si>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</si>
  <si>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</si>
  <si>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</si>
  <si>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</si>
  <si>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</si>
  <si>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</si>
  <si>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</si>
  <si>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</si>
  <si>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</si>
  <si>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</si>
  <si>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</si>
  <si>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</si>
  <si>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</si>
  <si>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</si>
  <si>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</si>
  <si>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</si>
  <si>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</si>
  <si>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</si>
  <si>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</si>
  <si>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</si>
  <si>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</si>
  <si>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</si>
  <si>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</si>
  <si>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</si>
  <si>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</si>
  <si>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</si>
  <si>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</si>
  <si>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</si>
  <si>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</si>
  <si>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</si>
  <si>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</si>
  <si>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</si>
  <si>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</si>
  <si>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</si>
  <si>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</si>
  <si>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</si>
  <si>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</si>
  <si>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</si>
  <si>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</si>
  <si>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</si>
  <si>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</si>
  <si>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</si>
  <si>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</si>
  <si>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</si>
  <si>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</si>
  <si>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</si>
  <si>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</si>
  <si>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</si>
  <si>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</si>
  <si>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</si>
  <si>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</si>
  <si>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</si>
  <si>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</si>
  <si>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</si>
  <si>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</si>
  <si>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</si>
  <si>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</si>
  <si>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</si>
  <si>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</si>
  <si>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</si>
  <si>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</si>
  <si>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</si>
  <si>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</si>
  <si>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</si>
  <si>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</si>
  <si>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</si>
  <si>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</si>
  <si>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</si>
  <si>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</si>
  <si>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</si>
  <si>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</si>
  <si>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</si>
  <si>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</si>
  <si>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</si>
  <si>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</si>
  <si>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</si>
  <si>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</si>
  <si>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</si>
  <si>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</si>
  <si>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</si>
  <si>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</si>
  <si>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</si>
  <si>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</si>
  <si>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</si>
  <si>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</si>
  <si>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</si>
  <si>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</si>
  <si>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</si>
  <si>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</si>
  <si>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</si>
  <si>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</si>
  <si>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</si>
  <si>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</si>
  <si>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</si>
  <si>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</si>
  <si>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</si>
  <si>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</si>
  <si>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</si>
  <si>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</si>
  <si>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</si>
  <si>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</si>
  <si>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</si>
  <si>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</si>
  <si>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</si>
  <si>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</si>
  <si>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</si>
  <si>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</si>
  <si>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</si>
  <si>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</si>
  <si>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</si>
  <si>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</si>
  <si>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</si>
  <si>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</si>
  <si>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</si>
  <si>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</si>
  <si>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</si>
  <si>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</si>
  <si>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</si>
  <si>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</si>
  <si>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</si>
  <si>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</si>
  <si>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</si>
  <si>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</si>
  <si>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</si>
  <si>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</si>
  <si>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</si>
  <si>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</si>
  <si>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</si>
  <si>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</si>
  <si>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</si>
  <si>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</si>
  <si>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</si>
  <si>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</si>
  <si>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</si>
  <si>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</si>
  <si>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</si>
  <si>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</si>
  <si>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</si>
  <si>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</si>
  <si>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</si>
  <si>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</si>
  <si>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</si>
  <si>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</si>
  <si>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</si>
  <si>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</si>
  <si>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</si>
  <si>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</si>
  <si>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</si>
  <si>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</si>
  <si>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</si>
  <si>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</si>
  <si>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</si>
  <si>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</si>
  <si>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</si>
  <si>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</si>
  <si>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</si>
  <si>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</si>
  <si>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</si>
  <si>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</si>
  <si>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</si>
  <si>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</si>
  <si>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</si>
  <si>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</si>
  <si>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</si>
  <si>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</si>
  <si>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</si>
  <si>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</si>
  <si>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</si>
  <si>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</si>
  <si>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</si>
  <si>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</si>
  <si>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</si>
  <si>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</si>
  <si>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</si>
  <si>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</si>
  <si>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</si>
  <si>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</si>
  <si>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</si>
  <si>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</si>
  <si>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</si>
  <si>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</si>
  <si>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</si>
  <si>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</si>
  <si>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</si>
  <si>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</si>
  <si>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</si>
  <si>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</si>
  <si>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</si>
  <si>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</si>
  <si>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</si>
  <si>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</si>
  <si>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</si>
  <si>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</si>
  <si>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</si>
  <si>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</si>
  <si>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</si>
  <si>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</si>
  <si>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</si>
  <si>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</si>
  <si>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</si>
  <si>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</si>
  <si>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</si>
  <si>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</si>
  <si>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</si>
  <si>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</si>
  <si>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</si>
  <si>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</si>
  <si>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</si>
  <si>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</si>
  <si>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</si>
  <si>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</si>
  <si>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</si>
  <si>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</si>
  <si>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</si>
  <si>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</si>
  <si>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</si>
  <si>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</si>
  <si>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</si>
  <si>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</si>
  <si>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</si>
  <si>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</si>
  <si>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</si>
  <si>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</si>
  <si>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</si>
  <si>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</si>
  <si>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</si>
  <si>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</si>
  <si>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</si>
  <si>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</si>
  <si>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</si>
  <si>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</si>
  <si>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</si>
  <si>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</si>
  <si>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</si>
  <si>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</si>
  <si>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</si>
  <si>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</si>
  <si>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</si>
  <si>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</si>
  <si>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</si>
  <si>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</si>
  <si>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</si>
  <si>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</si>
  <si>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</si>
  <si>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</si>
  <si>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</si>
  <si>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</si>
  <si>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</si>
  <si>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</si>
  <si>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</si>
  <si>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</si>
  <si>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</si>
  <si>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</si>
  <si>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</si>
  <si>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</si>
  <si>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</si>
  <si>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</si>
  <si>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</si>
  <si>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</si>
  <si>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</si>
  <si>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</si>
  <si>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</si>
  <si>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</si>
  <si>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</si>
  <si>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</si>
  <si>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</si>
  <si>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</si>
  <si>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</si>
  <si>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</si>
  <si>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</si>
  <si>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</si>
  <si>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</si>
  <si>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</si>
  <si>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</si>
  <si>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</si>
  <si>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</si>
  <si>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</si>
  <si>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</si>
  <si>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</si>
  <si>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</si>
  <si>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</si>
  <si>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</si>
  <si>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</si>
  <si>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</si>
  <si>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</si>
  <si>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</si>
  <si>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</si>
  <si>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</si>
  <si>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</si>
  <si>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</si>
  <si>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</si>
  <si>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</si>
  <si>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</si>
  <si>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</si>
  <si>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</si>
  <si>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</si>
  <si>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</si>
  <si>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</si>
  <si>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</si>
  <si>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</si>
  <si>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</si>
  <si>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</si>
  <si>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</si>
  <si>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</si>
  <si>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</si>
  <si>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</si>
  <si>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</si>
  <si>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</si>
  <si>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</si>
  <si>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</si>
  <si>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</si>
  <si>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</si>
  <si>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</si>
  <si>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</si>
  <si>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</si>
  <si>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</si>
  <si>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</si>
  <si>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</si>
  <si>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</si>
  <si>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</si>
  <si>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</si>
  <si>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</si>
  <si>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</si>
  <si>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</si>
  <si>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</si>
  <si>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</si>
  <si>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</si>
  <si>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</si>
  <si>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</si>
  <si>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</si>
  <si>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</si>
  <si>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</si>
  <si>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</si>
  <si>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</si>
  <si>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</si>
  <si>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</si>
  <si>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</si>
  <si>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</si>
  <si>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</si>
  <si>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</si>
  <si>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</si>
  <si>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</si>
  <si>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</si>
  <si>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</si>
  <si>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</si>
  <si>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</si>
  <si>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</si>
  <si>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</si>
  <si>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</si>
  <si>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</si>
  <si>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</si>
  <si>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</si>
  <si>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</si>
  <si>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</si>
  <si>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</si>
  <si>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</si>
  <si>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</si>
  <si>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</si>
  <si>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</si>
  <si>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</si>
  <si>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</si>
  <si>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</si>
  <si>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</si>
  <si>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</si>
  <si>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</si>
  <si>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</si>
  <si>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</si>
  <si>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</si>
  <si>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</si>
  <si>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</si>
  <si>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</si>
  <si>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</si>
  <si>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</si>
  <si>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</si>
  <si>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</si>
  <si>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</si>
  <si>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</si>
  <si>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</si>
  <si>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</si>
  <si>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</si>
  <si>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</si>
  <si>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</si>
  <si>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</si>
  <si>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</si>
  <si>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</si>
  <si>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</si>
  <si>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</si>
  <si>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</si>
  <si>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</si>
  <si>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</si>
  <si>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</si>
  <si>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</si>
  <si>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</si>
  <si>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</si>
  <si>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</si>
  <si>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</si>
  <si>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</si>
  <si>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</si>
  <si>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</si>
  <si>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</si>
  <si>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</si>
  <si>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</si>
  <si>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</si>
  <si>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</si>
  <si>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</si>
  <si>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</si>
  <si>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</si>
  <si>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</si>
  <si>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</si>
  <si>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</si>
  <si>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</si>
  <si>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</si>
  <si>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</si>
  <si>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</si>
  <si>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</si>
  <si>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</si>
  <si>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</si>
  <si>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</si>
  <si>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</si>
  <si>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</si>
  <si>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</si>
  <si>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</si>
  <si>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</si>
  <si>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</si>
  <si>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</si>
  <si>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</si>
  <si>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</si>
  <si>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</si>
  <si>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</si>
  <si>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</si>
  <si>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</si>
  <si>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</si>
  <si>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</si>
  <si>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</si>
  <si>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</si>
  <si>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</si>
  <si>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</si>
  <si>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</si>
  <si>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</si>
  <si>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</si>
  <si>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</si>
  <si>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</si>
  <si>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</si>
  <si>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</si>
  <si>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</si>
  <si>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</si>
  <si>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</si>
  <si>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</si>
  <si>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</si>
  <si>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</si>
  <si>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</si>
  <si>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</si>
  <si>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</si>
  <si>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</si>
  <si>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</si>
  <si>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</si>
  <si>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</si>
  <si>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</si>
  <si>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</si>
  <si>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</si>
  <si>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</si>
  <si>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</si>
  <si>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</si>
  <si>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</si>
  <si>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</si>
  <si>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</si>
  <si>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</si>
  <si>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</si>
  <si>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</si>
  <si>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</si>
  <si>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</si>
  <si>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</si>
  <si>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</si>
  <si>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</si>
  <si>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</si>
  <si>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</si>
  <si>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</si>
  <si>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</si>
  <si>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</si>
  <si>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</si>
  <si>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</si>
  <si>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</si>
  <si>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</si>
  <si>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</si>
  <si>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</si>
  <si>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</si>
  <si>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</si>
  <si>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</si>
  <si>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</si>
  <si>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</si>
  <si>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</si>
  <si>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</si>
  <si>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</si>
  <si>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</si>
  <si>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</si>
  <si>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</si>
  <si>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</si>
  <si>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</si>
  <si>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</si>
  <si>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</si>
  <si>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</si>
  <si>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</si>
  <si>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</si>
  <si>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</si>
  <si>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</si>
  <si>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</si>
  <si>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</si>
  <si>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</si>
  <si>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</si>
  <si>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</si>
  <si>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</si>
  <si>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</si>
  <si>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</si>
  <si>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</si>
  <si>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</si>
  <si>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</si>
  <si>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</si>
  <si>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</si>
  <si>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</si>
  <si>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</si>
  <si>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</si>
  <si>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</si>
  <si>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</si>
  <si>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</si>
  <si>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</si>
  <si>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</si>
  <si>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</si>
  <si>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</si>
  <si>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</si>
  <si>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</si>
  <si>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</si>
  <si>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</si>
  <si>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</si>
  <si>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</si>
  <si>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</si>
  <si>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</si>
  <si>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</si>
  <si>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</si>
  <si>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</si>
  <si>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</si>
  <si>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</si>
  <si>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</si>
  <si>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</si>
  <si>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</si>
  <si>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</si>
  <si>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</si>
  <si>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</si>
  <si>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</si>
  <si>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</si>
  <si>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</si>
  <si>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</si>
  <si>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</si>
  <si>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</si>
  <si>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</si>
  <si>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</si>
  <si>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</si>
  <si>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</si>
  <si>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</si>
  <si>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</si>
  <si>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</si>
  <si>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</si>
  <si>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</si>
  <si>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</si>
  <si>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</si>
  <si>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</si>
  <si>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</si>
  <si>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</si>
  <si>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</si>
  <si>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</si>
  <si>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</si>
  <si>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</si>
  <si>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</si>
  <si>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</si>
  <si>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</si>
  <si>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</si>
  <si>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</si>
  <si>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</si>
  <si>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</si>
  <si>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</si>
  <si>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</si>
  <si>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</si>
  <si>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</si>
  <si>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</si>
  <si>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</si>
  <si>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</si>
  <si>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</si>
  <si>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</si>
  <si>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</si>
  <si>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</si>
  <si>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</si>
  <si>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</si>
  <si>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</si>
  <si>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</si>
  <si>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</si>
  <si>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</si>
  <si>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</si>
  <si>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</si>
  <si>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</si>
  <si>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</si>
  <si>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</si>
  <si>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</si>
  <si>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</si>
  <si>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</si>
  <si>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</si>
  <si>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</si>
  <si>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</si>
  <si>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</si>
  <si>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</si>
  <si>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</si>
  <si>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</si>
  <si>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</si>
  <si>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</si>
  <si>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</si>
  <si>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</si>
  <si>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</si>
  <si>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</si>
  <si>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</si>
  <si>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</si>
  <si>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</si>
  <si>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</si>
  <si>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</si>
  <si>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</si>
  <si>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</si>
  <si>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</si>
  <si>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</si>
  <si>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</si>
  <si>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</si>
  <si>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</si>
  <si>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</si>
  <si>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</si>
  <si>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</si>
  <si>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</si>
  <si>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</si>
  <si>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</si>
  <si>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</si>
  <si>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</si>
  <si>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</si>
  <si>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</si>
  <si>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</si>
  <si>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</si>
  <si>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</si>
  <si>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</si>
  <si>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</si>
  <si>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</si>
  <si>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</si>
  <si>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</si>
  <si>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</si>
  <si>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</si>
  <si>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</si>
  <si>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</si>
  <si>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</si>
  <si>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</si>
  <si>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</si>
  <si>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</si>
  <si>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</si>
  <si>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</si>
  <si>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</si>
  <si>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</si>
  <si>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</si>
  <si>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</si>
  <si>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</si>
  <si>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</si>
  <si>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</si>
  <si>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</si>
  <si>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</si>
  <si>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</si>
  <si>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</si>
  <si>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</si>
  <si>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</si>
  <si>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</si>
  <si>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</si>
  <si>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</si>
  <si>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</si>
  <si>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</si>
  <si>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</si>
  <si>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</si>
  <si>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</si>
  <si>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</si>
  <si>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</si>
  <si>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</si>
  <si>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</si>
  <si>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</si>
  <si>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</si>
  <si>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</si>
  <si>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</si>
  <si>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</si>
  <si>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</si>
  <si>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</si>
  <si>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</si>
  <si>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</si>
  <si>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</si>
  <si>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</si>
  <si>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</si>
  <si>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</si>
  <si>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</si>
  <si>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</si>
  <si>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</si>
  <si>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</si>
  <si>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</si>
  <si>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</si>
  <si>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</si>
  <si>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</si>
  <si>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</si>
  <si>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</si>
  <si>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</si>
  <si>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</si>
  <si>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</si>
  <si>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</si>
  <si>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</si>
  <si>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</si>
  <si>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</si>
  <si>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</si>
  <si>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</si>
  <si>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</si>
  <si>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</si>
  <si>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</si>
  <si>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</si>
  <si>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</si>
  <si>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</si>
  <si>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</si>
  <si>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</si>
  <si>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</si>
  <si>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</si>
  <si>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</si>
  <si>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</si>
  <si>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</si>
  <si>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</si>
  <si>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</si>
  <si>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</si>
  <si>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</si>
  <si>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</si>
  <si>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</si>
  <si>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</si>
  <si>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</si>
  <si>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</si>
  <si>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</si>
  <si>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</si>
  <si>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</si>
  <si>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</si>
  <si>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</si>
  <si>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</si>
  <si>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</si>
  <si>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</si>
  <si>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</si>
  <si>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</si>
  <si>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</si>
  <si>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</si>
  <si>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</si>
  <si>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</si>
  <si>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</si>
  <si>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</si>
  <si>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</si>
  <si>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</si>
  <si>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</si>
  <si>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</si>
  <si>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</si>
  <si>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</si>
  <si>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</si>
  <si>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</si>
  <si>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</si>
  <si>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</si>
  <si>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</si>
  <si>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</si>
  <si>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</si>
  <si>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</si>
  <si>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</si>
  <si>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</si>
  <si>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</si>
  <si>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</si>
  <si>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</si>
  <si>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</si>
  <si>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</si>
  <si>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</si>
  <si>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</si>
  <si>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</si>
  <si>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</si>
  <si>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</si>
  <si>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</si>
  <si>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</si>
  <si>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</si>
  <si>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</si>
  <si>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</si>
  <si>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</si>
  <si>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</si>
  <si>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</si>
  <si>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</si>
  <si>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</si>
  <si>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</si>
  <si>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</si>
  <si>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</si>
  <si>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</si>
  <si>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</si>
  <si>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</si>
  <si>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</si>
  <si>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</si>
  <si>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</si>
  <si>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</si>
  <si>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</si>
  <si>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</si>
  <si>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</si>
  <si>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</si>
  <si>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</si>
  <si>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</si>
  <si>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</si>
  <si>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</si>
  <si>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</si>
  <si>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</si>
  <si>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</si>
  <si>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</si>
  <si>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</si>
  <si>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</si>
  <si>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</si>
  <si>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</si>
  <si>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</si>
  <si>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</si>
  <si>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</si>
  <si>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</si>
  <si>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</si>
  <si>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</si>
  <si>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</si>
  <si>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</si>
  <si>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</si>
  <si>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</si>
  <si>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</si>
  <si>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</si>
  <si>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</si>
  <si>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</si>
  <si>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</si>
  <si>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</si>
  <si>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</si>
  <si>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</si>
  <si>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</si>
  <si>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</si>
  <si>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</si>
  <si>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</si>
  <si>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</si>
  <si>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</si>
  <si>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</si>
  <si>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</si>
  <si>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</si>
  <si>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</si>
  <si>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</si>
  <si>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</si>
  <si>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</si>
  <si>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</si>
  <si>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</si>
  <si>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</si>
  <si>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</si>
  <si>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</si>
  <si>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</si>
  <si>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</si>
  <si>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</si>
  <si>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</si>
  <si>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</si>
  <si>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</si>
  <si>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</si>
  <si>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</si>
  <si>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</si>
  <si>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</si>
  <si>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</si>
  <si>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</si>
  <si>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</si>
  <si>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</si>
  <si>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</si>
  <si>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</si>
  <si>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</si>
  <si>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</si>
  <si>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</si>
  <si>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</si>
  <si>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</si>
  <si>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</si>
  <si>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</si>
  <si>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</si>
  <si>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</si>
  <si>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</si>
  <si>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</si>
  <si>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</si>
  <si>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</si>
  <si>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</si>
  <si>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</si>
  <si>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</si>
  <si>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</si>
  <si>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</si>
  <si>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</si>
  <si>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</si>
  <si>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</si>
  <si>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</si>
  <si>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</si>
  <si>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</si>
  <si>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</si>
  <si>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</si>
  <si>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</si>
  <si>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</si>
  <si>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</si>
  <si>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</si>
  <si>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</si>
  <si>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</si>
  <si>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</si>
  <si>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</si>
  <si>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</si>
  <si>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</si>
  <si>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</si>
  <si>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</si>
  <si>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</si>
  <si>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</si>
  <si>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</si>
  <si>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</si>
  <si>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</si>
  <si>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</si>
  <si>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</si>
  <si>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</si>
  <si>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</si>
  <si>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</si>
  <si>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</si>
  <si>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</si>
  <si>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</si>
  <si>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</si>
  <si>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</si>
  <si>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</si>
  <si>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</si>
  <si>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</si>
  <si>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</si>
  <si>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</si>
  <si>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</si>
  <si>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</si>
  <si>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</si>
  <si>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</si>
  <si>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</si>
  <si>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</si>
  <si>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</si>
  <si>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</si>
  <si>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</si>
  <si>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</si>
  <si>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</si>
  <si>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</si>
  <si>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</si>
  <si>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</si>
  <si>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</si>
  <si>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</si>
  <si>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</si>
  <si>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</si>
  <si>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</si>
  <si>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</si>
  <si>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</si>
  <si>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</si>
  <si>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</si>
  <si>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</si>
  <si>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</si>
  <si>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</si>
  <si>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</si>
  <si>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</si>
  <si>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</si>
  <si>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</si>
  <si>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</si>
  <si>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</si>
  <si>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</si>
  <si>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</si>
  <si>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</si>
  <si>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</si>
  <si>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</si>
  <si>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</si>
  <si>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</si>
  <si>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</si>
  <si>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</si>
  <si>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</si>
  <si>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</si>
  <si>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</si>
  <si>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</si>
  <si>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</si>
  <si>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</si>
  <si>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</si>
  <si>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</si>
  <si>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</si>
  <si>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</si>
  <si>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</si>
  <si>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</si>
  <si>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</si>
  <si>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</si>
  <si>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</si>
  <si>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</si>
  <si>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</si>
  <si>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</si>
  <si>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</si>
  <si>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</si>
  <si>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</si>
  <si>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</si>
  <si>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</si>
  <si>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</si>
  <si>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</si>
  <si>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</si>
  <si>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</si>
  <si>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</si>
  <si>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</si>
  <si>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</si>
  <si>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</si>
  <si>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</si>
  <si>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</si>
  <si>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</si>
  <si>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</si>
  <si>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</si>
  <si>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</si>
  <si>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</si>
  <si>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</si>
  <si>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</si>
  <si>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</si>
  <si>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</si>
  <si>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</si>
  <si>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</si>
  <si>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</si>
  <si>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</si>
  <si>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</si>
  <si>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</si>
  <si>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</si>
  <si>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</si>
  <si>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</si>
  <si>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</si>
  <si>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</si>
  <si>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</si>
  <si>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</si>
  <si>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</si>
  <si>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</si>
  <si>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</si>
  <si>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</si>
  <si>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</si>
  <si>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</si>
  <si>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</si>
  <si>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</si>
  <si>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</si>
  <si>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</si>
  <si>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</si>
  <si>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</si>
  <si>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</si>
  <si>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</si>
  <si>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</si>
  <si>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</si>
  <si>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</si>
  <si>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</si>
  <si>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</si>
  <si>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</si>
  <si>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</si>
  <si>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</si>
  <si>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</si>
  <si>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</si>
  <si>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</si>
  <si>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</si>
  <si>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</si>
  <si>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</si>
  <si>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</si>
  <si>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</si>
  <si>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</si>
  <si>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</si>
  <si>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</si>
  <si>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</si>
  <si>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</si>
  <si>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</si>
  <si>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</si>
  <si>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</si>
  <si>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</si>
  <si>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</si>
  <si>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</si>
  <si>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</si>
  <si>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</si>
  <si>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</si>
  <si>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</si>
  <si>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</si>
  <si>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</si>
  <si>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</si>
  <si>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</si>
  <si>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</si>
  <si>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</si>
  <si>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</si>
  <si>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</si>
  <si>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</si>
  <si>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</si>
  <si>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</si>
  <si>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</si>
  <si>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</si>
  <si>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</si>
  <si>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</si>
  <si>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</si>
  <si>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</si>
  <si>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</si>
  <si>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</si>
  <si>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</si>
  <si>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</si>
  <si>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</si>
  <si>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</si>
  <si>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</si>
  <si>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</si>
  <si>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</si>
  <si>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</si>
  <si>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</si>
  <si>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</si>
  <si>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</si>
  <si>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</si>
  <si>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</si>
  <si>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</si>
  <si>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</si>
  <si>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</si>
  <si>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</si>
  <si>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</si>
  <si>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</si>
  <si>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</si>
  <si>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</si>
  <si>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</si>
  <si>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</si>
  <si>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</si>
  <si>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</si>
  <si>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</si>
  <si>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</si>
  <si>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</si>
  <si>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</si>
  <si>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</si>
  <si>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</si>
  <si>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</si>
  <si>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</si>
  <si>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</si>
  <si>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</si>
  <si>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</si>
  <si>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</si>
  <si>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</si>
  <si>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</si>
  <si>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</si>
  <si>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</si>
  <si>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</si>
  <si>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</si>
  <si>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</si>
  <si>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</si>
  <si>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</si>
  <si>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</si>
  <si>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</si>
  <si>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</si>
  <si>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</si>
  <si>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</si>
  <si>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</si>
  <si>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</si>
  <si>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</si>
  <si>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</si>
  <si>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</si>
  <si>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</si>
  <si>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</si>
  <si>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</si>
  <si>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</si>
  <si>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</si>
  <si>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</si>
  <si>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</si>
  <si>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</si>
  <si>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</si>
  <si>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</si>
  <si>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</si>
  <si>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</si>
  <si>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</si>
  <si>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</si>
  <si>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</si>
  <si>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</si>
  <si>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</si>
  <si>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</si>
  <si>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</si>
  <si>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</si>
  <si>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</si>
  <si>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</si>
  <si>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</si>
  <si>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</si>
  <si>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</si>
  <si>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</si>
  <si>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</si>
  <si>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</si>
  <si>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</si>
  <si>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</si>
  <si>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</si>
  <si>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</si>
  <si>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</si>
  <si>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</si>
  <si>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</si>
  <si>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</si>
  <si>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</si>
  <si>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</si>
  <si>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</si>
  <si>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</si>
  <si>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</si>
  <si>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</si>
  <si>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</si>
  <si>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</si>
  <si>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</si>
  <si>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</si>
  <si>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</si>
  <si>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</si>
  <si>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</si>
  <si>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</si>
  <si>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</si>
  <si>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</si>
  <si>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</si>
  <si>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</si>
  <si>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</si>
  <si>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</si>
  <si>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</si>
  <si>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</si>
  <si>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</si>
  <si>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</si>
  <si>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</si>
  <si>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</si>
  <si>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</si>
  <si>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</si>
  <si>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</si>
  <si>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</si>
  <si>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</si>
  <si>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</si>
  <si>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</si>
  <si>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</si>
  <si>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</si>
  <si>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</si>
  <si>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</si>
  <si>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</si>
  <si>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</si>
  <si>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</si>
  <si>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</si>
  <si>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</si>
  <si>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</si>
  <si>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</si>
  <si>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</si>
  <si>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</si>
  <si>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</si>
  <si>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</si>
  <si>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</si>
  <si>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</si>
  <si>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</si>
  <si>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</si>
  <si>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</si>
  <si>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</si>
  <si>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</si>
  <si>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</si>
  <si>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</si>
  <si>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</si>
  <si>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</si>
  <si>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</si>
  <si>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</si>
  <si>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</si>
  <si>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</si>
  <si>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</si>
  <si>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</si>
  <si>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</si>
  <si>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</si>
  <si>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</si>
  <si>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</si>
  <si>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</si>
  <si>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</si>
  <si>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</si>
  <si>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</si>
  <si>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</si>
  <si>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</si>
  <si>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</si>
  <si>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</si>
  <si>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</si>
  <si>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</si>
  <si>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</si>
  <si>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</si>
  <si>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</si>
  <si>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</si>
  <si>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</si>
  <si>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</si>
  <si>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</si>
  <si>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</si>
  <si>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</si>
  <si>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</si>
  <si>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</si>
  <si>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</si>
  <si>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</si>
  <si>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</si>
  <si>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</si>
  <si>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</si>
  <si>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</si>
  <si>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</si>
  <si>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</si>
  <si>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</si>
  <si>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</si>
  <si>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</si>
  <si>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</si>
  <si>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</si>
  <si>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</si>
  <si>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</si>
  <si>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</si>
  <si>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</si>
  <si>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</si>
  <si>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</si>
  <si>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</si>
  <si>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</si>
  <si>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</si>
  <si>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</si>
  <si>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</si>
  <si>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</si>
  <si>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</si>
  <si>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</si>
  <si>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</si>
  <si>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</si>
  <si>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</si>
  <si>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</si>
  <si>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</si>
  <si>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</si>
  <si>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</si>
  <si>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</si>
  <si>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</si>
  <si>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</si>
  <si>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</si>
  <si>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</si>
  <si>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</si>
  <si>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</si>
  <si>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</si>
  <si>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</si>
  <si>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</si>
  <si>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</si>
  <si>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</si>
  <si>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</si>
  <si>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</si>
  <si>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</si>
  <si>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</si>
  <si>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</si>
  <si>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</si>
  <si>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</si>
  <si>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</si>
  <si>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</si>
  <si>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</si>
  <si>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</si>
  <si>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</si>
  <si>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</si>
  <si>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</si>
  <si>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</si>
  <si>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</si>
  <si>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</si>
  <si>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</si>
  <si>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</si>
  <si>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</si>
  <si>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</si>
  <si>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</si>
  <si>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</si>
  <si>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</si>
  <si>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</si>
  <si>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</si>
  <si>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</si>
  <si>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</si>
  <si>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</si>
  <si>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</si>
  <si>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</si>
  <si>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</si>
  <si>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</si>
  <si>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</si>
  <si>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</si>
  <si>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</si>
  <si>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</si>
  <si>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</si>
  <si>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</si>
  <si>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</si>
  <si>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</si>
  <si>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</si>
  <si>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</si>
  <si>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</si>
  <si>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</si>
  <si>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</si>
  <si>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</si>
  <si>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</si>
  <si>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</si>
  <si>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</si>
  <si>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</si>
  <si>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</si>
  <si>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</si>
  <si>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</si>
  <si>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</si>
  <si>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</si>
  <si>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</si>
  <si>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</si>
  <si>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</si>
  <si>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</si>
  <si>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</si>
  <si>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</si>
  <si>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</si>
  <si>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</si>
  <si>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</si>
  <si>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</si>
  <si>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</si>
  <si>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</si>
  <si>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</si>
  <si>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</si>
  <si>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</si>
  <si>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</si>
  <si>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</si>
  <si>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</si>
  <si>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</si>
  <si>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</si>
  <si>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</si>
  <si>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</si>
  <si>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</si>
  <si>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</si>
  <si>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</si>
  <si>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</si>
  <si>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</si>
  <si>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</si>
  <si>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</si>
  <si>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</si>
  <si>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</si>
  <si>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</si>
  <si>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</si>
  <si>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</si>
  <si>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</si>
  <si>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</si>
  <si>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</si>
  <si>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</si>
  <si>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</si>
  <si>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</si>
  <si>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</si>
  <si>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</si>
  <si>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</si>
  <si>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</si>
  <si>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</si>
  <si>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</si>
  <si>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</si>
  <si>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</si>
  <si>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</si>
  <si>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</si>
  <si>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</si>
  <si>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</si>
  <si>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</si>
  <si>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</si>
  <si>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</si>
  <si>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</si>
  <si>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</si>
  <si>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</si>
  <si>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</si>
  <si>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</si>
  <si>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</si>
  <si>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</si>
  <si>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</si>
  <si>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</si>
  <si>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</si>
  <si>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</si>
  <si>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</si>
  <si>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</si>
  <si>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</si>
  <si>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</si>
  <si>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</si>
  <si>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</si>
  <si>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</si>
  <si>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</si>
  <si>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</si>
  <si>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</si>
  <si>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</si>
  <si>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</si>
  <si>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</si>
  <si>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</si>
  <si>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</si>
  <si>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</si>
  <si>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</si>
  <si>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</si>
  <si>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</si>
  <si>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</si>
  <si>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</si>
  <si>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</si>
  <si>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</si>
  <si>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</si>
  <si>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</si>
  <si>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</si>
  <si>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</si>
  <si>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</si>
  <si>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</si>
  <si>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</si>
  <si>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</si>
  <si>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</si>
  <si>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</si>
  <si>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</si>
  <si>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</si>
  <si>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</si>
  <si>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</si>
  <si>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</si>
  <si>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</si>
  <si>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</si>
  <si>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</si>
  <si>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</si>
  <si>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</si>
  <si>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</si>
  <si>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</si>
  <si>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</si>
  <si>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</si>
  <si>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</si>
  <si>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</si>
  <si>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</si>
  <si>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</si>
  <si>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</si>
  <si>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</si>
  <si>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</si>
  <si>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</si>
  <si>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</si>
  <si>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</si>
  <si>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</si>
  <si>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</si>
  <si>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</si>
  <si>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</si>
  <si>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</si>
  <si>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</si>
  <si>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</si>
  <si>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</si>
  <si>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</si>
  <si>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</si>
  <si>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</si>
  <si>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</si>
  <si>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</si>
  <si>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</si>
  <si>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</si>
  <si>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</si>
  <si>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</si>
  <si>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</si>
  <si>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</si>
  <si>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</si>
  <si>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</si>
  <si>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</si>
  <si>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</si>
  <si>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</si>
  <si>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</si>
  <si>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</si>
  <si>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</si>
  <si>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</si>
  <si>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</si>
  <si>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</si>
  <si>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</si>
  <si>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</si>
  <si>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</si>
  <si>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</si>
  <si>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</si>
  <si>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</si>
  <si>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</si>
  <si>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</si>
  <si>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</si>
  <si>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</si>
  <si>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</si>
  <si>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</si>
  <si>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</si>
  <si>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</si>
  <si>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</si>
  <si>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</si>
  <si>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</si>
  <si>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</si>
  <si>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</si>
  <si>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</si>
  <si>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</si>
  <si>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</si>
  <si>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</si>
  <si>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</si>
  <si>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</si>
  <si>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</si>
  <si>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</si>
  <si>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</si>
  <si>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</si>
  <si>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</si>
  <si>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</si>
  <si>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</si>
  <si>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</si>
  <si>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</si>
  <si>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</si>
  <si>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</si>
  <si>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</si>
  <si>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</si>
  <si>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</si>
  <si>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</si>
  <si>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</si>
  <si>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</si>
  <si>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</si>
  <si>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</si>
  <si>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</si>
  <si>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</si>
  <si>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</si>
  <si>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</si>
  <si>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</si>
  <si>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</si>
  <si>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</si>
  <si>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</si>
  <si>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</si>
  <si>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</si>
  <si>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</si>
  <si>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</si>
  <si>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</si>
  <si>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</si>
  <si>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</si>
  <si>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</si>
  <si>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</si>
  <si>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</si>
  <si>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</si>
  <si>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</si>
  <si>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</si>
  <si>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</si>
  <si>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</si>
  <si>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</si>
  <si>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</si>
  <si>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</si>
  <si>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</si>
  <si>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</si>
  <si>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</si>
  <si>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</si>
  <si>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</si>
  <si>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</si>
  <si>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</si>
  <si>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</si>
  <si>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</si>
  <si>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</si>
  <si>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</si>
  <si>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</si>
  <si>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</si>
  <si>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</si>
  <si>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</si>
  <si>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</si>
  <si>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</si>
  <si>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</si>
  <si>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</si>
  <si>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</si>
  <si>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</si>
  <si>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</si>
  <si>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</si>
  <si>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</si>
  <si>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</si>
  <si>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</si>
  <si>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</si>
  <si>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</si>
  <si>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</si>
  <si>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</si>
  <si>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</si>
  <si>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</si>
  <si>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</si>
  <si>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</si>
  <si>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</si>
  <si>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</si>
  <si>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</si>
  <si>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</si>
  <si>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</si>
  <si>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</si>
  <si>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</si>
  <si>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</si>
  <si>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</si>
  <si>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</si>
  <si>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</si>
  <si>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</si>
  <si>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</si>
  <si>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</si>
  <si>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</si>
  <si>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</si>
  <si>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</si>
  <si>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</si>
  <si>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</si>
  <si>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</si>
  <si>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</si>
  <si>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</si>
  <si>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</si>
  <si>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</si>
  <si>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</si>
  <si>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</si>
  <si>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</si>
  <si>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</si>
  <si>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</si>
  <si>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</si>
  <si>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</si>
  <si>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</si>
  <si>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</si>
  <si>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</si>
  <si>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</si>
  <si>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</si>
  <si>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</si>
  <si>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</si>
  <si>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</si>
  <si>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</si>
  <si>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</si>
  <si>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</si>
  <si>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</si>
  <si>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</si>
  <si>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</si>
  <si>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</si>
  <si>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</si>
  <si>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</si>
  <si>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</si>
  <si>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</si>
  <si>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</si>
  <si>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</si>
  <si>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</si>
  <si>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</si>
  <si>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</si>
  <si>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</si>
  <si>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</si>
  <si>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</si>
  <si>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</si>
  <si>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</si>
  <si>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</si>
  <si>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</si>
  <si>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</si>
  <si>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</si>
  <si>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</si>
  <si>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</si>
  <si>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</si>
  <si>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</si>
  <si>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</si>
  <si>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</si>
  <si>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</si>
  <si>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</si>
  <si>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</si>
  <si>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</si>
  <si>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</si>
  <si>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</si>
  <si>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</si>
  <si>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</si>
  <si>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</si>
  <si>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</si>
  <si>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</si>
  <si>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</si>
  <si>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</si>
  <si>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</si>
  <si>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</si>
  <si>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</si>
  <si>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</si>
  <si>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</si>
  <si>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</si>
  <si>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</si>
  <si>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</si>
  <si>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</si>
  <si>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</si>
  <si>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</si>
  <si>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</si>
  <si>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</si>
  <si>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</si>
  <si>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</si>
  <si>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</si>
  <si>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</si>
  <si>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</si>
  <si>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</si>
  <si>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</si>
  <si>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</si>
  <si>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</si>
  <si>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</si>
  <si>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</si>
  <si>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</si>
  <si>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</si>
  <si>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</si>
  <si>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</si>
  <si>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</si>
  <si>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</si>
  <si>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</si>
  <si>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</si>
  <si>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</si>
  <si>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</si>
  <si>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</si>
  <si>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</si>
  <si>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</si>
  <si>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</si>
  <si>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</si>
  <si>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</si>
  <si>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</si>
  <si>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</si>
  <si>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</si>
  <si>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</si>
  <si>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</si>
  <si>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</si>
  <si>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</si>
  <si>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</si>
  <si>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</si>
  <si>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</si>
  <si>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</si>
  <si>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</si>
  <si>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</si>
  <si>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</si>
  <si>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</si>
  <si>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</si>
  <si>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</si>
  <si>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</si>
  <si>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</si>
  <si>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</si>
  <si>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</si>
  <si>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</si>
  <si>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</si>
  <si>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</si>
  <si>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</si>
  <si>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</si>
  <si>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</si>
  <si>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</si>
  <si>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</si>
  <si>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</si>
  <si>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</si>
  <si>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</si>
  <si>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</si>
  <si>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</si>
  <si>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</si>
  <si>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</si>
  <si>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</si>
  <si>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</si>
  <si>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</si>
  <si>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</si>
  <si>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</si>
  <si>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</si>
  <si>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</si>
  <si>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</si>
  <si>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</si>
  <si>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</si>
  <si>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</si>
  <si>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</si>
  <si>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</si>
  <si>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</si>
  <si>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</si>
  <si>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</si>
  <si>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</si>
  <si>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</si>
  <si>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</si>
  <si>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</si>
  <si>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</si>
  <si>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</si>
  <si>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</si>
  <si>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</si>
  <si>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</si>
  <si>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</si>
  <si>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</si>
  <si>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</si>
  <si>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</si>
  <si>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</si>
  <si>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</si>
  <si>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</si>
  <si>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</si>
  <si>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</si>
  <si>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</si>
  <si>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</si>
  <si>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</si>
  <si>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</si>
  <si>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</si>
  <si>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</si>
  <si>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</si>
  <si>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</si>
  <si>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</si>
  <si>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</si>
  <si>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</si>
  <si>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</si>
  <si>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</si>
  <si>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</si>
  <si>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</si>
  <si>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</si>
  <si>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</si>
  <si>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</si>
  <si>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</si>
  <si>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</si>
  <si>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</si>
  <si>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</si>
  <si>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</si>
  <si>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</si>
  <si>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</si>
  <si>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</si>
  <si>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</si>
  <si>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</si>
  <si>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</si>
  <si>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</si>
  <si>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</si>
  <si>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</si>
  <si>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</si>
  <si>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</si>
  <si>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</si>
  <si>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</si>
  <si>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</si>
  <si>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</si>
  <si>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</si>
  <si>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</si>
  <si>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</si>
  <si>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</si>
  <si>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</si>
  <si>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</si>
  <si>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</si>
  <si>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</si>
  <si>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</si>
  <si>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</si>
  <si>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</si>
  <si>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</si>
  <si>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</si>
  <si>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</si>
  <si>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</si>
  <si>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</si>
  <si>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</si>
  <si>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</si>
  <si>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</si>
  <si>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</si>
  <si>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</si>
  <si>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</si>
  <si>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</si>
  <si>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</si>
  <si>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</si>
  <si>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</si>
  <si>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</si>
  <si>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</si>
  <si>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</si>
  <si>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</si>
  <si>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</si>
  <si>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</si>
  <si>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</si>
  <si>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</si>
  <si>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</si>
  <si>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</si>
  <si>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</si>
  <si>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</si>
  <si>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</si>
  <si>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</si>
  <si>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</si>
  <si>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</si>
  <si>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</si>
  <si>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</si>
  <si>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</si>
  <si>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</si>
  <si>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</si>
  <si>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</si>
  <si>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</si>
  <si>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</si>
  <si>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</si>
  <si>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</si>
  <si>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</si>
  <si>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</si>
  <si>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</si>
  <si>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</si>
  <si>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</si>
  <si>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</si>
  <si>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</si>
  <si>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</si>
  <si>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</si>
  <si>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</si>
  <si>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</si>
  <si>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</si>
  <si>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</si>
  <si>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</si>
  <si>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</si>
  <si>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</si>
  <si>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</si>
  <si>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</si>
  <si>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</si>
  <si>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</si>
  <si>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</si>
  <si>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</si>
  <si>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</si>
  <si>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</si>
  <si>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</si>
  <si>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</si>
  <si>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</si>
  <si>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</si>
  <si>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</si>
  <si>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</si>
  <si>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</si>
  <si>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</si>
  <si>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</si>
  <si>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</si>
  <si>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</si>
  <si>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</si>
  <si>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</si>
  <si>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</si>
  <si>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</si>
  <si>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</si>
  <si>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</si>
  <si>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</si>
  <si>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</si>
  <si>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</si>
  <si>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</si>
  <si>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</si>
  <si>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</si>
  <si>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</si>
  <si>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</si>
  <si>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</si>
  <si>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</si>
  <si>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</si>
  <si>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</si>
  <si>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</si>
  <si>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</si>
  <si>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</si>
  <si>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</si>
  <si>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</si>
  <si>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</si>
  <si>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</si>
  <si>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</si>
  <si>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</si>
  <si>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</si>
  <si>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</si>
  <si>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</si>
  <si>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</si>
  <si>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</si>
  <si>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</si>
  <si>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</si>
  <si>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</si>
  <si>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</si>
  <si>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</si>
  <si>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</si>
  <si>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</si>
  <si>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</si>
  <si>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</si>
  <si>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</si>
  <si>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</si>
  <si>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</si>
  <si>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</si>
  <si>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</si>
  <si>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</si>
  <si>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</si>
  <si>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</si>
  <si>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</si>
  <si>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</si>
  <si>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</si>
  <si>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</si>
  <si>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</si>
  <si>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</si>
  <si>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</si>
  <si>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</si>
  <si>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</si>
  <si>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</si>
  <si>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</si>
  <si>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</si>
  <si>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</si>
  <si>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</si>
  <si>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</si>
  <si>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</si>
  <si>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</si>
  <si>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</si>
  <si>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</si>
  <si>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</si>
  <si>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</si>
  <si>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</si>
  <si>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</si>
  <si>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</si>
  <si>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</si>
  <si>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</si>
  <si>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</si>
  <si>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</si>
  <si>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</si>
  <si>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</si>
  <si>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</si>
  <si>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</si>
  <si>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</si>
  <si>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</si>
  <si>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</si>
  <si>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</si>
  <si>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</si>
  <si>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</si>
  <si>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</si>
  <si>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</si>
  <si>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</si>
  <si>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</si>
  <si>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</si>
  <si>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</si>
  <si>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</si>
  <si>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</si>
  <si>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</si>
  <si>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</si>
  <si>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</si>
  <si>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</si>
  <si>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</si>
  <si>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</si>
  <si>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</si>
  <si>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</si>
  <si>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</si>
  <si>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</si>
  <si>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</si>
  <si>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</si>
  <si>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</si>
  <si>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</si>
  <si>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</si>
  <si>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</si>
  <si>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</si>
  <si>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</si>
  <si>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</si>
  <si>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</si>
  <si>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</si>
  <si>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</si>
  <si>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</si>
  <si>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</si>
  <si>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</si>
  <si>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</si>
  <si>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</si>
  <si>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</si>
  <si>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</si>
  <si>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</si>
  <si>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</si>
  <si>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</si>
  <si>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</si>
  <si>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</si>
  <si>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</si>
  <si>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</si>
  <si>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</si>
  <si>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</si>
  <si>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</si>
  <si>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</si>
  <si>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</si>
  <si>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</si>
  <si>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</si>
  <si>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</si>
  <si>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</si>
  <si>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</si>
  <si>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</si>
  <si>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</si>
  <si>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</si>
  <si>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</si>
  <si>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</si>
  <si>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</si>
  <si>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</si>
  <si>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</si>
  <si>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</si>
  <si>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</si>
  <si>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</si>
  <si>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</si>
  <si>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</si>
  <si>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</si>
  <si>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</si>
  <si>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</si>
  <si>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</si>
  <si>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</si>
  <si>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</si>
  <si>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</si>
  <si>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</si>
  <si>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</si>
  <si>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</si>
  <si>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</si>
  <si>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</si>
  <si>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</si>
  <si>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</si>
  <si>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</si>
  <si>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</si>
  <si>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</si>
  <si>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</si>
  <si>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</si>
  <si>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</si>
  <si>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</si>
  <si>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</si>
  <si>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</si>
  <si>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</si>
  <si>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</si>
  <si>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</si>
  <si>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</si>
  <si>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</si>
  <si>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</si>
  <si>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</si>
  <si>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</si>
  <si>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</si>
  <si>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</si>
  <si>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</si>
  <si>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</si>
  <si>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</si>
  <si>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</si>
  <si>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</si>
  <si>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</si>
  <si>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</si>
  <si>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</si>
  <si>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</si>
  <si>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</si>
  <si>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</si>
  <si>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</si>
  <si>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</si>
  <si>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</si>
  <si>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</si>
  <si>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</si>
  <si>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</si>
  <si>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</si>
  <si>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</si>
  <si>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</si>
  <si>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</si>
  <si>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</si>
  <si>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</si>
  <si>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</si>
  <si>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</si>
  <si>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</si>
  <si>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</si>
  <si>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</si>
  <si>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</si>
  <si>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</si>
  <si>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</si>
  <si>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</si>
  <si>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</si>
  <si>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</si>
  <si>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</si>
  <si>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</si>
  <si>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</si>
  <si>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</si>
  <si>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</si>
  <si>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</si>
  <si>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</si>
  <si>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</si>
  <si>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</si>
  <si>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</si>
  <si>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</si>
  <si>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</si>
  <si>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</si>
  <si>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</si>
  <si>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</si>
  <si>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</si>
  <si>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</si>
  <si>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</si>
  <si>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</si>
  <si>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</si>
  <si>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</si>
  <si>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</si>
  <si>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</si>
  <si>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</si>
  <si>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</si>
  <si>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</si>
  <si>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</si>
  <si>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</si>
  <si>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</si>
  <si>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</si>
  <si>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</si>
  <si>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</si>
  <si>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</si>
  <si>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</si>
  <si>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</si>
  <si>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</si>
  <si>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</si>
  <si>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</si>
  <si>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</si>
  <si>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</si>
  <si>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</si>
  <si>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</si>
  <si>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</si>
  <si>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</si>
  <si>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</si>
  <si>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</si>
  <si>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</si>
  <si>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</si>
  <si>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</si>
  <si>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</si>
  <si>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</si>
  <si>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</si>
  <si>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</si>
  <si>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</si>
  <si>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</si>
  <si>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</si>
  <si>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</si>
  <si>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</si>
  <si>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</si>
  <si>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</si>
  <si>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</si>
  <si>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</si>
  <si>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</si>
  <si>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</si>
  <si>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</si>
  <si>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</si>
  <si>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</si>
  <si>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</si>
  <si>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</si>
  <si>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</si>
  <si>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</si>
  <si>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</si>
  <si>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</si>
  <si>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</si>
  <si>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</si>
  <si>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</si>
  <si>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</si>
  <si>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</si>
  <si>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</si>
  <si>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</si>
  <si>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</si>
  <si>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</si>
  <si>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</si>
  <si>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</si>
  <si>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</si>
  <si>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</si>
  <si>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</si>
  <si>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</si>
  <si>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</si>
  <si>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</si>
  <si>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</si>
  <si>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</si>
  <si>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</si>
  <si>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</si>
  <si>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</si>
  <si>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</si>
  <si>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</si>
  <si>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</si>
  <si>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</si>
  <si>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</si>
  <si>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</si>
  <si>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</si>
  <si>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</si>
  <si>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</si>
  <si>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</si>
  <si>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</si>
  <si>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</si>
  <si>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</si>
  <si>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</si>
  <si>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</si>
  <si>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</si>
  <si>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</si>
  <si>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</si>
  <si>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</si>
  <si>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</si>
  <si>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</si>
  <si>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</si>
  <si>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</si>
  <si>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</si>
  <si>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</si>
  <si>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</si>
  <si>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</si>
  <si>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</si>
  <si>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</si>
  <si>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</si>
  <si>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</si>
  <si>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</si>
  <si>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</si>
  <si>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</si>
  <si>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</si>
  <si>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</si>
  <si>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</si>
  <si>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</si>
  <si>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</si>
  <si>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</si>
  <si>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</si>
  <si>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</si>
  <si>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</si>
  <si>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</si>
  <si>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</si>
  <si>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</si>
  <si>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</si>
  <si>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</si>
  <si>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</si>
  <si>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</si>
  <si>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</si>
  <si>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</si>
  <si>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</si>
  <si>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</si>
  <si>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</si>
  <si>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</si>
  <si>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</si>
  <si>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</si>
  <si>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</si>
  <si>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</si>
  <si>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</si>
  <si>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</si>
  <si>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</si>
  <si>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</si>
  <si>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</si>
  <si>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</si>
  <si>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</si>
  <si>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</si>
  <si>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</si>
  <si>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</si>
  <si>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</si>
  <si>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</si>
  <si>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</si>
  <si>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</si>
  <si>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</si>
  <si>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</si>
  <si>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</si>
  <si>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</si>
  <si>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</si>
  <si>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</si>
  <si>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</si>
  <si>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</si>
  <si>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</si>
  <si>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</si>
  <si>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</si>
  <si>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</si>
  <si>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</si>
  <si>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</si>
  <si>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</si>
  <si>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</si>
  <si>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</si>
  <si>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</si>
  <si>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</si>
  <si>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</si>
  <si>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</si>
  <si>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</si>
  <si>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</si>
  <si>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</si>
  <si>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</si>
  <si>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</si>
  <si>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</si>
  <si>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</si>
  <si>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</si>
  <si>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</si>
  <si>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</si>
  <si>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</si>
  <si>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</si>
  <si>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</si>
  <si>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</si>
  <si>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</si>
  <si>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</si>
  <si>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</si>
  <si>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</si>
  <si>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</si>
  <si>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</si>
  <si>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</si>
  <si>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</si>
  <si>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</si>
  <si>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</si>
  <si>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</si>
  <si>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</si>
  <si>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</si>
  <si>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</si>
  <si>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</si>
  <si>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</si>
  <si>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</si>
  <si>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</si>
  <si>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</si>
  <si>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</si>
  <si>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</si>
  <si>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</si>
  <si>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</si>
  <si>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</si>
  <si>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</si>
  <si>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</si>
  <si>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</si>
  <si>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</si>
  <si>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</si>
  <si>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</si>
  <si>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</si>
  <si>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</si>
  <si>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</si>
  <si>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</si>
  <si>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</si>
  <si>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</si>
  <si>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</si>
  <si>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</si>
  <si>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</si>
  <si>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</si>
  <si>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</si>
  <si>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</si>
  <si>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</si>
  <si>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</si>
  <si>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</si>
  <si>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</si>
  <si>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</si>
  <si>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</si>
  <si>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</si>
  <si>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</si>
  <si>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</si>
  <si>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</si>
  <si>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</si>
  <si>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</si>
  <si>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</si>
  <si>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</si>
  <si>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</si>
  <si>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</si>
  <si>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</si>
  <si>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</si>
  <si>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</si>
  <si>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</si>
  <si>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</si>
  <si>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</si>
  <si>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</si>
  <si>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</si>
  <si>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</si>
  <si>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</si>
  <si>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</si>
  <si>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</si>
  <si>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</si>
  <si>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</si>
  <si>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</si>
  <si>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</si>
  <si>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</si>
  <si>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</si>
  <si>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</si>
  <si>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</si>
  <si>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</si>
  <si>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</si>
  <si>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</si>
  <si>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</si>
  <si>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</si>
  <si>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</si>
  <si>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</si>
  <si>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</si>
  <si>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</si>
  <si>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</si>
  <si>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</si>
  <si>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</si>
  <si>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</si>
  <si>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</si>
  <si>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</si>
  <si>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</si>
  <si>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</si>
  <si>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</si>
  <si>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</si>
  <si>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</si>
  <si>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</si>
  <si>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</si>
  <si>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</si>
  <si>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</si>
  <si>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</si>
  <si>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</si>
  <si>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</si>
  <si>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</si>
  <si>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</si>
  <si>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</si>
  <si>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</si>
  <si>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</si>
  <si>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</si>
  <si>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</si>
  <si>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</si>
  <si>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</si>
  <si>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</si>
  <si>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</si>
  <si>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</si>
  <si>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</si>
  <si>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</si>
  <si>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</si>
  <si>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</si>
  <si>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</si>
  <si>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</si>
  <si>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</si>
  <si>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</si>
  <si>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</si>
  <si>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</si>
  <si>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</si>
  <si>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</si>
  <si>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</si>
  <si>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</si>
  <si>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</si>
  <si>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</si>
  <si>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</si>
  <si>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</si>
  <si>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</si>
  <si>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</si>
  <si>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</si>
  <si>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</si>
  <si>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</si>
  <si>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</si>
  <si>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</si>
  <si>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</si>
  <si>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</si>
  <si>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</si>
  <si>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</si>
  <si>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</si>
  <si>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</si>
  <si>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</si>
  <si>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</si>
  <si>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</si>
  <si>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</si>
  <si>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</si>
  <si>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</si>
  <si>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</si>
  <si>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</si>
  <si>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</si>
  <si>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</si>
  <si>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</si>
  <si>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</si>
  <si>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</si>
  <si>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</si>
  <si>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</si>
  <si>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</si>
  <si>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</si>
  <si>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</si>
  <si>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</si>
  <si>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</si>
  <si>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</si>
  <si>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</si>
  <si>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</si>
  <si>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</si>
  <si>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</si>
  <si>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</si>
  <si>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</si>
  <si>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</si>
  <si>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</si>
  <si>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</si>
  <si>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</si>
  <si>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</si>
  <si>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</si>
  <si>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</si>
  <si>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</si>
  <si>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</si>
  <si>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</si>
  <si>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</si>
  <si>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</si>
  <si>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</si>
  <si>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</si>
  <si>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</si>
  <si>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</si>
  <si>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</si>
  <si>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</si>
  <si>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</si>
  <si>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</si>
  <si>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</si>
  <si>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</si>
  <si>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</si>
  <si>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</si>
  <si>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</si>
  <si>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</si>
  <si>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</si>
  <si>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</si>
  <si>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</si>
  <si>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</si>
  <si>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</si>
  <si>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</si>
  <si>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</si>
  <si>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</si>
  <si>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</si>
  <si>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</si>
  <si>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</si>
  <si>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</si>
  <si>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</si>
  <si>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</si>
  <si>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</si>
  <si>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</si>
  <si>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</si>
  <si>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</si>
  <si>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</si>
  <si>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</si>
  <si>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</si>
  <si>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</si>
  <si>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</si>
  <si>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</si>
  <si>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</si>
  <si>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</si>
  <si>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</si>
  <si>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</si>
  <si>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</si>
  <si>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</si>
  <si>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</si>
  <si>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</si>
  <si>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</si>
  <si>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</si>
  <si>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</si>
  <si>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</si>
  <si>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</si>
  <si>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</si>
  <si>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</si>
  <si>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</si>
  <si>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</si>
  <si>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</si>
  <si>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</si>
  <si>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</si>
  <si>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</si>
  <si>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</si>
  <si>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</si>
  <si>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</si>
  <si>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</si>
  <si>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</si>
  <si>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</si>
  <si>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</si>
  <si>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</si>
  <si>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</si>
  <si>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</si>
  <si>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</si>
  <si>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</si>
  <si>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</si>
  <si>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</si>
  <si>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</si>
  <si>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</si>
  <si>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</si>
  <si>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</si>
  <si>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</si>
  <si>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</si>
  <si>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</si>
  <si>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</si>
  <si>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</si>
  <si>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</si>
  <si>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</si>
  <si>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</si>
  <si>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</si>
  <si>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</si>
  <si>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</si>
  <si>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</si>
  <si>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</si>
  <si>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</si>
  <si>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</si>
  <si>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</si>
  <si>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</si>
  <si>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</si>
  <si>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</si>
  <si>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</si>
  <si>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</si>
  <si>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</si>
  <si>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</si>
  <si>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</si>
  <si>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</si>
  <si>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</si>
  <si>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</si>
  <si>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</si>
  <si>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</si>
  <si>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</si>
  <si>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</si>
  <si>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</si>
  <si>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</si>
  <si>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</si>
  <si>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</si>
  <si>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</si>
  <si>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</si>
  <si>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</si>
  <si>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</si>
  <si>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</si>
  <si>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</si>
  <si>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</si>
  <si>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</si>
  <si>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</si>
  <si>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</si>
  <si>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</si>
  <si>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</si>
  <si>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</si>
  <si>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</si>
  <si>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</si>
  <si>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</si>
  <si>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</si>
  <si>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</si>
  <si>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</si>
  <si>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</si>
  <si>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</si>
  <si>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</si>
  <si>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</si>
  <si>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</si>
  <si>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</si>
  <si>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</si>
  <si>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</si>
  <si>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</si>
  <si>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</si>
  <si>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</si>
  <si>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</si>
  <si>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</si>
  <si>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</si>
  <si>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</si>
  <si>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</si>
  <si>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</si>
  <si>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</si>
  <si>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</si>
  <si>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</si>
  <si>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</si>
  <si>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</si>
  <si>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</si>
  <si>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</si>
  <si>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</si>
  <si>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</si>
  <si>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</si>
  <si>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</si>
  <si>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</si>
  <si>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</si>
  <si>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</si>
  <si>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</si>
  <si>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</si>
  <si>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</si>
  <si>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</si>
  <si>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</si>
  <si>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</si>
  <si>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</si>
  <si>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</si>
  <si>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</si>
  <si>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</si>
  <si>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</si>
  <si>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</si>
  <si>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</si>
  <si>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</si>
  <si>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</si>
  <si>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</si>
  <si>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</si>
  <si>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</si>
  <si>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</si>
  <si>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</si>
  <si>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</si>
  <si>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</si>
  <si>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</si>
  <si>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</si>
  <si>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</si>
  <si>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</si>
  <si>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</si>
  <si>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</si>
  <si>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</si>
  <si>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</si>
  <si>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</si>
  <si>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</si>
  <si>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</si>
  <si>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</si>
  <si>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</si>
  <si>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</si>
  <si>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</si>
  <si>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</si>
  <si>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</si>
  <si>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</si>
  <si>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</si>
  <si>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</si>
  <si>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</si>
  <si>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</si>
  <si>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</si>
  <si>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</si>
  <si>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</si>
  <si>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</si>
  <si>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</si>
  <si>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</si>
  <si>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</si>
  <si>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</si>
  <si>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</si>
  <si>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</si>
  <si>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</si>
  <si>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</si>
  <si>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</si>
  <si>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</si>
  <si>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</si>
  <si>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</si>
  <si>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</si>
  <si>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</si>
  <si>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</si>
  <si>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</si>
  <si>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</si>
  <si>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</si>
  <si>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</si>
  <si>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</si>
  <si>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</si>
  <si>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</si>
  <si>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</si>
  <si>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</si>
  <si>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</si>
  <si>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</si>
  <si>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</si>
  <si>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</si>
  <si>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</si>
  <si>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</si>
  <si>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</si>
  <si>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</si>
  <si>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</si>
  <si>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</si>
  <si>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</si>
  <si>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</si>
  <si>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</si>
  <si>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</si>
  <si>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</si>
  <si>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</si>
  <si>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</si>
  <si>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</si>
  <si>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</si>
  <si>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</si>
  <si>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</si>
  <si>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</si>
  <si>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</si>
  <si>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</si>
  <si>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</si>
  <si>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</si>
  <si>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</si>
  <si>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</si>
  <si>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</si>
  <si>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</si>
  <si>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</si>
  <si>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</si>
  <si>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</si>
  <si>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</si>
  <si>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</si>
  <si>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</si>
  <si>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</si>
  <si>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</si>
  <si>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</si>
  <si>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</si>
  <si>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</si>
  <si>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</si>
  <si>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</si>
  <si>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</si>
  <si>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</si>
  <si>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</si>
  <si>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</si>
  <si>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</si>
  <si>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</si>
  <si>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</si>
  <si>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</si>
  <si>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</si>
  <si>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</si>
  <si>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</si>
  <si>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</si>
  <si>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</si>
  <si>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</si>
  <si>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</si>
  <si>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</si>
  <si>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</si>
  <si>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</si>
  <si>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</si>
  <si>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</si>
  <si>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</si>
  <si>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</si>
  <si>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</si>
  <si>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</si>
  <si>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</si>
  <si>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</si>
  <si>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</si>
  <si>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</si>
  <si>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</si>
  <si>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</si>
  <si>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</si>
  <si>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</si>
  <si>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</si>
  <si>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</si>
  <si>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</si>
  <si>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</si>
  <si>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</si>
  <si>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</si>
  <si>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</si>
  <si>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</si>
  <si>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</si>
  <si>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</si>
  <si>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</si>
  <si>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</si>
  <si>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</si>
  <si>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</si>
  <si>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</si>
  <si>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</si>
  <si>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</si>
  <si>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</si>
  <si>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</si>
  <si>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</si>
  <si>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</si>
  <si>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</si>
  <si>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</si>
  <si>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</si>
  <si>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</si>
  <si>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</si>
  <si>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</si>
  <si>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</si>
  <si>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</si>
  <si>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</si>
  <si>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</si>
  <si>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</si>
  <si>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</si>
  <si>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</si>
  <si>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</si>
  <si>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</si>
  <si>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</si>
  <si>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</si>
  <si>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</si>
  <si>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</si>
  <si>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</si>
  <si>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</si>
  <si>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</si>
  <si>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</si>
  <si>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</si>
  <si>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</si>
  <si>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</si>
  <si>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</si>
  <si>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</si>
  <si>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</si>
  <si>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</si>
  <si>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</si>
  <si>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</si>
  <si>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</si>
  <si>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</si>
  <si>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</si>
  <si>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</si>
  <si>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</si>
  <si>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</si>
  <si>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</si>
  <si>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</si>
  <si>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</si>
  <si>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</si>
  <si>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</si>
  <si>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</si>
  <si>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</si>
  <si>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</si>
  <si>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</si>
  <si>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</si>
  <si>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</si>
  <si>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</si>
  <si>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</si>
  <si>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</si>
  <si>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</si>
  <si>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</si>
  <si>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</si>
  <si>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</si>
  <si>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</si>
  <si>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</si>
  <si>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</si>
  <si>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</si>
  <si>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</si>
  <si>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</si>
  <si>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</si>
  <si>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</si>
  <si>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</si>
  <si>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</si>
  <si>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</si>
  <si>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</si>
  <si>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</si>
  <si>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</si>
  <si>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</si>
  <si>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</si>
  <si>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</si>
  <si>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</si>
  <si>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</si>
  <si>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</si>
  <si>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</si>
  <si>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</si>
  <si>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</si>
  <si>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</si>
  <si>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</si>
  <si>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</si>
  <si>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</si>
  <si>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</si>
  <si>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</si>
  <si>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</si>
  <si>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</si>
  <si>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</si>
  <si>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</si>
  <si>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</si>
  <si>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</si>
  <si>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</si>
  <si>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</si>
  <si>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</si>
  <si>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</si>
  <si>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</si>
  <si>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</si>
  <si>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</si>
  <si>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</si>
  <si>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</si>
  <si>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</si>
  <si>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</si>
  <si>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</si>
  <si>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</si>
  <si>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</si>
  <si>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</si>
  <si>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</si>
  <si>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</si>
  <si>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</si>
  <si>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</si>
  <si>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</si>
  <si>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</si>
  <si>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</si>
  <si>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</si>
  <si>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</si>
  <si>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</si>
  <si>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</si>
  <si>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</si>
  <si>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</si>
  <si>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</si>
  <si>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</si>
  <si>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</si>
  <si>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</si>
  <si>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</si>
  <si>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</si>
  <si>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</si>
  <si>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</si>
  <si>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</si>
  <si>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</si>
  <si>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</si>
  <si>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</si>
  <si>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</si>
  <si>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</si>
  <si>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</si>
  <si>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</si>
  <si>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</si>
  <si>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</si>
  <si>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</si>
  <si>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</si>
  <si>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</si>
  <si>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</si>
  <si>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</si>
  <si>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</si>
  <si>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</si>
  <si>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</si>
  <si>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</si>
  <si>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</si>
  <si>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</si>
  <si>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</si>
  <si>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</si>
  <si>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</si>
  <si>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</si>
  <si>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</si>
  <si>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</si>
  <si>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</si>
  <si>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</si>
  <si>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</si>
  <si>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</si>
  <si>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</si>
  <si>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</si>
  <si>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</si>
  <si>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</si>
  <si>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</si>
  <si>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</si>
  <si>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</si>
  <si>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</si>
  <si>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</si>
  <si>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</si>
  <si>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</si>
  <si>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</si>
  <si>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</si>
  <si>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</si>
  <si>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</si>
  <si>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</si>
  <si>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</si>
  <si>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</si>
  <si>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</si>
  <si>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</si>
  <si>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</si>
  <si>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</si>
  <si>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</si>
  <si>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</si>
  <si>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</si>
  <si>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</si>
  <si>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</si>
  <si>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</si>
  <si>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</si>
  <si>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</si>
  <si>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</si>
  <si>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</si>
  <si>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</si>
  <si>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</si>
  <si>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</si>
  <si>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</si>
  <si>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</si>
  <si>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</si>
  <si>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</si>
  <si>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</si>
  <si>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</si>
  <si>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</si>
  <si>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</si>
  <si>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</si>
  <si>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</si>
  <si>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</si>
  <si>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</si>
  <si>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</si>
  <si>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</si>
  <si>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</si>
  <si>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</si>
  <si>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</si>
  <si>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</si>
  <si>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</si>
  <si>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</si>
  <si>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</si>
  <si>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</si>
  <si>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</si>
  <si>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</si>
  <si>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</si>
  <si>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</si>
  <si>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</si>
  <si>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</si>
  <si>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</si>
  <si>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</si>
  <si>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</si>
  <si>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</si>
  <si>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</si>
  <si>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</si>
  <si>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</si>
  <si>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</si>
  <si>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</si>
  <si>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</si>
  <si>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</si>
  <si>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</si>
  <si>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</si>
  <si>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</si>
  <si>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</si>
  <si>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</si>
  <si>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</si>
  <si>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</si>
  <si>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</si>
  <si>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</si>
  <si>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</si>
  <si>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</si>
  <si>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</si>
  <si>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</si>
  <si>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</si>
  <si>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</si>
  <si>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</si>
  <si>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</si>
  <si>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</si>
  <si>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</si>
  <si>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</si>
  <si>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</si>
  <si>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</si>
  <si>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</si>
  <si>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</si>
  <si>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</si>
  <si>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</si>
  <si>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</si>
  <si>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</si>
  <si>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</si>
  <si>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</si>
  <si>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</si>
  <si>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</si>
  <si>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</si>
  <si>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</si>
  <si>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</si>
  <si>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</si>
  <si>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</si>
  <si>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</si>
  <si>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</si>
  <si>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</si>
  <si>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</si>
  <si>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</si>
  <si>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</si>
  <si>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</si>
  <si>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</si>
  <si>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</si>
  <si>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</si>
  <si>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</si>
  <si>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</si>
  <si>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</si>
  <si>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</si>
  <si>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</si>
  <si>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</si>
  <si>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</si>
  <si>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</si>
  <si>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</si>
  <si>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</si>
  <si>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</si>
  <si>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</si>
  <si>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</si>
  <si>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</si>
  <si>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</si>
  <si>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</si>
  <si>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</si>
  <si>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</si>
  <si>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</si>
  <si>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</si>
  <si>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</si>
  <si>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</si>
  <si>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</si>
  <si>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</si>
  <si>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</si>
  <si>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</si>
  <si>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</si>
  <si>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</si>
  <si>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</si>
  <si>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</si>
  <si>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</si>
  <si>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</si>
  <si>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</si>
  <si>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</si>
  <si>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</si>
  <si>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</si>
  <si>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</si>
  <si>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</si>
  <si>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</si>
  <si>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</si>
  <si>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</si>
  <si>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</si>
  <si>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</si>
  <si>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</si>
  <si>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</si>
  <si>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</si>
  <si>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</si>
  <si>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</si>
  <si>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</si>
  <si>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</si>
  <si>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</si>
  <si>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</si>
  <si>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</si>
  <si>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</si>
  <si>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</si>
  <si>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</si>
  <si>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</si>
  <si>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</si>
  <si>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</si>
  <si>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</si>
  <si>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</si>
  <si>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</si>
  <si>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</si>
  <si>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</si>
  <si>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</si>
  <si>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</si>
  <si>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</si>
  <si>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</si>
  <si>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</si>
  <si>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</si>
  <si>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</si>
  <si>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</si>
  <si>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</si>
  <si>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</si>
  <si>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</si>
  <si>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</si>
  <si>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</si>
  <si>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</si>
  <si>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</si>
  <si>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</si>
  <si>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</si>
  <si>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</si>
  <si>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</si>
  <si>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</si>
  <si>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</si>
  <si>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</si>
  <si>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</si>
  <si>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</si>
  <si>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</si>
  <si>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</si>
  <si>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</si>
  <si>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</si>
  <si>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</si>
  <si>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</si>
  <si>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</si>
  <si>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</si>
  <si>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</si>
  <si>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</si>
  <si>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</si>
  <si>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</si>
  <si>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</si>
  <si>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</si>
  <si>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</si>
  <si>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</si>
  <si>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</si>
  <si>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</si>
  <si>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</si>
  <si>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</si>
  <si>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</si>
  <si>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</si>
  <si>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</si>
  <si>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</si>
  <si>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</si>
  <si>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</si>
  <si>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</si>
  <si>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</si>
  <si>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</si>
  <si>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</si>
  <si>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</si>
  <si>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</si>
  <si>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</si>
  <si>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</si>
  <si>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</si>
  <si>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</si>
  <si>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</si>
  <si>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</si>
  <si>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</si>
  <si>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</si>
  <si>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</si>
  <si>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</si>
  <si>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</si>
  <si>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</si>
  <si>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</si>
  <si>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</si>
  <si>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</si>
  <si>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</si>
  <si>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</si>
  <si>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</si>
  <si>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</si>
  <si>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</si>
  <si>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</si>
  <si>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</si>
  <si>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</si>
  <si>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</si>
  <si>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</si>
  <si>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</si>
  <si>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</si>
  <si>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</si>
  <si>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</si>
  <si>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</si>
  <si>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</si>
  <si>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</si>
  <si>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</si>
  <si>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</si>
  <si>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</si>
  <si>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</si>
  <si>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</si>
  <si>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</si>
  <si>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</si>
  <si>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</si>
  <si>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</si>
  <si>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</si>
  <si>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</si>
  <si>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</si>
  <si>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</si>
  <si>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</si>
  <si>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</si>
  <si>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</si>
  <si>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</si>
  <si>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</si>
  <si>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</si>
  <si>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</si>
  <si>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</si>
  <si>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</si>
  <si>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</si>
  <si>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</si>
  <si>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</si>
  <si>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</si>
  <si>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</si>
  <si>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</si>
  <si>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</si>
  <si>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</si>
  <si>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</si>
  <si>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</si>
  <si>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</si>
  <si>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</si>
  <si>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</si>
  <si>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</si>
  <si>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</si>
  <si>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</si>
  <si>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</si>
  <si>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</si>
  <si>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</si>
  <si>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</si>
  <si>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</si>
  <si>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</si>
  <si>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</si>
  <si>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</si>
  <si>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</si>
  <si>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</si>
  <si>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</si>
  <si>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</si>
  <si>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</si>
  <si>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</si>
  <si>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</si>
  <si>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</si>
  <si>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</si>
  <si>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</si>
  <si>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</si>
  <si>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</si>
  <si>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</si>
  <si>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</si>
  <si>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</si>
  <si>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</si>
  <si>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</si>
  <si>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</si>
  <si>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</si>
  <si>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</si>
  <si>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</si>
  <si>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</si>
  <si>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</si>
  <si>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</si>
  <si>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</si>
  <si>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</si>
  <si>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</si>
  <si>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</si>
  <si>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</si>
  <si>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</si>
  <si>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</si>
  <si>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</si>
  <si>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</si>
  <si>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</si>
  <si>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</si>
  <si>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</si>
  <si>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</si>
  <si>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</si>
  <si>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</si>
  <si>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</si>
  <si>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</si>
  <si>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</si>
  <si>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</si>
  <si>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</si>
  <si>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</si>
  <si>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</si>
  <si>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</si>
  <si>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</si>
  <si>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</si>
  <si>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</si>
  <si>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</si>
  <si>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</si>
  <si>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</si>
  <si>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</si>
  <si>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</si>
  <si>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</si>
  <si>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</si>
  <si>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</si>
  <si>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</si>
  <si>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</si>
  <si>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</si>
  <si>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</si>
  <si>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</si>
  <si>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</si>
  <si>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</si>
  <si>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</si>
  <si>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</si>
  <si>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</si>
  <si>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</si>
  <si>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</si>
  <si>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</si>
  <si>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</si>
  <si>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</si>
  <si>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</si>
  <si>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</si>
  <si>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</si>
  <si>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</si>
  <si>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</si>
  <si>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</si>
  <si>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</si>
  <si>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</si>
  <si>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</si>
  <si>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</si>
  <si>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</si>
  <si>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</si>
  <si>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</si>
  <si>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</si>
  <si>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</si>
  <si>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</si>
  <si>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</si>
  <si>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</si>
  <si>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</si>
  <si>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</si>
  <si>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</si>
  <si>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</si>
  <si>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</si>
  <si>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</si>
  <si>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</si>
  <si>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</si>
  <si>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</si>
  <si>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</si>
  <si>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</si>
  <si>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</si>
  <si>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</si>
  <si>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</si>
  <si>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</si>
  <si>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</si>
  <si>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</si>
  <si>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</si>
  <si>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</si>
  <si>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</si>
  <si>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</si>
  <si>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</si>
  <si>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</si>
  <si>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</si>
  <si>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</si>
  <si>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</si>
  <si>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</si>
  <si>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</si>
  <si>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</si>
  <si>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</si>
  <si>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</si>
  <si>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</si>
  <si>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</si>
  <si>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</si>
  <si>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</si>
  <si>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</si>
  <si>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</si>
  <si>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</si>
  <si>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</si>
  <si>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</si>
  <si>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</si>
  <si>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</si>
  <si>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</si>
  <si>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</si>
  <si>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</si>
  <si>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</si>
  <si>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</si>
  <si>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</si>
  <si>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</si>
  <si>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</si>
  <si>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</si>
  <si>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</si>
  <si>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</si>
  <si>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</si>
  <si>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</si>
  <si>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</si>
  <si>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</si>
  <si>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</si>
  <si>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</si>
  <si>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</si>
  <si>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</si>
  <si>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</si>
  <si>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</si>
  <si>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</si>
  <si>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</si>
  <si>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</si>
  <si>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</si>
  <si>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</si>
  <si>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</si>
  <si>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</si>
  <si>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</si>
  <si>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</si>
  <si>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</si>
  <si>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</si>
  <si>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</si>
  <si>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</si>
  <si>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</si>
  <si>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</si>
  <si>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</si>
  <si>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</si>
  <si>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</si>
  <si>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</si>
  <si>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</si>
  <si>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</si>
  <si>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</si>
  <si>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</si>
  <si>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</si>
  <si>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</si>
  <si>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</si>
  <si>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</si>
  <si>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</si>
  <si>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</si>
  <si>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</si>
  <si>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</si>
  <si>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</si>
  <si>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</si>
  <si>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</si>
  <si>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</si>
  <si>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</si>
  <si>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</si>
  <si>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</si>
  <si>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</si>
  <si>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</si>
  <si>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</si>
  <si>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</si>
  <si>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</si>
  <si>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</si>
  <si>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</si>
  <si>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</si>
  <si>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</si>
  <si>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</si>
  <si>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</si>
  <si>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</si>
  <si>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</si>
  <si>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</si>
  <si>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</si>
  <si>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</si>
  <si>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</si>
  <si>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</si>
  <si>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</si>
  <si>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</si>
  <si>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</si>
  <si>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</si>
  <si>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</si>
  <si>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</si>
  <si>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</si>
  <si>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</si>
  <si>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</si>
  <si>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</si>
  <si>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</si>
  <si>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</si>
  <si>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</si>
  <si>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</si>
  <si>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</si>
  <si>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</si>
  <si>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</si>
  <si>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</si>
  <si>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</si>
  <si>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</si>
  <si>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</si>
  <si>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</si>
  <si>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</si>
  <si>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</si>
  <si>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</si>
  <si>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</si>
  <si>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</si>
  <si>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</si>
  <si>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</si>
  <si>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</si>
  <si>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</si>
  <si>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</si>
  <si>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</si>
  <si>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</si>
  <si>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</si>
  <si>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</si>
  <si>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</si>
  <si>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</si>
  <si>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</si>
  <si>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</si>
  <si>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</si>
  <si>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</si>
  <si>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</si>
  <si>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</si>
  <si>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</si>
  <si>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</si>
  <si>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</si>
  <si>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</si>
  <si>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</si>
  <si>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</si>
  <si>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</si>
  <si>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</si>
  <si>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</si>
  <si>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</si>
  <si>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</si>
  <si>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</si>
  <si>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</si>
  <si>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</si>
  <si>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</si>
  <si>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</si>
  <si>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</si>
  <si>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</si>
  <si>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</si>
  <si>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</si>
  <si>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</si>
  <si>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</si>
  <si>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</si>
  <si>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</si>
  <si>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</si>
  <si>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</si>
  <si>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</si>
  <si>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</si>
  <si>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</si>
  <si>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</si>
  <si>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</si>
  <si>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</si>
  <si>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</si>
  <si>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</si>
  <si>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</si>
  <si>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</si>
  <si>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</si>
  <si>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</si>
  <si>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</si>
  <si>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</si>
  <si>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</si>
  <si>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</si>
  <si>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</si>
  <si>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</si>
  <si>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</si>
  <si>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</si>
  <si>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</si>
  <si>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</si>
  <si>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</si>
  <si>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</si>
  <si>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</si>
  <si>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</si>
  <si>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</si>
  <si>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</si>
  <si>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</si>
  <si>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</si>
  <si>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</si>
  <si>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</si>
  <si>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</si>
  <si>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</si>
  <si>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</si>
  <si>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</si>
  <si>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</si>
  <si>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</si>
  <si>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</si>
  <si>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</si>
  <si>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</si>
  <si>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</si>
  <si>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</si>
  <si>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</si>
  <si>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</si>
  <si>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</si>
  <si>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</si>
  <si>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</si>
  <si>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</si>
  <si>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</si>
  <si>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</si>
  <si>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</si>
  <si>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</si>
  <si>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</si>
  <si>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</si>
  <si>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</si>
  <si>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</si>
  <si>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</si>
  <si>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</si>
  <si>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</si>
  <si>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</si>
  <si>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</si>
  <si>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</si>
  <si>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</si>
  <si>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</si>
  <si>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</si>
  <si>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</si>
  <si>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</si>
  <si>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</si>
  <si>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</si>
  <si>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</si>
  <si>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</si>
  <si>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</si>
  <si>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</si>
  <si>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</si>
  <si>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</si>
  <si>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</si>
  <si>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</si>
  <si>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</si>
  <si>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</si>
  <si>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</si>
  <si>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</si>
  <si>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</si>
  <si>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</si>
  <si>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</si>
  <si>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</si>
  <si>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</si>
  <si>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</si>
  <si>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</si>
  <si>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</si>
  <si>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</si>
  <si>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</si>
  <si>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</si>
  <si>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</si>
  <si>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</si>
  <si>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</si>
  <si>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</si>
  <si>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</si>
  <si>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</si>
  <si>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</si>
  <si>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</si>
  <si>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</si>
  <si>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</si>
  <si>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</si>
  <si>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</si>
  <si>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</si>
  <si>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</si>
  <si>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</si>
  <si>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</si>
  <si>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</si>
  <si>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</si>
  <si>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</si>
  <si>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</si>
  <si>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</si>
  <si>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</si>
  <si>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</si>
  <si>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</si>
  <si>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</si>
  <si>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</si>
  <si>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</si>
  <si>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</si>
  <si>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</si>
  <si>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</si>
  <si>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</si>
  <si>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</si>
  <si>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</si>
  <si>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</si>
  <si>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</si>
  <si>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</si>
  <si>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</si>
  <si>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</si>
  <si>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</si>
  <si>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</si>
  <si>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</si>
  <si>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</si>
  <si>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</si>
  <si>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</si>
  <si>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</si>
  <si>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</si>
  <si>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</si>
  <si>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</si>
  <si>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</si>
  <si>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</si>
  <si>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</si>
  <si>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</si>
  <si>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</si>
  <si>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</si>
  <si>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</si>
  <si>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</si>
  <si>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</si>
  <si>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</si>
  <si>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</si>
  <si>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</si>
  <si>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</si>
  <si>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</si>
  <si>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</si>
  <si>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</si>
  <si>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</si>
  <si>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</si>
  <si>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</si>
  <si>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</si>
  <si>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</si>
  <si>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</si>
  <si>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</si>
  <si>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</si>
  <si>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</si>
  <si>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</si>
  <si>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</si>
  <si>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</si>
  <si>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</si>
  <si>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</si>
  <si>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</si>
  <si>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</si>
  <si>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</si>
  <si>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</si>
  <si>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</si>
  <si>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</si>
  <si>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</si>
  <si>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</si>
  <si>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</si>
  <si>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</si>
  <si>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</si>
  <si>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</si>
  <si>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</si>
  <si>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</si>
  <si>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</si>
  <si>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</si>
  <si>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</si>
  <si>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</si>
  <si>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</si>
  <si>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</si>
  <si>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</si>
  <si>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</si>
  <si>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</si>
  <si>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</si>
  <si>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</si>
  <si>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</si>
  <si>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</si>
  <si>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</si>
  <si>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</si>
  <si>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</si>
  <si>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</si>
  <si>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</si>
  <si>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</si>
  <si>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</si>
  <si>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</si>
  <si>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</si>
  <si>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</si>
  <si>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</si>
  <si>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</si>
  <si>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</si>
  <si>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</si>
  <si>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</si>
  <si>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</si>
  <si>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</si>
  <si>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</si>
  <si>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</si>
  <si>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</si>
  <si>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</si>
  <si>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</si>
  <si>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</si>
  <si>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</si>
  <si>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</si>
  <si>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</si>
  <si>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</si>
  <si>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</si>
  <si>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</si>
  <si>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</si>
  <si>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</si>
  <si>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</si>
  <si>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</si>
  <si>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</si>
  <si>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</si>
  <si>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</si>
  <si>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</si>
  <si>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</si>
  <si>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</si>
  <si>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</si>
  <si>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</si>
  <si>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</si>
  <si>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</si>
  <si>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</si>
  <si>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</si>
  <si>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</si>
  <si>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</si>
  <si>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</si>
  <si>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</si>
  <si>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</si>
  <si>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</si>
  <si>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</si>
  <si>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</si>
  <si>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</si>
  <si>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</si>
  <si>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</si>
  <si>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</si>
  <si>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</si>
  <si>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</si>
  <si>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</si>
  <si>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</si>
  <si>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</si>
  <si>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</si>
  <si>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</si>
  <si>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</si>
  <si>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</si>
  <si>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</si>
  <si>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</si>
  <si>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</si>
  <si>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</si>
  <si>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</si>
  <si>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</si>
  <si>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</si>
  <si>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</si>
  <si>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</si>
  <si>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</si>
  <si>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</si>
  <si>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</si>
  <si>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</si>
  <si>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</si>
  <si>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</si>
  <si>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</si>
  <si>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</si>
  <si>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</si>
  <si>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</si>
  <si>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</si>
  <si>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</si>
  <si>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</si>
  <si>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</si>
  <si>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</si>
  <si>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</si>
  <si>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</si>
  <si>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</si>
  <si>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</si>
  <si>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</si>
  <si>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</si>
  <si>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</si>
  <si>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</si>
  <si>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</si>
  <si>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</si>
  <si>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</si>
  <si>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</si>
  <si>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</si>
  <si>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</si>
  <si>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</si>
  <si>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</si>
  <si>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</si>
  <si>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</si>
  <si>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</si>
  <si>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</si>
  <si>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</si>
  <si>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</si>
  <si>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</si>
  <si>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</si>
  <si>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</si>
  <si>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</si>
  <si>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</si>
  <si>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</si>
  <si>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</si>
  <si>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</si>
  <si>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</si>
  <si>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</si>
  <si>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</si>
  <si>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</si>
  <si>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</si>
  <si>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</si>
  <si>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</si>
  <si>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</si>
  <si>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</si>
  <si>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</si>
  <si>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</si>
  <si>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</si>
  <si>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</si>
  <si>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</si>
  <si>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</si>
  <si>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</si>
  <si>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</si>
  <si>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</si>
  <si>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</si>
  <si>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</si>
  <si>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</si>
  <si>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</si>
  <si>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</si>
  <si>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</si>
  <si>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</si>
  <si>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</si>
  <si>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</si>
  <si>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</si>
  <si>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</si>
  <si>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</si>
  <si>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</si>
  <si>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</si>
  <si>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</si>
  <si>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</si>
  <si>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</si>
  <si>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</si>
  <si>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</si>
  <si>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</si>
  <si>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</si>
  <si>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</si>
  <si>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</si>
  <si>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</si>
  <si>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</si>
  <si>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</si>
  <si>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</si>
  <si>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</si>
  <si>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</si>
  <si>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</si>
  <si>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</si>
  <si>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</si>
  <si>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</si>
  <si>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</si>
  <si>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</si>
  <si>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</si>
  <si>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</si>
  <si>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</si>
  <si>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</si>
  <si>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</si>
  <si>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</si>
  <si>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</si>
  <si>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</si>
  <si>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</si>
  <si>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</si>
  <si>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</si>
  <si>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</si>
  <si>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</si>
  <si>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</si>
  <si>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</si>
  <si>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</si>
  <si>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</si>
  <si>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</si>
  <si>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</si>
  <si>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</si>
  <si>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</si>
  <si>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</si>
  <si>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</si>
  <si>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</si>
  <si>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</si>
  <si>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</si>
  <si>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</si>
  <si>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</si>
  <si>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</si>
  <si>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</si>
  <si>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</si>
  <si>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</si>
  <si>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</si>
  <si>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</si>
  <si>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</si>
  <si>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</si>
  <si>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</si>
  <si>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</si>
  <si>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</si>
  <si>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</si>
  <si>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</si>
  <si>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</si>
  <si>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</si>
  <si>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</si>
  <si>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</si>
  <si>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</si>
  <si>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</si>
  <si>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</si>
  <si>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</si>
  <si>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</si>
  <si>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</si>
  <si>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</si>
  <si>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</si>
  <si>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</si>
  <si>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</si>
  <si>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</si>
  <si>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Mass / Volume</t>
  </si>
  <si>
    <t>Masse / Volume</t>
  </si>
  <si>
    <t>Massa / Volume</t>
  </si>
  <si>
    <t>Masa / Volumen</t>
  </si>
  <si>
    <t xml:space="preserve">Masowa / Objętość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</si>
</sst>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09">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0" xfId="0" applyAlignment="1">
      <alignment horizontal="left" vertical="center"/>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6" fillId="0" borderId="48"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0" fillId="0" borderId="1"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0" fillId="6" borderId="1" xfId="0" applyFill="1" applyBorder="1" applyAlignment="1" applyProtection="1">
      <alignment horizontal="center"/>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6" borderId="21" xfId="0" applyNumberFormat="1" applyFill="1" applyBorder="1" applyAlignment="1" applyProtection="1">
      <alignment horizontal="right"/>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 xfId="0" applyFont="1" applyBorder="1" applyAlignment="1">
      <alignment horizontal="center"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13" borderId="1" xfId="0" applyNumberFormat="1" applyFill="1" applyBorder="1" applyAlignment="1">
      <alignment horizontal="right"/>
    </xf>
    <xf numFmtId="0" fontId="2" fillId="0" borderId="1" xfId="0" applyFont="1" applyBorder="1" applyAlignment="1">
      <alignment horizontal="center" vertical="center" wrapText="1"/>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6" xfId="2" applyFont="1" applyFill="1" applyBorder="1" applyAlignment="1">
      <alignment horizontal="right" vertical="center"/>
    </xf>
    <xf numFmtId="0" fontId="6" fillId="0" borderId="11" xfId="3" applyFill="1" applyBorder="1" applyAlignment="1" applyProtection="1">
      <alignment horizontal="center" vertical="center" wrapText="1"/>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2" fontId="0" fillId="13" borderId="37" xfId="0" applyNumberFormat="1" applyFill="1" applyBorder="1" applyAlignment="1">
      <alignment horizontal="right"/>
    </xf>
    <xf numFmtId="2" fontId="0" fillId="13" borderId="44" xfId="2" applyFont="1" applyFill="1" applyBorder="1" applyAlignment="1">
      <alignment horizontal="right" vertical="center"/>
    </xf>
    <xf numFmtId="0" fontId="6" fillId="0" borderId="7" xfId="3" applyFill="1" applyBorder="1" applyAlignment="1" applyProtection="1">
      <alignment horizontal="center" vertical="center"/>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2" fontId="0" fillId="6" borderId="27" xfId="0" applyNumberFormat="1" applyFill="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6" fillId="0" borderId="64" xfId="3" applyFill="1" applyBorder="1" applyAlignment="1" applyProtection="1">
      <alignment horizontal="center" vertic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2" fontId="0" fillId="13" borderId="14" xfId="0" applyNumberFormat="1" applyFill="1" applyBorder="1" applyAlignment="1">
      <alignment horizontal="right"/>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2" fontId="2" fillId="0" borderId="0" xfId="0" applyNumberFormat="1" applyFont="1" applyAlignment="1">
      <alignment horizontal="center" vertic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2" fillId="3" borderId="59" xfId="0" applyFont="1" applyFill="1" applyBorder="1" applyAlignment="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25" xfId="0" applyFont="1" applyBorder="1" applyAlignment="1">
      <alignment horizontal="center"/>
    </xf>
    <xf numFmtId="0" fontId="2" fillId="0" borderId="0" xfId="0" applyFont="1" applyAlignment="1">
      <alignment horizontal="center"/>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tabSelected="1"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9060</v>
      </c>
      <c r="D1" s="328"/>
    </row>
    <row r="2" spans="2:18" x14ac:dyDescent="0.3">
      <c r="B2" s="328" t="str">
        <f>template_label_publication_date</f>
        <v>Publication date:</v>
      </c>
      <c r="C2" s="329">
        <v>45986</v>
      </c>
      <c r="D2" s="328"/>
    </row>
    <row r="3" spans="2:18" ht="35.549999999999997" customHeight="1" x14ac:dyDescent="0.3">
      <c r="B3" s="503" t="str" cm="1">
        <f t="array" aca="1" ref="B3" ca="1">IF(ISERROR(CELL("filename",A1)),"Warning: The Digital Template was developed and tested using Microsoft Excel 365. Functionality may be limited or incorrect when using other spreadsheet applications or older versions of Excel.","")</f>
        <v/>
      </c>
      <c r="C3" s="503"/>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5685</v>
      </c>
    </row>
    <row r="11" spans="2:18" x14ac:dyDescent="0.3">
      <c r="B11" s="89" t="str">
        <f>template_label_select_template_display_language</f>
        <v>Select Template Display Language:</v>
      </c>
      <c r="C11" s="484" t="s">
        <v>5688</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04"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05"/>
      <c r="D15" s="505"/>
      <c r="E15" s="506"/>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07" t="str">
        <f>template_label_0_provide_information_that_is_mandatory_in_order_to_generate_the_vsme_and_xbrl_report</f>
        <v>0. Provide information that is mandatory in order to generate the VSME and XBRL Report.</v>
      </c>
      <c r="C19" s="508"/>
      <c r="D19" s="508"/>
      <c r="E19" s="509"/>
      <c r="F19" s="340"/>
      <c r="G19" s="340"/>
      <c r="H19" s="340"/>
      <c r="I19" s="340"/>
      <c r="J19" s="340"/>
      <c r="K19" s="340"/>
      <c r="L19" s="340"/>
      <c r="M19" s="340"/>
      <c r="N19" s="340"/>
      <c r="O19" s="340"/>
      <c r="P19" s="340"/>
      <c r="Q19" s="340"/>
      <c r="R19" s="340"/>
    </row>
    <row r="20" spans="1:18" ht="59.4" customHeight="1" x14ac:dyDescent="0.3">
      <c r="B20" s="507"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08"/>
      <c r="D20" s="508"/>
      <c r="E20" s="509"/>
      <c r="F20" s="340"/>
      <c r="G20" s="340"/>
      <c r="H20" s="340"/>
      <c r="I20" s="340"/>
      <c r="J20" s="340"/>
      <c r="K20" s="340"/>
      <c r="L20" s="340"/>
      <c r="M20" s="340"/>
      <c r="N20" s="340"/>
      <c r="O20" s="340"/>
      <c r="P20" s="340"/>
      <c r="Q20" s="340"/>
      <c r="R20" s="340"/>
    </row>
    <row r="21" spans="1:18" ht="39.6" customHeight="1" x14ac:dyDescent="0.3">
      <c r="B21" s="528"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29"/>
      <c r="D21" s="529"/>
      <c r="E21" s="530"/>
      <c r="F21" s="341"/>
      <c r="G21" s="341"/>
      <c r="H21" s="341"/>
      <c r="I21" s="341"/>
      <c r="J21" s="341"/>
      <c r="K21" s="341"/>
      <c r="L21" s="341"/>
      <c r="M21" s="341"/>
      <c r="N21" s="341"/>
      <c r="O21" s="341"/>
      <c r="P21" s="341"/>
      <c r="Q21" s="341"/>
      <c r="R21" s="341"/>
    </row>
    <row r="22" spans="1:18" ht="36" customHeight="1" x14ac:dyDescent="0.3">
      <c r="B22" s="507"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08"/>
      <c r="D22" s="508"/>
      <c r="E22" s="509"/>
      <c r="F22" s="341"/>
      <c r="G22" s="341"/>
      <c r="H22" s="341"/>
      <c r="I22" s="341"/>
      <c r="J22" s="341"/>
      <c r="K22" s="341"/>
      <c r="L22" s="341"/>
      <c r="M22" s="341"/>
      <c r="N22" s="341"/>
      <c r="O22" s="341"/>
      <c r="P22" s="341"/>
      <c r="Q22" s="341"/>
      <c r="R22" s="341"/>
    </row>
    <row r="23" spans="1:18" s="342" customFormat="1" ht="18" x14ac:dyDescent="0.3">
      <c r="B23" s="528" t="str">
        <f>template_label_4_validate_the_data_entered_by_checking_the_validation_status</f>
        <v>4. Validate the data entered by checking the validation status. The report is considered incomplete or erroneous if the validation fails, which might result in an invalid XBRL report.</v>
      </c>
      <c r="C23" s="529"/>
      <c r="D23" s="529"/>
      <c r="E23" s="530"/>
      <c r="F23" s="341"/>
      <c r="G23" s="341"/>
      <c r="H23" s="341"/>
      <c r="I23" s="341"/>
      <c r="J23" s="341"/>
      <c r="K23" s="341"/>
      <c r="L23" s="341"/>
      <c r="M23" s="341"/>
      <c r="N23" s="341"/>
      <c r="O23" s="341"/>
      <c r="P23" s="341"/>
      <c r="Q23" s="341"/>
      <c r="R23" s="341"/>
    </row>
    <row r="24" spans="1:18" ht="18" x14ac:dyDescent="0.3">
      <c r="B24" s="528" t="str">
        <f>template_label_5_convert_this_template_to_an_inline_xbrl_report</f>
        <v>5. Convert this template to an Inline XBRL report (or XBRL-JSON, XBRL-CSV), using the online converter. Pay attention to the XBRL validation performed by the validator.</v>
      </c>
      <c r="C24" s="529"/>
      <c r="D24" s="529"/>
      <c r="E24" s="530"/>
      <c r="F24" s="341"/>
      <c r="G24" s="341"/>
      <c r="H24" s="341"/>
      <c r="I24" s="341"/>
      <c r="J24" s="341"/>
      <c r="K24" s="341"/>
      <c r="L24" s="341"/>
      <c r="M24" s="341"/>
      <c r="N24" s="341"/>
      <c r="O24" s="341"/>
      <c r="P24" s="341"/>
      <c r="Q24" s="341"/>
      <c r="R24" s="341"/>
    </row>
    <row r="25" spans="1:18" ht="24.6" customHeight="1" x14ac:dyDescent="0.3">
      <c r="B25" s="516" t="str">
        <f>template_label_6_the_undertaking_may_also_upload_the_report_to_public_repositories_or_a_webpage</f>
        <v>6. The undertaking may also upload the report to public repositories or a webpage.</v>
      </c>
      <c r="C25" s="517"/>
      <c r="D25" s="517"/>
      <c r="E25" s="518"/>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13" t="str">
        <f>template_label_indicates_that_the_disclosure_is_from_the_general_principles_of_the_vsme</f>
        <v>Indicates that the disclosure is from the general principles of the VSME.</v>
      </c>
      <c r="D28" s="514"/>
      <c r="E28" s="515"/>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13" t="str">
        <f>template_label_indicates_that_the_disclosure_is_from_the_vsme_basic_module</f>
        <v>Indicates that the disclosure is from the VSME Basic Module.</v>
      </c>
      <c r="D29" s="514"/>
      <c r="E29" s="515"/>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13" t="str">
        <f>template_label_indicates_that_the_disclosure_is_from_the_vsme_comprehensive_module</f>
        <v>Indicates that the disclosure is from the VSME Comprehensive Module.</v>
      </c>
      <c r="D30" s="514"/>
      <c r="E30" s="515"/>
      <c r="F30" s="339"/>
      <c r="G30" s="347"/>
      <c r="H30" s="347"/>
      <c r="I30" s="347"/>
      <c r="J30" s="347"/>
      <c r="K30" s="347"/>
      <c r="L30" s="347"/>
      <c r="M30" s="347"/>
      <c r="N30" s="347"/>
      <c r="O30" s="347"/>
      <c r="P30" s="347"/>
      <c r="Q30" s="347"/>
      <c r="R30" s="347"/>
    </row>
    <row r="31" spans="1:18" ht="35.85" customHeight="1" x14ac:dyDescent="0.35">
      <c r="A31" s="345"/>
      <c r="B31" s="349"/>
      <c r="C31" s="510" t="str">
        <f>template_label_indicates_that_the_cell_is_automatically_calculated_and_that_no_data_entry_is_required</f>
        <v>Indicates that the cell is automatically calculated and that no data entry is required.</v>
      </c>
      <c r="D31" s="511"/>
      <c r="E31" s="512"/>
      <c r="F31" s="339"/>
      <c r="G31" s="350"/>
      <c r="H31" s="350"/>
      <c r="I31" s="350"/>
      <c r="J31" s="350"/>
      <c r="K31" s="350"/>
      <c r="L31" s="350"/>
      <c r="M31" s="350"/>
      <c r="N31" s="350"/>
      <c r="O31" s="350"/>
      <c r="P31" s="350"/>
      <c r="Q31" s="350"/>
      <c r="R31" s="350"/>
    </row>
    <row r="32" spans="1:18" ht="63" customHeight="1" x14ac:dyDescent="0.35">
      <c r="A32" s="345"/>
      <c r="B32" s="351"/>
      <c r="C32" s="510"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11"/>
      <c r="E32" s="512"/>
      <c r="F32" s="339"/>
      <c r="G32" s="350"/>
      <c r="H32" s="350"/>
      <c r="I32" s="350"/>
      <c r="J32" s="350"/>
      <c r="K32" s="350"/>
      <c r="L32" s="350"/>
      <c r="M32" s="350"/>
      <c r="N32" s="350"/>
      <c r="O32" s="350"/>
      <c r="P32" s="350"/>
      <c r="Q32" s="350"/>
      <c r="R32" s="350"/>
    </row>
    <row r="33" spans="1:18" ht="35.85" customHeight="1" x14ac:dyDescent="0.35">
      <c r="A33" s="345"/>
      <c r="B33" s="352"/>
      <c r="C33" s="510"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11"/>
      <c r="E33" s="512"/>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13"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14"/>
      <c r="E34" s="515"/>
      <c r="F34" s="339"/>
      <c r="G34" s="347"/>
      <c r="H34" s="347"/>
      <c r="I34" s="347"/>
      <c r="J34" s="347"/>
      <c r="K34" s="347"/>
      <c r="L34" s="347"/>
      <c r="M34" s="347"/>
      <c r="N34" s="347"/>
      <c r="O34" s="347"/>
      <c r="P34" s="347"/>
      <c r="Q34" s="347"/>
      <c r="R34" s="347"/>
    </row>
    <row r="35" spans="1:18" ht="22.35" customHeight="1" x14ac:dyDescent="0.35">
      <c r="B35" s="354" t="s">
        <v>2886</v>
      </c>
      <c r="C35" s="513" t="str">
        <f>template_label_indicates_that_data_entry_is_ok_and_the_undertaking_can_proceed_to_the_next_disclosure</f>
        <v>Indicates that data entry is OK and the undertaking can proceed to the next disclosure.</v>
      </c>
      <c r="D35" s="514"/>
      <c r="E35" s="515"/>
      <c r="F35" s="339"/>
      <c r="G35" s="347"/>
      <c r="H35" s="347"/>
      <c r="I35" s="347"/>
      <c r="J35" s="347"/>
      <c r="K35" s="347"/>
      <c r="L35" s="347"/>
      <c r="M35" s="347"/>
      <c r="N35" s="347"/>
      <c r="O35" s="347"/>
      <c r="P35" s="347"/>
      <c r="Q35" s="347"/>
      <c r="R35" s="347"/>
    </row>
    <row r="36" spans="1:18" ht="22.35" customHeight="1" x14ac:dyDescent="0.35">
      <c r="B36" s="355"/>
      <c r="C36" s="513" t="str">
        <f>template_label_no_value_can_be_entered_in_the_cell</f>
        <v>No value can be entered in the cell.</v>
      </c>
      <c r="D36" s="514"/>
      <c r="E36" s="515"/>
      <c r="F36" s="339"/>
      <c r="G36" s="347"/>
      <c r="H36" s="347"/>
      <c r="I36" s="347"/>
      <c r="J36" s="347"/>
      <c r="K36" s="347"/>
      <c r="L36" s="347"/>
      <c r="M36" s="347"/>
      <c r="N36" s="347"/>
      <c r="O36" s="347"/>
      <c r="P36" s="347"/>
      <c r="Q36" s="347"/>
      <c r="R36" s="347"/>
    </row>
    <row r="37" spans="1:18" ht="45.75" customHeight="1" x14ac:dyDescent="0.35">
      <c r="A37" s="345"/>
      <c r="B37" s="356" t="s">
        <v>2880</v>
      </c>
      <c r="C37" s="510" t="str">
        <f>template_label_lists_can_be_expanded_using_the_plus_button_on_the_left</f>
        <v>Lists can be expanded using the plus [+] button on the left. If the number of rows is not sufficient, additional rows can be added by right clicking the second row and selecting "Insert row".</v>
      </c>
      <c r="D37" s="511"/>
      <c r="E37" s="512"/>
      <c r="F37" s="339"/>
      <c r="G37" s="357"/>
      <c r="H37" s="357"/>
      <c r="I37" s="357"/>
      <c r="J37" s="357"/>
      <c r="K37" s="357"/>
      <c r="L37" s="357"/>
      <c r="M37" s="357"/>
      <c r="N37" s="357"/>
      <c r="O37" s="357"/>
      <c r="P37" s="357"/>
      <c r="Q37" s="357"/>
      <c r="R37" s="357"/>
    </row>
    <row r="42" spans="1:18" x14ac:dyDescent="0.3">
      <c r="B42" s="525"/>
      <c r="C42" s="526"/>
      <c r="D42" s="526"/>
      <c r="E42" s="527"/>
    </row>
    <row r="43" spans="1:18" ht="97.2" customHeight="1" x14ac:dyDescent="0.4">
      <c r="B43" s="519"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20"/>
      <c r="D43" s="520"/>
      <c r="E43" s="521"/>
    </row>
    <row r="44" spans="1:18" ht="21" x14ac:dyDescent="0.4">
      <c r="B44" s="522" t="str">
        <f>template_label_reproduction_and_use_rights_are_strictly_limited</f>
        <v>Reproduction and use rights are strictly limited. For further details please contact efragsecretariat@efrag.org</v>
      </c>
      <c r="C44" s="523"/>
      <c r="D44" s="523"/>
      <c r="E44" s="524"/>
    </row>
  </sheetData>
  <sheetProtection algorithmName="SHA-512" hashValue="5wfKpLDqfUi3+JSjssbedij0SpPOGkAiiaY+B/DwAyTN7b7jYXS1LNkp5D5zTFy6Oht6YzvBciSiLyjRLtBIzw==" saltValue="rHSmb2WjC6NfYM3lnyVi0g=="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MISSING VALUE</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MISSING VALUE</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v>
      </c>
    </row>
    <row r="23" spans="2:3" x14ac:dyDescent="0.3">
      <c r="B23" s="448" t="str">
        <f>template_label_greenhouse_gas_emission_intensity_per_turnover_validation</f>
        <v>Greenhouse gas emission intensity per turnover</v>
      </c>
      <c r="C23" s="371" t="str">
        <f>IF(C22=template_label_ok,template_label_ok,"-")</f>
        <v>-</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MISSING VALUE</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MISSING VALUE</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20" t="str">
        <f>template_label_information_on_the_report_necessary_for_xbrl &amp; " " &amp; template_label_always_to_be_reported</f>
        <v>Information on the report necessary for  XBRL [Always to be reported]</v>
      </c>
      <c r="D2" s="621"/>
      <c r="E2" s="622"/>
    </row>
    <row r="3" spans="1:11" ht="14.4" customHeight="1" x14ac:dyDescent="0.3">
      <c r="A3" s="88"/>
      <c r="B3" s="88"/>
      <c r="C3" s="124" t="str">
        <f>template_label_name_of_the_reporting_entity</f>
        <v>Name of the reporting entity</v>
      </c>
      <c r="D3" s="633"/>
      <c r="E3" s="634"/>
      <c r="F3" s="11" t="str">
        <f>IF(D3 = "", template_label_missing_value, template_label_ok)</f>
        <v>MISSING VALUE</v>
      </c>
    </row>
    <row r="4" spans="1:11" ht="14.4" customHeight="1" x14ac:dyDescent="0.3">
      <c r="A4" s="88"/>
      <c r="B4" s="88"/>
      <c r="C4" s="124" t="str">
        <f>template_label_identifier_of_the_reporting_entity</f>
        <v>Identifier of the reporting entity (select and specify on the right)</v>
      </c>
      <c r="D4" s="385"/>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35"/>
      <c r="E5" s="636"/>
      <c r="F5" s="11" t="str">
        <f>IF(D5 = "", template_label_missing_value, template_label_ok)</f>
        <v>MISSING VALUE</v>
      </c>
      <c r="H5" s="52"/>
    </row>
    <row r="6" spans="1:11" ht="14.4" customHeight="1" x14ac:dyDescent="0.3">
      <c r="C6" s="245" t="str">
        <f>template_label_starting_year</f>
        <v>Starting year</v>
      </c>
      <c r="D6" s="596"/>
      <c r="E6" s="597"/>
      <c r="F6" s="547"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531" t="str">
        <f>template_label_date_warning</f>
        <v>ℹ️ If VALUE INCONSISTENCY message appears on the right, please ensure that the reporting period end date is greater than the reporting period start date.</v>
      </c>
      <c r="H6" s="531"/>
      <c r="I6" s="531"/>
      <c r="J6" s="531"/>
      <c r="K6" s="531"/>
    </row>
    <row r="7" spans="1:11" ht="14.4" customHeight="1" x14ac:dyDescent="0.3">
      <c r="C7" s="140" t="str">
        <f>template_label_starting_month</f>
        <v>Starting month</v>
      </c>
      <c r="D7" s="637"/>
      <c r="E7" s="638"/>
      <c r="F7" s="547"/>
      <c r="G7" s="531"/>
      <c r="H7" s="531"/>
      <c r="I7" s="531"/>
      <c r="J7" s="531"/>
      <c r="K7" s="531"/>
    </row>
    <row r="8" spans="1:11" ht="14.4" customHeight="1" x14ac:dyDescent="0.3">
      <c r="C8" s="140" t="str">
        <f>template_label_starting_day</f>
        <v>Starting day</v>
      </c>
      <c r="D8" s="548"/>
      <c r="E8" s="549"/>
      <c r="F8" s="547"/>
      <c r="G8" s="531"/>
      <c r="H8" s="531"/>
      <c r="I8" s="531"/>
      <c r="J8" s="531"/>
      <c r="K8" s="531"/>
    </row>
    <row r="9" spans="1:11" ht="14.4" customHeight="1" thickBot="1" x14ac:dyDescent="0.35">
      <c r="C9" s="121" t="str">
        <f>template_label_reporting_period_start_date</f>
        <v>Reporting period start date (yyyy-mm-dd)</v>
      </c>
      <c r="D9" s="594" t="str">
        <f>IF(OR(ISBLANK(D6), ISBLANK(D7), ISBLANK(D8)), "-", D6 &amp; "-" &amp; TEXT(D7, "00") &amp; "-" &amp; TEXT(D8, "00"))</f>
        <v>-</v>
      </c>
      <c r="E9" s="595"/>
      <c r="F9"/>
      <c r="H9" s="52"/>
    </row>
    <row r="10" spans="1:11" ht="14.4" customHeight="1" x14ac:dyDescent="0.3">
      <c r="C10" s="245" t="str">
        <f>template_label_ending_year</f>
        <v>Ending year</v>
      </c>
      <c r="D10" s="596"/>
      <c r="E10" s="597"/>
      <c r="F10" s="547"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531" t="str">
        <f>template_label_date_warning</f>
        <v>ℹ️ If VALUE INCONSISTENCY message appears on the right, please ensure that the reporting period end date is greater than the reporting period start date.</v>
      </c>
      <c r="H10" s="531"/>
      <c r="I10" s="531"/>
      <c r="J10" s="531"/>
      <c r="K10" s="531"/>
    </row>
    <row r="11" spans="1:11" ht="14.4" customHeight="1" x14ac:dyDescent="0.3">
      <c r="C11" s="140" t="str">
        <f>template_label_ending_month</f>
        <v>Ending month</v>
      </c>
      <c r="D11" s="598"/>
      <c r="E11" s="599"/>
      <c r="F11" s="547"/>
      <c r="G11" s="531"/>
      <c r="H11" s="531"/>
      <c r="I11" s="531"/>
      <c r="J11" s="531"/>
      <c r="K11" s="531"/>
    </row>
    <row r="12" spans="1:11" ht="14.4" customHeight="1" x14ac:dyDescent="0.3">
      <c r="C12" s="140" t="s">
        <v>3060</v>
      </c>
      <c r="D12" s="600"/>
      <c r="E12" s="601"/>
      <c r="F12" s="547"/>
      <c r="G12" s="531"/>
      <c r="H12" s="531"/>
      <c r="I12" s="531"/>
      <c r="J12" s="531"/>
      <c r="K12" s="531"/>
    </row>
    <row r="13" spans="1:11" ht="14.4" customHeight="1" thickBot="1" x14ac:dyDescent="0.35">
      <c r="A13" s="88"/>
      <c r="B13" s="88"/>
      <c r="C13" s="121" t="str">
        <f>template_label_reporting_period_end_date</f>
        <v>Reporting period end date  (yyyy-mm-dd)</v>
      </c>
      <c r="D13" s="594" t="str">
        <f>IF(OR(ISBLANK(D10), ISBLANK(D11), ISBLANK(D12)), "-", D10 &amp; "-" &amp; TEXT(D11, "00") &amp; "-" &amp; TEXT(D12, "00"))</f>
        <v>-</v>
      </c>
      <c r="E13" s="595"/>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25" t="str">
        <f>template_label_information_on_previous_reporting_period</f>
        <v>Information on previous reporting period</v>
      </c>
      <c r="D16" s="626"/>
      <c r="E16" s="627"/>
    </row>
    <row r="17" spans="1:7" x14ac:dyDescent="0.3">
      <c r="A17" s="91"/>
      <c r="B17" s="88"/>
      <c r="C17" s="630">
        <v>16</v>
      </c>
      <c r="D17" s="631"/>
      <c r="E17" s="632"/>
      <c r="F17" s="246"/>
    </row>
    <row r="18" spans="1:7" ht="14.4" customHeight="1" x14ac:dyDescent="0.3">
      <c r="C18" s="628" t="str">
        <f>template_label_disclosures_from_the_previous_reporting_period_that_remain_unchanged</f>
        <v>This report contains disclosures from the previous reporting period that remain unchanged</v>
      </c>
      <c r="D18" s="629"/>
      <c r="E18" s="57" t="b">
        <v>0</v>
      </c>
      <c r="F18" s="11" t="str">
        <f>IF(E18 = FALSE, "", template_label_ok)</f>
        <v/>
      </c>
    </row>
    <row r="19" spans="1:7" ht="14.4" customHeight="1" x14ac:dyDescent="0.3">
      <c r="C19" s="605" t="str">
        <f>template_label_disclosures_for_which_no_changes_are_reported_compared_to_the_previous_period_reporting</f>
        <v>List of disclosures for which no changes are reported compared to the previous period reporting</v>
      </c>
      <c r="D19" s="606"/>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07"/>
      <c r="D20" s="608"/>
      <c r="E20" s="59"/>
      <c r="F20" s="11" t="str">
        <f t="shared" ref="F20:F27" si="0">IF($E$18 = FALSE, "",
IF(E20 = "", "",
IF(COUNTIF($E$19:$E$118, E20) &gt; 1, template_label_value_inconsistency, template_label_ok)))</f>
        <v/>
      </c>
    </row>
    <row r="21" spans="1:7" ht="14.4" customHeight="1" x14ac:dyDescent="0.3">
      <c r="C21" s="607"/>
      <c r="D21" s="608"/>
      <c r="E21" s="59"/>
      <c r="F21" s="11" t="str">
        <f t="shared" si="0"/>
        <v/>
      </c>
    </row>
    <row r="22" spans="1:7" ht="14.4" hidden="1" customHeight="1" outlineLevel="2" x14ac:dyDescent="0.3">
      <c r="C22" s="607"/>
      <c r="D22" s="608"/>
      <c r="E22" s="59"/>
      <c r="F22" s="11" t="str">
        <f t="shared" si="0"/>
        <v/>
      </c>
    </row>
    <row r="23" spans="1:7" ht="14.4" hidden="1" customHeight="1" outlineLevel="2" x14ac:dyDescent="0.3">
      <c r="C23" s="607"/>
      <c r="D23" s="608"/>
      <c r="E23" s="59"/>
      <c r="F23" s="11" t="str">
        <f t="shared" si="0"/>
        <v/>
      </c>
    </row>
    <row r="24" spans="1:7" ht="14.4" hidden="1" customHeight="1" outlineLevel="2" x14ac:dyDescent="0.3">
      <c r="C24" s="607"/>
      <c r="D24" s="608"/>
      <c r="E24" s="59"/>
      <c r="F24" s="11" t="str">
        <f t="shared" si="0"/>
        <v/>
      </c>
    </row>
    <row r="25" spans="1:7" ht="14.4" hidden="1" customHeight="1" outlineLevel="2" x14ac:dyDescent="0.3">
      <c r="C25" s="607"/>
      <c r="D25" s="608"/>
      <c r="E25" s="59"/>
      <c r="F25" s="11" t="str">
        <f t="shared" si="0"/>
        <v/>
      </c>
    </row>
    <row r="26" spans="1:7" ht="14.4" hidden="1" customHeight="1" outlineLevel="2" x14ac:dyDescent="0.3">
      <c r="C26" s="607"/>
      <c r="D26" s="608"/>
      <c r="E26" s="59"/>
      <c r="F26" s="11" t="str">
        <f t="shared" si="0"/>
        <v/>
      </c>
    </row>
    <row r="27" spans="1:7" ht="14.4" hidden="1" customHeight="1" outlineLevel="2" x14ac:dyDescent="0.3">
      <c r="C27" s="607"/>
      <c r="D27" s="608"/>
      <c r="E27" s="59"/>
      <c r="F27" s="11" t="str">
        <f t="shared" si="0"/>
        <v/>
      </c>
    </row>
    <row r="28" spans="1:7" ht="14.4" hidden="1" customHeight="1" outlineLevel="2" x14ac:dyDescent="0.3">
      <c r="C28" s="607"/>
      <c r="D28" s="608"/>
      <c r="E28" s="59"/>
      <c r="F28" s="11"/>
    </row>
    <row r="29" spans="1:7" ht="14.4" hidden="1" customHeight="1" outlineLevel="2" x14ac:dyDescent="0.3">
      <c r="C29" s="607"/>
      <c r="D29" s="608"/>
      <c r="E29" s="59"/>
      <c r="F29" s="11"/>
    </row>
    <row r="30" spans="1:7" ht="14.4" hidden="1" customHeight="1" outlineLevel="2" x14ac:dyDescent="0.3">
      <c r="C30" s="607"/>
      <c r="D30" s="608"/>
      <c r="E30" s="59"/>
      <c r="F30" s="11"/>
    </row>
    <row r="31" spans="1:7" ht="14.4" hidden="1" customHeight="1" outlineLevel="2" x14ac:dyDescent="0.3">
      <c r="C31" s="607"/>
      <c r="D31" s="608"/>
      <c r="E31" s="59"/>
      <c r="F31" s="11"/>
    </row>
    <row r="32" spans="1:7" ht="14.4" hidden="1" customHeight="1" outlineLevel="2" x14ac:dyDescent="0.3">
      <c r="C32" s="607"/>
      <c r="D32" s="608"/>
      <c r="E32" s="59"/>
      <c r="F32" s="11"/>
    </row>
    <row r="33" spans="3:6" ht="14.4" hidden="1" customHeight="1" outlineLevel="2" x14ac:dyDescent="0.3">
      <c r="C33" s="607"/>
      <c r="D33" s="608"/>
      <c r="E33" s="59"/>
      <c r="F33" s="11"/>
    </row>
    <row r="34" spans="3:6" ht="14.4" hidden="1" customHeight="1" outlineLevel="2" x14ac:dyDescent="0.3">
      <c r="C34" s="607"/>
      <c r="D34" s="608"/>
      <c r="E34" s="59"/>
      <c r="F34" s="11"/>
    </row>
    <row r="35" spans="3:6" ht="14.4" hidden="1" customHeight="1" outlineLevel="2" x14ac:dyDescent="0.3">
      <c r="C35" s="607"/>
      <c r="D35" s="608"/>
      <c r="E35" s="59"/>
      <c r="F35" s="11"/>
    </row>
    <row r="36" spans="3:6" ht="14.4" hidden="1" customHeight="1" outlineLevel="2" x14ac:dyDescent="0.3">
      <c r="C36" s="607"/>
      <c r="D36" s="608"/>
      <c r="E36" s="59"/>
      <c r="F36" s="11"/>
    </row>
    <row r="37" spans="3:6" ht="14.4" hidden="1" customHeight="1" outlineLevel="2" x14ac:dyDescent="0.3">
      <c r="C37" s="607"/>
      <c r="D37" s="608"/>
      <c r="E37" s="59"/>
      <c r="F37" s="11"/>
    </row>
    <row r="38" spans="3:6" ht="14.4" hidden="1" customHeight="1" outlineLevel="2" x14ac:dyDescent="0.3">
      <c r="C38" s="607"/>
      <c r="D38" s="608"/>
      <c r="E38" s="59"/>
      <c r="F38" s="11"/>
    </row>
    <row r="39" spans="3:6" ht="14.4" hidden="1" customHeight="1" outlineLevel="2" x14ac:dyDescent="0.3">
      <c r="C39" s="607"/>
      <c r="D39" s="608"/>
      <c r="E39" s="59"/>
      <c r="F39" s="11"/>
    </row>
    <row r="40" spans="3:6" ht="14.4" hidden="1" customHeight="1" outlineLevel="2" x14ac:dyDescent="0.3">
      <c r="C40" s="607"/>
      <c r="D40" s="608"/>
      <c r="E40" s="59"/>
      <c r="F40" s="11"/>
    </row>
    <row r="41" spans="3:6" ht="14.4" hidden="1" customHeight="1" outlineLevel="2" x14ac:dyDescent="0.3">
      <c r="C41" s="607"/>
      <c r="D41" s="608"/>
      <c r="E41" s="59"/>
      <c r="F41" s="11"/>
    </row>
    <row r="42" spans="3:6" ht="14.4" hidden="1" customHeight="1" outlineLevel="2" x14ac:dyDescent="0.3">
      <c r="C42" s="607"/>
      <c r="D42" s="608"/>
      <c r="E42" s="59"/>
      <c r="F42" s="11"/>
    </row>
    <row r="43" spans="3:6" ht="14.4" hidden="1" customHeight="1" outlineLevel="2" x14ac:dyDescent="0.3">
      <c r="C43" s="607"/>
      <c r="D43" s="608"/>
      <c r="E43" s="59"/>
      <c r="F43" s="11"/>
    </row>
    <row r="44" spans="3:6" ht="14.4" hidden="1" customHeight="1" outlineLevel="2" x14ac:dyDescent="0.3">
      <c r="C44" s="607"/>
      <c r="D44" s="608"/>
      <c r="E44" s="59"/>
      <c r="F44" s="11"/>
    </row>
    <row r="45" spans="3:6" ht="14.4" hidden="1" customHeight="1" outlineLevel="2" x14ac:dyDescent="0.3">
      <c r="C45" s="607"/>
      <c r="D45" s="608"/>
      <c r="E45" s="59"/>
      <c r="F45" s="11"/>
    </row>
    <row r="46" spans="3:6" ht="14.4" hidden="1" customHeight="1" outlineLevel="2" x14ac:dyDescent="0.3">
      <c r="C46" s="607"/>
      <c r="D46" s="608"/>
      <c r="E46" s="59"/>
      <c r="F46" s="11"/>
    </row>
    <row r="47" spans="3:6" ht="14.4" hidden="1" customHeight="1" outlineLevel="2" x14ac:dyDescent="0.3">
      <c r="C47" s="607"/>
      <c r="D47" s="608"/>
      <c r="E47" s="59"/>
      <c r="F47" s="11"/>
    </row>
    <row r="48" spans="3:6" ht="14.4" hidden="1" customHeight="1" outlineLevel="2" x14ac:dyDescent="0.3">
      <c r="C48" s="607"/>
      <c r="D48" s="608"/>
      <c r="E48" s="59"/>
      <c r="F48" s="11"/>
    </row>
    <row r="49" spans="3:6" ht="14.4" hidden="1" customHeight="1" outlineLevel="2" x14ac:dyDescent="0.3">
      <c r="C49" s="607"/>
      <c r="D49" s="608"/>
      <c r="E49" s="59"/>
      <c r="F49" s="11"/>
    </row>
    <row r="50" spans="3:6" ht="14.4" hidden="1" customHeight="1" outlineLevel="2" x14ac:dyDescent="0.3">
      <c r="C50" s="607"/>
      <c r="D50" s="608"/>
      <c r="E50" s="59"/>
      <c r="F50" s="11"/>
    </row>
    <row r="51" spans="3:6" ht="14.4" hidden="1" customHeight="1" outlineLevel="2" x14ac:dyDescent="0.3">
      <c r="C51" s="607"/>
      <c r="D51" s="608"/>
      <c r="E51" s="59"/>
      <c r="F51" s="11"/>
    </row>
    <row r="52" spans="3:6" ht="14.4" hidden="1" customHeight="1" outlineLevel="2" x14ac:dyDescent="0.3">
      <c r="C52" s="607"/>
      <c r="D52" s="608"/>
      <c r="E52" s="59"/>
      <c r="F52" s="11"/>
    </row>
    <row r="53" spans="3:6" ht="14.4" hidden="1" customHeight="1" outlineLevel="2" x14ac:dyDescent="0.3">
      <c r="C53" s="607"/>
      <c r="D53" s="608"/>
      <c r="E53" s="59"/>
      <c r="F53" s="11"/>
    </row>
    <row r="54" spans="3:6" ht="14.4" hidden="1" customHeight="1" outlineLevel="2" x14ac:dyDescent="0.3">
      <c r="C54" s="607"/>
      <c r="D54" s="608"/>
      <c r="E54" s="59"/>
      <c r="F54" s="11"/>
    </row>
    <row r="55" spans="3:6" ht="14.4" hidden="1" customHeight="1" outlineLevel="2" x14ac:dyDescent="0.3">
      <c r="C55" s="607"/>
      <c r="D55" s="608"/>
      <c r="E55" s="59"/>
      <c r="F55" s="11"/>
    </row>
    <row r="56" spans="3:6" ht="14.4" hidden="1" customHeight="1" outlineLevel="2" x14ac:dyDescent="0.3">
      <c r="C56" s="607"/>
      <c r="D56" s="608"/>
      <c r="E56" s="59"/>
      <c r="F56" s="11"/>
    </row>
    <row r="57" spans="3:6" ht="14.4" hidden="1" customHeight="1" outlineLevel="2" x14ac:dyDescent="0.3">
      <c r="C57" s="607"/>
      <c r="D57" s="608"/>
      <c r="E57" s="59"/>
      <c r="F57" s="11"/>
    </row>
    <row r="58" spans="3:6" ht="14.4" hidden="1" customHeight="1" outlineLevel="2" x14ac:dyDescent="0.3">
      <c r="C58" s="607"/>
      <c r="D58" s="608"/>
      <c r="E58" s="59"/>
      <c r="F58" s="11"/>
    </row>
    <row r="59" spans="3:6" ht="14.4" hidden="1" customHeight="1" outlineLevel="2" x14ac:dyDescent="0.3">
      <c r="C59" s="607"/>
      <c r="D59" s="608"/>
      <c r="E59" s="59"/>
      <c r="F59" s="11"/>
    </row>
    <row r="60" spans="3:6" ht="14.4" hidden="1" customHeight="1" outlineLevel="2" x14ac:dyDescent="0.3">
      <c r="C60" s="607"/>
      <c r="D60" s="608"/>
      <c r="E60" s="59"/>
      <c r="F60" s="11"/>
    </row>
    <row r="61" spans="3:6" ht="14.4" hidden="1" customHeight="1" outlineLevel="2" x14ac:dyDescent="0.3">
      <c r="C61" s="607"/>
      <c r="D61" s="608"/>
      <c r="E61" s="59"/>
      <c r="F61" s="11"/>
    </row>
    <row r="62" spans="3:6" ht="14.4" hidden="1" customHeight="1" outlineLevel="2" x14ac:dyDescent="0.3">
      <c r="C62" s="607"/>
      <c r="D62" s="608"/>
      <c r="E62" s="59"/>
      <c r="F62" s="11"/>
    </row>
    <row r="63" spans="3:6" ht="14.4" hidden="1" customHeight="1" outlineLevel="2" x14ac:dyDescent="0.3">
      <c r="C63" s="607"/>
      <c r="D63" s="608"/>
      <c r="E63" s="59"/>
      <c r="F63" s="11"/>
    </row>
    <row r="64" spans="3:6" ht="14.4" hidden="1" customHeight="1" outlineLevel="2" x14ac:dyDescent="0.3">
      <c r="C64" s="607"/>
      <c r="D64" s="608"/>
      <c r="E64" s="59"/>
      <c r="F64" s="11"/>
    </row>
    <row r="65" spans="3:6" ht="14.4" hidden="1" customHeight="1" outlineLevel="2" x14ac:dyDescent="0.3">
      <c r="C65" s="607"/>
      <c r="D65" s="608"/>
      <c r="E65" s="59"/>
      <c r="F65" s="11"/>
    </row>
    <row r="66" spans="3:6" ht="14.4" hidden="1" customHeight="1" outlineLevel="2" x14ac:dyDescent="0.3">
      <c r="C66" s="607"/>
      <c r="D66" s="608"/>
      <c r="E66" s="59"/>
      <c r="F66" s="11"/>
    </row>
    <row r="67" spans="3:6" ht="14.4" hidden="1" customHeight="1" outlineLevel="2" x14ac:dyDescent="0.3">
      <c r="C67" s="607"/>
      <c r="D67" s="608"/>
      <c r="E67" s="59"/>
      <c r="F67" s="11"/>
    </row>
    <row r="68" spans="3:6" ht="14.4" hidden="1" customHeight="1" outlineLevel="2" x14ac:dyDescent="0.3">
      <c r="C68" s="607"/>
      <c r="D68" s="608"/>
      <c r="E68" s="59"/>
      <c r="F68" s="11"/>
    </row>
    <row r="69" spans="3:6" ht="14.4" hidden="1" customHeight="1" outlineLevel="2" x14ac:dyDescent="0.3">
      <c r="C69" s="607"/>
      <c r="D69" s="608"/>
      <c r="E69" s="59"/>
      <c r="F69" s="11"/>
    </row>
    <row r="70" spans="3:6" ht="14.4" hidden="1" customHeight="1" outlineLevel="2" x14ac:dyDescent="0.3">
      <c r="C70" s="607"/>
      <c r="D70" s="608"/>
      <c r="E70" s="59"/>
      <c r="F70" s="11"/>
    </row>
    <row r="71" spans="3:6" ht="14.4" hidden="1" customHeight="1" outlineLevel="2" x14ac:dyDescent="0.3">
      <c r="C71" s="607"/>
      <c r="D71" s="608"/>
      <c r="E71" s="59"/>
      <c r="F71" s="11"/>
    </row>
    <row r="72" spans="3:6" ht="14.4" hidden="1" customHeight="1" outlineLevel="2" x14ac:dyDescent="0.3">
      <c r="C72" s="607"/>
      <c r="D72" s="608"/>
      <c r="E72" s="59"/>
      <c r="F72" s="11"/>
    </row>
    <row r="73" spans="3:6" ht="14.4" hidden="1" customHeight="1" outlineLevel="2" x14ac:dyDescent="0.3">
      <c r="C73" s="607"/>
      <c r="D73" s="608"/>
      <c r="E73" s="59"/>
      <c r="F73" s="11"/>
    </row>
    <row r="74" spans="3:6" ht="14.4" hidden="1" customHeight="1" outlineLevel="2" x14ac:dyDescent="0.3">
      <c r="C74" s="607"/>
      <c r="D74" s="608"/>
      <c r="E74" s="59"/>
      <c r="F74" s="11"/>
    </row>
    <row r="75" spans="3:6" ht="14.4" hidden="1" customHeight="1" outlineLevel="2" x14ac:dyDescent="0.3">
      <c r="C75" s="607"/>
      <c r="D75" s="608"/>
      <c r="E75" s="59"/>
      <c r="F75" s="11"/>
    </row>
    <row r="76" spans="3:6" ht="14.4" hidden="1" customHeight="1" outlineLevel="2" x14ac:dyDescent="0.3">
      <c r="C76" s="607"/>
      <c r="D76" s="608"/>
      <c r="E76" s="59"/>
      <c r="F76" s="11"/>
    </row>
    <row r="77" spans="3:6" ht="14.4" hidden="1" customHeight="1" outlineLevel="2" x14ac:dyDescent="0.3">
      <c r="C77" s="607"/>
      <c r="D77" s="608"/>
      <c r="E77" s="59"/>
      <c r="F77" s="11"/>
    </row>
    <row r="78" spans="3:6" ht="14.4" hidden="1" customHeight="1" outlineLevel="2" x14ac:dyDescent="0.3">
      <c r="C78" s="607"/>
      <c r="D78" s="608"/>
      <c r="E78" s="59"/>
      <c r="F78" s="11"/>
    </row>
    <row r="79" spans="3:6" ht="14.4" hidden="1" customHeight="1" outlineLevel="2" x14ac:dyDescent="0.3">
      <c r="C79" s="607"/>
      <c r="D79" s="608"/>
      <c r="E79" s="59"/>
      <c r="F79" s="11"/>
    </row>
    <row r="80" spans="3:6" ht="14.4" hidden="1" customHeight="1" outlineLevel="2" x14ac:dyDescent="0.3">
      <c r="C80" s="607"/>
      <c r="D80" s="608"/>
      <c r="E80" s="59"/>
      <c r="F80" s="11"/>
    </row>
    <row r="81" spans="3:6" ht="14.4" hidden="1" customHeight="1" outlineLevel="2" x14ac:dyDescent="0.3">
      <c r="C81" s="607"/>
      <c r="D81" s="608"/>
      <c r="E81" s="59"/>
      <c r="F81" s="11"/>
    </row>
    <row r="82" spans="3:6" ht="14.4" hidden="1" customHeight="1" outlineLevel="2" x14ac:dyDescent="0.3">
      <c r="C82" s="607"/>
      <c r="D82" s="608"/>
      <c r="E82" s="59"/>
      <c r="F82" s="11"/>
    </row>
    <row r="83" spans="3:6" ht="14.4" hidden="1" customHeight="1" outlineLevel="2" x14ac:dyDescent="0.3">
      <c r="C83" s="607"/>
      <c r="D83" s="608"/>
      <c r="E83" s="59"/>
      <c r="F83" s="11"/>
    </row>
    <row r="84" spans="3:6" ht="14.4" hidden="1" customHeight="1" outlineLevel="2" x14ac:dyDescent="0.3">
      <c r="C84" s="607"/>
      <c r="D84" s="608"/>
      <c r="E84" s="59"/>
      <c r="F84" s="11"/>
    </row>
    <row r="85" spans="3:6" ht="14.4" hidden="1" customHeight="1" outlineLevel="2" x14ac:dyDescent="0.3">
      <c r="C85" s="607"/>
      <c r="D85" s="608"/>
      <c r="E85" s="59"/>
      <c r="F85" s="11"/>
    </row>
    <row r="86" spans="3:6" ht="14.4" hidden="1" customHeight="1" outlineLevel="2" x14ac:dyDescent="0.3">
      <c r="C86" s="607"/>
      <c r="D86" s="608"/>
      <c r="E86" s="59"/>
      <c r="F86" s="11"/>
    </row>
    <row r="87" spans="3:6" ht="14.4" hidden="1" customHeight="1" outlineLevel="2" x14ac:dyDescent="0.3">
      <c r="C87" s="607"/>
      <c r="D87" s="608"/>
      <c r="E87" s="59"/>
      <c r="F87" s="11"/>
    </row>
    <row r="88" spans="3:6" ht="14.4" hidden="1" customHeight="1" outlineLevel="2" x14ac:dyDescent="0.3">
      <c r="C88" s="607"/>
      <c r="D88" s="608"/>
      <c r="E88" s="59"/>
      <c r="F88" s="11"/>
    </row>
    <row r="89" spans="3:6" ht="14.4" hidden="1" customHeight="1" outlineLevel="2" x14ac:dyDescent="0.3">
      <c r="C89" s="607"/>
      <c r="D89" s="608"/>
      <c r="E89" s="59"/>
      <c r="F89" s="11"/>
    </row>
    <row r="90" spans="3:6" ht="14.4" hidden="1" customHeight="1" outlineLevel="2" x14ac:dyDescent="0.3">
      <c r="C90" s="607"/>
      <c r="D90" s="608"/>
      <c r="E90" s="59"/>
      <c r="F90" s="11"/>
    </row>
    <row r="91" spans="3:6" ht="14.4" hidden="1" customHeight="1" outlineLevel="2" x14ac:dyDescent="0.3">
      <c r="C91" s="607"/>
      <c r="D91" s="608"/>
      <c r="E91" s="59"/>
      <c r="F91" s="11"/>
    </row>
    <row r="92" spans="3:6" ht="14.4" hidden="1" customHeight="1" outlineLevel="2" x14ac:dyDescent="0.3">
      <c r="C92" s="607"/>
      <c r="D92" s="608"/>
      <c r="E92" s="59"/>
      <c r="F92" s="11"/>
    </row>
    <row r="93" spans="3:6" ht="14.4" hidden="1" customHeight="1" outlineLevel="2" x14ac:dyDescent="0.3">
      <c r="C93" s="607"/>
      <c r="D93" s="608"/>
      <c r="E93" s="59"/>
      <c r="F93" s="11"/>
    </row>
    <row r="94" spans="3:6" ht="14.4" hidden="1" customHeight="1" outlineLevel="2" x14ac:dyDescent="0.3">
      <c r="C94" s="607"/>
      <c r="D94" s="608"/>
      <c r="E94" s="59"/>
      <c r="F94" s="11"/>
    </row>
    <row r="95" spans="3:6" ht="14.4" hidden="1" customHeight="1" outlineLevel="2" x14ac:dyDescent="0.3">
      <c r="C95" s="607"/>
      <c r="D95" s="608"/>
      <c r="E95" s="59"/>
      <c r="F95" s="11"/>
    </row>
    <row r="96" spans="3:6" ht="14.4" hidden="1" customHeight="1" outlineLevel="2" x14ac:dyDescent="0.3">
      <c r="C96" s="607"/>
      <c r="D96" s="608"/>
      <c r="E96" s="59"/>
      <c r="F96" s="11"/>
    </row>
    <row r="97" spans="3:6" ht="14.4" hidden="1" customHeight="1" outlineLevel="2" x14ac:dyDescent="0.3">
      <c r="C97" s="607"/>
      <c r="D97" s="608"/>
      <c r="E97" s="59"/>
      <c r="F97" s="11"/>
    </row>
    <row r="98" spans="3:6" ht="14.4" hidden="1" customHeight="1" outlineLevel="2" x14ac:dyDescent="0.3">
      <c r="C98" s="607"/>
      <c r="D98" s="608"/>
      <c r="E98" s="59"/>
      <c r="F98" s="11"/>
    </row>
    <row r="99" spans="3:6" ht="14.4" hidden="1" customHeight="1" outlineLevel="2" x14ac:dyDescent="0.3">
      <c r="C99" s="607"/>
      <c r="D99" s="608"/>
      <c r="E99" s="59"/>
      <c r="F99" s="11"/>
    </row>
    <row r="100" spans="3:6" ht="14.4" hidden="1" customHeight="1" outlineLevel="2" x14ac:dyDescent="0.3">
      <c r="C100" s="607"/>
      <c r="D100" s="608"/>
      <c r="E100" s="59"/>
      <c r="F100" s="11"/>
    </row>
    <row r="101" spans="3:6" ht="14.4" hidden="1" customHeight="1" outlineLevel="2" x14ac:dyDescent="0.3">
      <c r="C101" s="607"/>
      <c r="D101" s="608"/>
      <c r="E101" s="59"/>
      <c r="F101" s="11"/>
    </row>
    <row r="102" spans="3:6" ht="14.4" hidden="1" customHeight="1" outlineLevel="2" x14ac:dyDescent="0.3">
      <c r="C102" s="607"/>
      <c r="D102" s="608"/>
      <c r="E102" s="59"/>
      <c r="F102" s="11"/>
    </row>
    <row r="103" spans="3:6" ht="14.4" hidden="1" customHeight="1" outlineLevel="2" x14ac:dyDescent="0.3">
      <c r="C103" s="607"/>
      <c r="D103" s="608"/>
      <c r="E103" s="59"/>
      <c r="F103" s="11"/>
    </row>
    <row r="104" spans="3:6" ht="14.4" hidden="1" customHeight="1" outlineLevel="2" x14ac:dyDescent="0.3">
      <c r="C104" s="607"/>
      <c r="D104" s="608"/>
      <c r="E104" s="59"/>
      <c r="F104" s="11"/>
    </row>
    <row r="105" spans="3:6" ht="14.4" hidden="1" customHeight="1" outlineLevel="2" x14ac:dyDescent="0.3">
      <c r="C105" s="607"/>
      <c r="D105" s="608"/>
      <c r="E105" s="59"/>
      <c r="F105" s="11"/>
    </row>
    <row r="106" spans="3:6" ht="14.4" hidden="1" customHeight="1" outlineLevel="2" x14ac:dyDescent="0.3">
      <c r="C106" s="607"/>
      <c r="D106" s="608"/>
      <c r="E106" s="59"/>
      <c r="F106" s="11"/>
    </row>
    <row r="107" spans="3:6" ht="14.4" hidden="1" customHeight="1" outlineLevel="2" x14ac:dyDescent="0.3">
      <c r="C107" s="607"/>
      <c r="D107" s="608"/>
      <c r="E107" s="59"/>
      <c r="F107" s="11"/>
    </row>
    <row r="108" spans="3:6" ht="14.4" hidden="1" customHeight="1" outlineLevel="2" x14ac:dyDescent="0.3">
      <c r="C108" s="607"/>
      <c r="D108" s="608"/>
      <c r="E108" s="59"/>
      <c r="F108" s="11"/>
    </row>
    <row r="109" spans="3:6" ht="14.4" hidden="1" customHeight="1" outlineLevel="2" x14ac:dyDescent="0.3">
      <c r="C109" s="607"/>
      <c r="D109" s="608"/>
      <c r="E109" s="59"/>
      <c r="F109" s="11"/>
    </row>
    <row r="110" spans="3:6" ht="14.4" hidden="1" customHeight="1" outlineLevel="2" x14ac:dyDescent="0.3">
      <c r="C110" s="607"/>
      <c r="D110" s="608"/>
      <c r="E110" s="59"/>
      <c r="F110" s="11"/>
    </row>
    <row r="111" spans="3:6" ht="14.4" hidden="1" customHeight="1" outlineLevel="2" x14ac:dyDescent="0.3">
      <c r="C111" s="607"/>
      <c r="D111" s="608"/>
      <c r="E111" s="59"/>
      <c r="F111" s="11"/>
    </row>
    <row r="112" spans="3:6" ht="14.4" hidden="1" customHeight="1" outlineLevel="2" x14ac:dyDescent="0.3">
      <c r="C112" s="607"/>
      <c r="D112" s="608"/>
      <c r="E112" s="59"/>
      <c r="F112" s="11"/>
    </row>
    <row r="113" spans="1:6" ht="14.4" hidden="1" customHeight="1" outlineLevel="2" x14ac:dyDescent="0.3">
      <c r="C113" s="607"/>
      <c r="D113" s="608"/>
      <c r="E113" s="59"/>
      <c r="F113" s="11"/>
    </row>
    <row r="114" spans="1:6" ht="14.4" hidden="1" customHeight="1" outlineLevel="2" x14ac:dyDescent="0.3">
      <c r="C114" s="607"/>
      <c r="D114" s="608"/>
      <c r="E114" s="59"/>
      <c r="F114" s="11"/>
    </row>
    <row r="115" spans="1:6" ht="14.4" hidden="1" customHeight="1" outlineLevel="2" x14ac:dyDescent="0.3">
      <c r="C115" s="607"/>
      <c r="D115" s="608"/>
      <c r="E115" s="59"/>
      <c r="F115" s="11"/>
    </row>
    <row r="116" spans="1:6" ht="14.4" hidden="1" customHeight="1" outlineLevel="2" x14ac:dyDescent="0.3">
      <c r="C116" s="607"/>
      <c r="D116" s="608"/>
      <c r="E116" s="59"/>
      <c r="F116" s="11"/>
    </row>
    <row r="117" spans="1:6" ht="14.4" hidden="1" customHeight="1" outlineLevel="2" x14ac:dyDescent="0.3">
      <c r="C117" s="607"/>
      <c r="D117" s="608"/>
      <c r="E117" s="59"/>
      <c r="F117" s="11"/>
    </row>
    <row r="118" spans="1:6" ht="14.4" hidden="1" customHeight="1" outlineLevel="2" x14ac:dyDescent="0.3">
      <c r="C118" s="607"/>
      <c r="D118" s="608"/>
      <c r="E118" s="59"/>
      <c r="F118" s="11"/>
    </row>
    <row r="119" spans="1:6" ht="14.4" customHeight="1" collapsed="1" thickBot="1" x14ac:dyDescent="0.35">
      <c r="A119" s="92"/>
      <c r="B119" s="92"/>
      <c r="C119" s="552" t="str">
        <f>template_label_link_to_previous_report_containing_disclosures_that_remain_unchanged</f>
        <v>Link to previous report containing disclosures that remain unchanged</v>
      </c>
      <c r="D119" s="553"/>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602"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 to - [Always to be reported]</v>
      </c>
      <c r="D121" s="603"/>
      <c r="E121" s="604"/>
      <c r="F121"/>
    </row>
    <row r="122" spans="1:6" x14ac:dyDescent="0.3">
      <c r="A122" s="461" t="s">
        <v>3730</v>
      </c>
      <c r="B122" s="485" t="s">
        <v>1</v>
      </c>
      <c r="C122" s="580" t="str">
        <f>template_label_basis_for_preparation</f>
        <v>Basis for preparation (Basic Module Only or Basic &amp; Comprehensive Module)</v>
      </c>
      <c r="D122" s="581"/>
      <c r="E122" s="60"/>
      <c r="F122" s="11" t="str">
        <f>IF(E122 = "", template_label_missing_value, template_label_ok)</f>
        <v>MISSING VALUE</v>
      </c>
    </row>
    <row r="123" spans="1:6" ht="14.4" customHeight="1" x14ac:dyDescent="0.3">
      <c r="A123" s="615" t="s">
        <v>3731</v>
      </c>
      <c r="B123" s="613" t="s">
        <v>1</v>
      </c>
      <c r="C123" s="609" t="str">
        <f>template_label_list_of_omitted_disclosures_deemed_to_be_classified_or_sensitive_information</f>
        <v>List of omitted disclosures deemed to be classified or sensitive information</v>
      </c>
      <c r="D123" s="610"/>
      <c r="E123" s="60"/>
      <c r="F123" s="11" t="str">
        <f>IF(E122 = "", "",
IF(AND(OR(E122 = "Option A (Basic Module only)", E122 = "Option B (Basic Module and Comprehensive Module)"), E123 = ""), template_label_missing_value,
IF(COUNTIF(E123:E223, E123) &gt; 1, template_label_value_inconsistency, template_label_ok)))</f>
        <v/>
      </c>
    </row>
    <row r="124" spans="1:6" ht="14.4" customHeight="1" x14ac:dyDescent="0.3">
      <c r="A124" s="616"/>
      <c r="B124" s="614"/>
      <c r="C124" s="611"/>
      <c r="D124" s="612"/>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16"/>
      <c r="B125" s="614"/>
      <c r="C125" s="611"/>
      <c r="D125" s="612"/>
      <c r="E125" s="61"/>
      <c r="F125" s="11" t="str">
        <f t="shared" si="1"/>
        <v/>
      </c>
    </row>
    <row r="126" spans="1:6" ht="14.4" hidden="1" customHeight="1" outlineLevel="1" x14ac:dyDescent="0.3">
      <c r="A126" s="616"/>
      <c r="B126" s="614"/>
      <c r="C126" s="611"/>
      <c r="D126" s="612"/>
      <c r="E126" s="61"/>
      <c r="F126" s="11" t="str">
        <f t="shared" si="1"/>
        <v/>
      </c>
    </row>
    <row r="127" spans="1:6" ht="14.4" hidden="1" customHeight="1" outlineLevel="1" x14ac:dyDescent="0.3">
      <c r="A127" s="616"/>
      <c r="B127" s="614"/>
      <c r="C127" s="611"/>
      <c r="D127" s="612"/>
      <c r="E127" s="61"/>
      <c r="F127" s="11" t="str">
        <f t="shared" si="1"/>
        <v/>
      </c>
    </row>
    <row r="128" spans="1:6" ht="14.4" hidden="1" customHeight="1" outlineLevel="1" x14ac:dyDescent="0.3">
      <c r="A128" s="616"/>
      <c r="B128" s="614"/>
      <c r="C128" s="611"/>
      <c r="D128" s="612"/>
      <c r="E128" s="61"/>
      <c r="F128" s="11" t="str">
        <f t="shared" si="1"/>
        <v/>
      </c>
    </row>
    <row r="129" spans="1:6" ht="14.4" hidden="1" customHeight="1" outlineLevel="1" x14ac:dyDescent="0.3">
      <c r="A129" s="616"/>
      <c r="B129" s="614"/>
      <c r="C129" s="611"/>
      <c r="D129" s="612"/>
      <c r="E129" s="61"/>
      <c r="F129" s="11" t="str">
        <f t="shared" si="1"/>
        <v/>
      </c>
    </row>
    <row r="130" spans="1:6" ht="14.4" hidden="1" customHeight="1" outlineLevel="1" x14ac:dyDescent="0.3">
      <c r="A130" s="616"/>
      <c r="B130" s="614"/>
      <c r="C130" s="611"/>
      <c r="D130" s="612"/>
      <c r="E130" s="61"/>
      <c r="F130" s="11" t="str">
        <f t="shared" si="1"/>
        <v/>
      </c>
    </row>
    <row r="131" spans="1:6" ht="14.4" hidden="1" customHeight="1" outlineLevel="1" x14ac:dyDescent="0.3">
      <c r="A131" s="616"/>
      <c r="B131" s="614"/>
      <c r="C131" s="611"/>
      <c r="D131" s="612"/>
      <c r="E131" s="61"/>
      <c r="F131" s="11" t="str">
        <f t="shared" si="1"/>
        <v/>
      </c>
    </row>
    <row r="132" spans="1:6" ht="14.4" hidden="1" customHeight="1" outlineLevel="1" x14ac:dyDescent="0.3">
      <c r="A132" s="616"/>
      <c r="B132" s="614"/>
      <c r="C132" s="611"/>
      <c r="D132" s="612"/>
      <c r="E132" s="61"/>
      <c r="F132" s="11" t="str">
        <f t="shared" si="1"/>
        <v/>
      </c>
    </row>
    <row r="133" spans="1:6" ht="14.4" hidden="1" customHeight="1" outlineLevel="1" x14ac:dyDescent="0.3">
      <c r="A133" s="616"/>
      <c r="B133" s="614"/>
      <c r="C133" s="611"/>
      <c r="D133" s="612"/>
      <c r="E133" s="61"/>
      <c r="F133" s="11" t="str">
        <f t="shared" si="1"/>
        <v/>
      </c>
    </row>
    <row r="134" spans="1:6" ht="14.4" hidden="1" customHeight="1" outlineLevel="1" x14ac:dyDescent="0.3">
      <c r="A134" s="616"/>
      <c r="B134" s="614"/>
      <c r="C134" s="611"/>
      <c r="D134" s="612"/>
      <c r="E134" s="61"/>
      <c r="F134" s="11" t="str">
        <f t="shared" si="1"/>
        <v/>
      </c>
    </row>
    <row r="135" spans="1:6" ht="14.4" hidden="1" customHeight="1" outlineLevel="1" x14ac:dyDescent="0.3">
      <c r="A135" s="616"/>
      <c r="B135" s="614"/>
      <c r="C135" s="611"/>
      <c r="D135" s="612"/>
      <c r="E135" s="61"/>
      <c r="F135" s="11" t="str">
        <f t="shared" si="1"/>
        <v/>
      </c>
    </row>
    <row r="136" spans="1:6" ht="14.4" hidden="1" customHeight="1" outlineLevel="1" x14ac:dyDescent="0.3">
      <c r="A136" s="616"/>
      <c r="B136" s="614"/>
      <c r="C136" s="611"/>
      <c r="D136" s="612"/>
      <c r="E136" s="61"/>
      <c r="F136" s="11" t="str">
        <f t="shared" si="1"/>
        <v/>
      </c>
    </row>
    <row r="137" spans="1:6" ht="14.4" hidden="1" customHeight="1" outlineLevel="1" x14ac:dyDescent="0.3">
      <c r="A137" s="616"/>
      <c r="B137" s="614"/>
      <c r="C137" s="611"/>
      <c r="D137" s="612"/>
      <c r="E137" s="61"/>
      <c r="F137" s="11" t="str">
        <f t="shared" si="1"/>
        <v/>
      </c>
    </row>
    <row r="138" spans="1:6" ht="14.4" hidden="1" customHeight="1" outlineLevel="1" x14ac:dyDescent="0.3">
      <c r="A138" s="616"/>
      <c r="B138" s="614"/>
      <c r="C138" s="611"/>
      <c r="D138" s="612"/>
      <c r="E138" s="61"/>
      <c r="F138" s="11" t="str">
        <f t="shared" si="1"/>
        <v/>
      </c>
    </row>
    <row r="139" spans="1:6" ht="14.4" hidden="1" customHeight="1" outlineLevel="1" x14ac:dyDescent="0.3">
      <c r="A139" s="616"/>
      <c r="B139" s="614"/>
      <c r="C139" s="611"/>
      <c r="D139" s="612"/>
      <c r="E139" s="61"/>
      <c r="F139" s="11" t="str">
        <f t="shared" si="1"/>
        <v/>
      </c>
    </row>
    <row r="140" spans="1:6" ht="14.4" hidden="1" customHeight="1" outlineLevel="1" x14ac:dyDescent="0.3">
      <c r="A140" s="616"/>
      <c r="B140" s="614"/>
      <c r="C140" s="611"/>
      <c r="D140" s="612"/>
      <c r="E140" s="61"/>
      <c r="F140" s="11" t="str">
        <f t="shared" si="1"/>
        <v/>
      </c>
    </row>
    <row r="141" spans="1:6" ht="14.4" hidden="1" customHeight="1" outlineLevel="1" x14ac:dyDescent="0.3">
      <c r="A141" s="616"/>
      <c r="B141" s="614"/>
      <c r="C141" s="611"/>
      <c r="D141" s="612"/>
      <c r="E141" s="61"/>
      <c r="F141" s="11" t="str">
        <f t="shared" si="1"/>
        <v/>
      </c>
    </row>
    <row r="142" spans="1:6" ht="14.4" hidden="1" customHeight="1" outlineLevel="1" x14ac:dyDescent="0.3">
      <c r="A142" s="616"/>
      <c r="B142" s="614"/>
      <c r="C142" s="611"/>
      <c r="D142" s="612"/>
      <c r="E142" s="61"/>
      <c r="F142" s="11" t="str">
        <f t="shared" si="1"/>
        <v/>
      </c>
    </row>
    <row r="143" spans="1:6" ht="14.4" hidden="1" customHeight="1" outlineLevel="1" x14ac:dyDescent="0.3">
      <c r="A143" s="616"/>
      <c r="B143" s="614"/>
      <c r="C143" s="611"/>
      <c r="D143" s="612"/>
      <c r="E143" s="61"/>
      <c r="F143" s="11" t="str">
        <f t="shared" si="1"/>
        <v/>
      </c>
    </row>
    <row r="144" spans="1:6" ht="14.4" hidden="1" customHeight="1" outlineLevel="1" x14ac:dyDescent="0.3">
      <c r="A144" s="616"/>
      <c r="B144" s="614"/>
      <c r="C144" s="611"/>
      <c r="D144" s="612"/>
      <c r="E144" s="61"/>
      <c r="F144" s="11" t="str">
        <f t="shared" si="1"/>
        <v/>
      </c>
    </row>
    <row r="145" spans="1:6" ht="14.4" hidden="1" customHeight="1" outlineLevel="1" x14ac:dyDescent="0.3">
      <c r="A145" s="616"/>
      <c r="B145" s="614"/>
      <c r="C145" s="611"/>
      <c r="D145" s="612"/>
      <c r="E145" s="61"/>
      <c r="F145" s="11" t="str">
        <f t="shared" si="1"/>
        <v/>
      </c>
    </row>
    <row r="146" spans="1:6" ht="14.4" hidden="1" customHeight="1" outlineLevel="1" x14ac:dyDescent="0.3">
      <c r="A146" s="616"/>
      <c r="B146" s="614"/>
      <c r="C146" s="611"/>
      <c r="D146" s="612"/>
      <c r="E146" s="61"/>
      <c r="F146" s="11" t="str">
        <f t="shared" si="1"/>
        <v/>
      </c>
    </row>
    <row r="147" spans="1:6" ht="14.4" hidden="1" customHeight="1" outlineLevel="1" x14ac:dyDescent="0.3">
      <c r="A147" s="616"/>
      <c r="B147" s="614"/>
      <c r="C147" s="611"/>
      <c r="D147" s="612"/>
      <c r="E147" s="61"/>
      <c r="F147" s="11" t="str">
        <f t="shared" si="1"/>
        <v/>
      </c>
    </row>
    <row r="148" spans="1:6" ht="14.4" hidden="1" customHeight="1" outlineLevel="1" x14ac:dyDescent="0.3">
      <c r="A148" s="616"/>
      <c r="B148" s="614"/>
      <c r="C148" s="611"/>
      <c r="D148" s="612"/>
      <c r="E148" s="61"/>
      <c r="F148" s="11" t="str">
        <f t="shared" si="1"/>
        <v/>
      </c>
    </row>
    <row r="149" spans="1:6" ht="14.4" hidden="1" customHeight="1" outlineLevel="1" x14ac:dyDescent="0.3">
      <c r="A149" s="616"/>
      <c r="B149" s="614"/>
      <c r="C149" s="611"/>
      <c r="D149" s="612"/>
      <c r="E149" s="61"/>
      <c r="F149" s="11" t="str">
        <f t="shared" si="1"/>
        <v/>
      </c>
    </row>
    <row r="150" spans="1:6" ht="14.4" hidden="1" customHeight="1" outlineLevel="1" x14ac:dyDescent="0.3">
      <c r="A150" s="616"/>
      <c r="B150" s="614"/>
      <c r="C150" s="611"/>
      <c r="D150" s="612"/>
      <c r="E150" s="61"/>
      <c r="F150" s="11" t="str">
        <f t="shared" si="1"/>
        <v/>
      </c>
    </row>
    <row r="151" spans="1:6" ht="14.4" hidden="1" customHeight="1" outlineLevel="1" x14ac:dyDescent="0.3">
      <c r="A151" s="616"/>
      <c r="B151" s="614"/>
      <c r="C151" s="611"/>
      <c r="D151" s="612"/>
      <c r="E151" s="61"/>
      <c r="F151" s="11" t="str">
        <f t="shared" si="1"/>
        <v/>
      </c>
    </row>
    <row r="152" spans="1:6" ht="14.4" hidden="1" customHeight="1" outlineLevel="1" x14ac:dyDescent="0.3">
      <c r="A152" s="616"/>
      <c r="B152" s="614"/>
      <c r="C152" s="611"/>
      <c r="D152" s="612"/>
      <c r="E152" s="61"/>
      <c r="F152" s="11" t="str">
        <f t="shared" si="1"/>
        <v/>
      </c>
    </row>
    <row r="153" spans="1:6" ht="14.4" hidden="1" customHeight="1" outlineLevel="1" x14ac:dyDescent="0.3">
      <c r="A153" s="616"/>
      <c r="B153" s="614"/>
      <c r="C153" s="611"/>
      <c r="D153" s="612"/>
      <c r="E153" s="61"/>
      <c r="F153" s="11" t="str">
        <f t="shared" si="1"/>
        <v/>
      </c>
    </row>
    <row r="154" spans="1:6" ht="14.4" hidden="1" customHeight="1" outlineLevel="1" x14ac:dyDescent="0.3">
      <c r="A154" s="616"/>
      <c r="B154" s="614"/>
      <c r="C154" s="611"/>
      <c r="D154" s="612"/>
      <c r="E154" s="61"/>
      <c r="F154" s="11" t="str">
        <f t="shared" si="1"/>
        <v/>
      </c>
    </row>
    <row r="155" spans="1:6" ht="14.4" hidden="1" customHeight="1" outlineLevel="1" x14ac:dyDescent="0.3">
      <c r="A155" s="616"/>
      <c r="B155" s="614"/>
      <c r="C155" s="611"/>
      <c r="D155" s="612"/>
      <c r="E155" s="61"/>
      <c r="F155" s="11" t="str">
        <f t="shared" si="1"/>
        <v/>
      </c>
    </row>
    <row r="156" spans="1:6" ht="14.4" hidden="1" customHeight="1" outlineLevel="1" x14ac:dyDescent="0.3">
      <c r="A156" s="616"/>
      <c r="B156" s="614"/>
      <c r="C156" s="611"/>
      <c r="D156" s="612"/>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16"/>
      <c r="B157" s="614"/>
      <c r="C157" s="611"/>
      <c r="D157" s="612"/>
      <c r="E157" s="61"/>
      <c r="F157" s="11" t="str">
        <f t="shared" si="2"/>
        <v/>
      </c>
    </row>
    <row r="158" spans="1:6" ht="14.4" hidden="1" customHeight="1" outlineLevel="1" x14ac:dyDescent="0.3">
      <c r="A158" s="616"/>
      <c r="B158" s="614"/>
      <c r="C158" s="611"/>
      <c r="D158" s="612"/>
      <c r="E158" s="61"/>
      <c r="F158" s="11" t="str">
        <f t="shared" si="2"/>
        <v/>
      </c>
    </row>
    <row r="159" spans="1:6" ht="14.4" hidden="1" customHeight="1" outlineLevel="1" x14ac:dyDescent="0.3">
      <c r="A159" s="616"/>
      <c r="B159" s="614"/>
      <c r="C159" s="611"/>
      <c r="D159" s="612"/>
      <c r="E159" s="61"/>
      <c r="F159" s="11" t="str">
        <f t="shared" si="2"/>
        <v/>
      </c>
    </row>
    <row r="160" spans="1:6" ht="14.4" hidden="1" customHeight="1" outlineLevel="1" x14ac:dyDescent="0.3">
      <c r="A160" s="616"/>
      <c r="B160" s="614"/>
      <c r="C160" s="611"/>
      <c r="D160" s="612"/>
      <c r="E160" s="61"/>
      <c r="F160" s="11" t="str">
        <f t="shared" si="2"/>
        <v/>
      </c>
    </row>
    <row r="161" spans="1:6" ht="14.4" hidden="1" customHeight="1" outlineLevel="1" x14ac:dyDescent="0.3">
      <c r="A161" s="616"/>
      <c r="B161" s="614"/>
      <c r="C161" s="611"/>
      <c r="D161" s="612"/>
      <c r="E161" s="61"/>
      <c r="F161" s="11" t="str">
        <f t="shared" si="2"/>
        <v/>
      </c>
    </row>
    <row r="162" spans="1:6" ht="14.4" hidden="1" customHeight="1" outlineLevel="1" x14ac:dyDescent="0.3">
      <c r="A162" s="616"/>
      <c r="B162" s="614"/>
      <c r="C162" s="611"/>
      <c r="D162" s="612"/>
      <c r="E162" s="61"/>
      <c r="F162" s="11" t="str">
        <f t="shared" si="2"/>
        <v/>
      </c>
    </row>
    <row r="163" spans="1:6" ht="14.4" hidden="1" customHeight="1" outlineLevel="1" x14ac:dyDescent="0.3">
      <c r="A163" s="616"/>
      <c r="B163" s="614"/>
      <c r="C163" s="611"/>
      <c r="D163" s="612"/>
      <c r="E163" s="61"/>
      <c r="F163" s="11" t="str">
        <f t="shared" si="2"/>
        <v/>
      </c>
    </row>
    <row r="164" spans="1:6" ht="14.4" hidden="1" customHeight="1" outlineLevel="1" x14ac:dyDescent="0.3">
      <c r="A164" s="616"/>
      <c r="B164" s="614"/>
      <c r="C164" s="611"/>
      <c r="D164" s="612"/>
      <c r="E164" s="61"/>
      <c r="F164" s="11" t="str">
        <f t="shared" si="2"/>
        <v/>
      </c>
    </row>
    <row r="165" spans="1:6" ht="14.4" hidden="1" customHeight="1" outlineLevel="1" x14ac:dyDescent="0.3">
      <c r="A165" s="616"/>
      <c r="B165" s="614"/>
      <c r="C165" s="611"/>
      <c r="D165" s="612"/>
      <c r="E165" s="61"/>
      <c r="F165" s="11" t="str">
        <f t="shared" si="2"/>
        <v/>
      </c>
    </row>
    <row r="166" spans="1:6" ht="14.4" hidden="1" customHeight="1" outlineLevel="1" x14ac:dyDescent="0.3">
      <c r="A166" s="616"/>
      <c r="B166" s="614"/>
      <c r="C166" s="611"/>
      <c r="D166" s="612"/>
      <c r="E166" s="61"/>
      <c r="F166" s="11" t="str">
        <f t="shared" si="2"/>
        <v/>
      </c>
    </row>
    <row r="167" spans="1:6" ht="14.4" hidden="1" customHeight="1" outlineLevel="1" x14ac:dyDescent="0.3">
      <c r="A167" s="616"/>
      <c r="B167" s="614"/>
      <c r="C167" s="611"/>
      <c r="D167" s="612"/>
      <c r="E167" s="61"/>
      <c r="F167" s="11" t="str">
        <f t="shared" si="2"/>
        <v/>
      </c>
    </row>
    <row r="168" spans="1:6" ht="14.4" hidden="1" customHeight="1" outlineLevel="1" x14ac:dyDescent="0.3">
      <c r="A168" s="616"/>
      <c r="B168" s="614"/>
      <c r="C168" s="611"/>
      <c r="D168" s="612"/>
      <c r="E168" s="61"/>
      <c r="F168" s="11" t="str">
        <f t="shared" si="2"/>
        <v/>
      </c>
    </row>
    <row r="169" spans="1:6" ht="14.4" hidden="1" customHeight="1" outlineLevel="1" x14ac:dyDescent="0.3">
      <c r="A169" s="616"/>
      <c r="B169" s="614"/>
      <c r="C169" s="611"/>
      <c r="D169" s="612"/>
      <c r="E169" s="61"/>
      <c r="F169" s="11" t="str">
        <f t="shared" si="2"/>
        <v/>
      </c>
    </row>
    <row r="170" spans="1:6" ht="14.4" hidden="1" customHeight="1" outlineLevel="1" x14ac:dyDescent="0.3">
      <c r="A170" s="616"/>
      <c r="B170" s="614"/>
      <c r="C170" s="611"/>
      <c r="D170" s="612"/>
      <c r="E170" s="61"/>
      <c r="F170" s="11" t="str">
        <f t="shared" si="2"/>
        <v/>
      </c>
    </row>
    <row r="171" spans="1:6" ht="14.4" hidden="1" customHeight="1" outlineLevel="1" x14ac:dyDescent="0.3">
      <c r="A171" s="616"/>
      <c r="B171" s="614"/>
      <c r="C171" s="611"/>
      <c r="D171" s="612"/>
      <c r="E171" s="61"/>
      <c r="F171" s="11" t="str">
        <f t="shared" si="2"/>
        <v/>
      </c>
    </row>
    <row r="172" spans="1:6" ht="14.4" hidden="1" customHeight="1" outlineLevel="1" x14ac:dyDescent="0.3">
      <c r="A172" s="616"/>
      <c r="B172" s="614"/>
      <c r="C172" s="611"/>
      <c r="D172" s="612"/>
      <c r="E172" s="61"/>
      <c r="F172" s="11" t="str">
        <f t="shared" si="2"/>
        <v/>
      </c>
    </row>
    <row r="173" spans="1:6" ht="14.4" hidden="1" customHeight="1" outlineLevel="1" x14ac:dyDescent="0.3">
      <c r="A173" s="616"/>
      <c r="B173" s="614"/>
      <c r="C173" s="611"/>
      <c r="D173" s="612"/>
      <c r="E173" s="61"/>
      <c r="F173" s="11" t="str">
        <f t="shared" si="2"/>
        <v/>
      </c>
    </row>
    <row r="174" spans="1:6" ht="14.4" hidden="1" customHeight="1" outlineLevel="1" x14ac:dyDescent="0.3">
      <c r="A174" s="616"/>
      <c r="B174" s="614"/>
      <c r="C174" s="611"/>
      <c r="D174" s="612"/>
      <c r="E174" s="61"/>
      <c r="F174" s="11" t="str">
        <f t="shared" si="2"/>
        <v/>
      </c>
    </row>
    <row r="175" spans="1:6" ht="14.4" hidden="1" customHeight="1" outlineLevel="1" x14ac:dyDescent="0.3">
      <c r="A175" s="616"/>
      <c r="B175" s="614"/>
      <c r="C175" s="611"/>
      <c r="D175" s="612"/>
      <c r="E175" s="61"/>
      <c r="F175" s="11" t="str">
        <f t="shared" si="2"/>
        <v/>
      </c>
    </row>
    <row r="176" spans="1:6" ht="14.4" hidden="1" customHeight="1" outlineLevel="1" x14ac:dyDescent="0.3">
      <c r="A176" s="616"/>
      <c r="B176" s="614"/>
      <c r="C176" s="611"/>
      <c r="D176" s="612"/>
      <c r="E176" s="61"/>
      <c r="F176" s="11" t="str">
        <f t="shared" si="2"/>
        <v/>
      </c>
    </row>
    <row r="177" spans="1:6" ht="14.4" hidden="1" customHeight="1" outlineLevel="1" x14ac:dyDescent="0.3">
      <c r="A177" s="616"/>
      <c r="B177" s="614"/>
      <c r="C177" s="611"/>
      <c r="D177" s="612"/>
      <c r="E177" s="61"/>
      <c r="F177" s="11" t="str">
        <f t="shared" si="2"/>
        <v/>
      </c>
    </row>
    <row r="178" spans="1:6" ht="14.4" hidden="1" customHeight="1" outlineLevel="1" x14ac:dyDescent="0.3">
      <c r="A178" s="616"/>
      <c r="B178" s="614"/>
      <c r="C178" s="611"/>
      <c r="D178" s="612"/>
      <c r="E178" s="61"/>
      <c r="F178" s="11" t="str">
        <f t="shared" si="2"/>
        <v/>
      </c>
    </row>
    <row r="179" spans="1:6" ht="14.4" hidden="1" customHeight="1" outlineLevel="1" x14ac:dyDescent="0.3">
      <c r="A179" s="616"/>
      <c r="B179" s="614"/>
      <c r="C179" s="611"/>
      <c r="D179" s="612"/>
      <c r="E179" s="61"/>
      <c r="F179" s="11" t="str">
        <f t="shared" si="2"/>
        <v/>
      </c>
    </row>
    <row r="180" spans="1:6" ht="14.4" hidden="1" customHeight="1" outlineLevel="1" x14ac:dyDescent="0.3">
      <c r="A180" s="616"/>
      <c r="B180" s="614"/>
      <c r="C180" s="611"/>
      <c r="D180" s="612"/>
      <c r="E180" s="61"/>
      <c r="F180" s="11" t="str">
        <f t="shared" si="2"/>
        <v/>
      </c>
    </row>
    <row r="181" spans="1:6" ht="14.4" hidden="1" customHeight="1" outlineLevel="1" x14ac:dyDescent="0.3">
      <c r="A181" s="616"/>
      <c r="B181" s="614"/>
      <c r="C181" s="611"/>
      <c r="D181" s="612"/>
      <c r="E181" s="61"/>
      <c r="F181" s="11" t="str">
        <f t="shared" si="2"/>
        <v/>
      </c>
    </row>
    <row r="182" spans="1:6" ht="14.4" hidden="1" customHeight="1" outlineLevel="1" x14ac:dyDescent="0.3">
      <c r="A182" s="616"/>
      <c r="B182" s="614"/>
      <c r="C182" s="611"/>
      <c r="D182" s="612"/>
      <c r="E182" s="61"/>
      <c r="F182" s="11" t="str">
        <f t="shared" si="2"/>
        <v/>
      </c>
    </row>
    <row r="183" spans="1:6" ht="14.4" hidden="1" customHeight="1" outlineLevel="1" x14ac:dyDescent="0.3">
      <c r="A183" s="616"/>
      <c r="B183" s="614"/>
      <c r="C183" s="611"/>
      <c r="D183" s="612"/>
      <c r="E183" s="61"/>
      <c r="F183" s="11" t="str">
        <f t="shared" si="2"/>
        <v/>
      </c>
    </row>
    <row r="184" spans="1:6" ht="14.4" hidden="1" customHeight="1" outlineLevel="1" x14ac:dyDescent="0.3">
      <c r="A184" s="616"/>
      <c r="B184" s="614"/>
      <c r="C184" s="611"/>
      <c r="D184" s="612"/>
      <c r="E184" s="61"/>
      <c r="F184" s="11" t="str">
        <f t="shared" si="2"/>
        <v/>
      </c>
    </row>
    <row r="185" spans="1:6" ht="14.4" hidden="1" customHeight="1" outlineLevel="1" x14ac:dyDescent="0.3">
      <c r="A185" s="616"/>
      <c r="B185" s="614"/>
      <c r="C185" s="611"/>
      <c r="D185" s="612"/>
      <c r="E185" s="61"/>
      <c r="F185" s="11" t="str">
        <f t="shared" si="2"/>
        <v/>
      </c>
    </row>
    <row r="186" spans="1:6" ht="14.4" hidden="1" customHeight="1" outlineLevel="1" x14ac:dyDescent="0.3">
      <c r="A186" s="616"/>
      <c r="B186" s="614"/>
      <c r="C186" s="611"/>
      <c r="D186" s="612"/>
      <c r="E186" s="61"/>
      <c r="F186" s="11" t="str">
        <f t="shared" si="2"/>
        <v/>
      </c>
    </row>
    <row r="187" spans="1:6" ht="14.4" hidden="1" customHeight="1" outlineLevel="1" x14ac:dyDescent="0.3">
      <c r="A187" s="616"/>
      <c r="B187" s="614"/>
      <c r="C187" s="611"/>
      <c r="D187" s="612"/>
      <c r="E187" s="61"/>
      <c r="F187" s="11" t="str">
        <f t="shared" si="2"/>
        <v/>
      </c>
    </row>
    <row r="188" spans="1:6" ht="14.4" hidden="1" customHeight="1" outlineLevel="1" x14ac:dyDescent="0.3">
      <c r="A188" s="616"/>
      <c r="B188" s="614"/>
      <c r="C188" s="611"/>
      <c r="D188" s="612"/>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16"/>
      <c r="B189" s="614"/>
      <c r="C189" s="611"/>
      <c r="D189" s="612"/>
      <c r="E189" s="61"/>
      <c r="F189" s="11" t="str">
        <f t="shared" si="3"/>
        <v/>
      </c>
    </row>
    <row r="190" spans="1:6" ht="14.4" hidden="1" customHeight="1" outlineLevel="1" x14ac:dyDescent="0.3">
      <c r="A190" s="616"/>
      <c r="B190" s="614"/>
      <c r="C190" s="611"/>
      <c r="D190" s="612"/>
      <c r="E190" s="61"/>
      <c r="F190" s="11" t="str">
        <f t="shared" si="3"/>
        <v/>
      </c>
    </row>
    <row r="191" spans="1:6" ht="14.4" hidden="1" customHeight="1" outlineLevel="1" x14ac:dyDescent="0.3">
      <c r="A191" s="616"/>
      <c r="B191" s="614"/>
      <c r="C191" s="611"/>
      <c r="D191" s="612"/>
      <c r="E191" s="61"/>
      <c r="F191" s="11" t="str">
        <f t="shared" si="3"/>
        <v/>
      </c>
    </row>
    <row r="192" spans="1:6" ht="14.4" hidden="1" customHeight="1" outlineLevel="1" x14ac:dyDescent="0.3">
      <c r="A192" s="616"/>
      <c r="B192" s="614"/>
      <c r="C192" s="611"/>
      <c r="D192" s="612"/>
      <c r="E192" s="61"/>
      <c r="F192" s="11" t="str">
        <f t="shared" si="3"/>
        <v/>
      </c>
    </row>
    <row r="193" spans="1:6" ht="14.4" hidden="1" customHeight="1" outlineLevel="1" x14ac:dyDescent="0.3">
      <c r="A193" s="616"/>
      <c r="B193" s="614"/>
      <c r="C193" s="611"/>
      <c r="D193" s="612"/>
      <c r="E193" s="61"/>
      <c r="F193" s="11" t="str">
        <f t="shared" si="3"/>
        <v/>
      </c>
    </row>
    <row r="194" spans="1:6" ht="14.4" hidden="1" customHeight="1" outlineLevel="1" x14ac:dyDescent="0.3">
      <c r="A194" s="616"/>
      <c r="B194" s="614"/>
      <c r="C194" s="611"/>
      <c r="D194" s="612"/>
      <c r="E194" s="61"/>
      <c r="F194" s="11" t="str">
        <f t="shared" si="3"/>
        <v/>
      </c>
    </row>
    <row r="195" spans="1:6" ht="14.4" hidden="1" customHeight="1" outlineLevel="1" x14ac:dyDescent="0.3">
      <c r="A195" s="616"/>
      <c r="B195" s="614"/>
      <c r="C195" s="611"/>
      <c r="D195" s="612"/>
      <c r="E195" s="61"/>
      <c r="F195" s="11" t="str">
        <f t="shared" si="3"/>
        <v/>
      </c>
    </row>
    <row r="196" spans="1:6" ht="14.4" hidden="1" customHeight="1" outlineLevel="1" x14ac:dyDescent="0.3">
      <c r="A196" s="616"/>
      <c r="B196" s="614"/>
      <c r="C196" s="611"/>
      <c r="D196" s="612"/>
      <c r="E196" s="61"/>
      <c r="F196" s="11" t="str">
        <f t="shared" si="3"/>
        <v/>
      </c>
    </row>
    <row r="197" spans="1:6" ht="14.4" hidden="1" customHeight="1" outlineLevel="1" x14ac:dyDescent="0.3">
      <c r="A197" s="616"/>
      <c r="B197" s="614"/>
      <c r="C197" s="611"/>
      <c r="D197" s="612"/>
      <c r="E197" s="61"/>
      <c r="F197" s="11" t="str">
        <f t="shared" si="3"/>
        <v/>
      </c>
    </row>
    <row r="198" spans="1:6" ht="14.4" hidden="1" customHeight="1" outlineLevel="1" x14ac:dyDescent="0.3">
      <c r="A198" s="616"/>
      <c r="B198" s="614"/>
      <c r="C198" s="611"/>
      <c r="D198" s="612"/>
      <c r="E198" s="61"/>
      <c r="F198" s="11" t="str">
        <f t="shared" si="3"/>
        <v/>
      </c>
    </row>
    <row r="199" spans="1:6" ht="14.4" hidden="1" customHeight="1" outlineLevel="1" x14ac:dyDescent="0.3">
      <c r="A199" s="616"/>
      <c r="B199" s="614"/>
      <c r="C199" s="611"/>
      <c r="D199" s="612"/>
      <c r="E199" s="61"/>
      <c r="F199" s="11" t="str">
        <f t="shared" si="3"/>
        <v/>
      </c>
    </row>
    <row r="200" spans="1:6" ht="14.4" hidden="1" customHeight="1" outlineLevel="1" x14ac:dyDescent="0.3">
      <c r="A200" s="616"/>
      <c r="B200" s="614"/>
      <c r="C200" s="611"/>
      <c r="D200" s="612"/>
      <c r="E200" s="61"/>
      <c r="F200" s="11" t="str">
        <f t="shared" si="3"/>
        <v/>
      </c>
    </row>
    <row r="201" spans="1:6" ht="14.4" hidden="1" customHeight="1" outlineLevel="1" x14ac:dyDescent="0.3">
      <c r="A201" s="616"/>
      <c r="B201" s="614"/>
      <c r="C201" s="611"/>
      <c r="D201" s="612"/>
      <c r="E201" s="61"/>
      <c r="F201" s="11" t="str">
        <f t="shared" si="3"/>
        <v/>
      </c>
    </row>
    <row r="202" spans="1:6" ht="14.4" hidden="1" customHeight="1" outlineLevel="1" x14ac:dyDescent="0.3">
      <c r="A202" s="616"/>
      <c r="B202" s="614"/>
      <c r="C202" s="611"/>
      <c r="D202" s="612"/>
      <c r="E202" s="61"/>
      <c r="F202" s="11" t="str">
        <f t="shared" si="3"/>
        <v/>
      </c>
    </row>
    <row r="203" spans="1:6" ht="14.4" hidden="1" customHeight="1" outlineLevel="1" x14ac:dyDescent="0.3">
      <c r="A203" s="616"/>
      <c r="B203" s="614"/>
      <c r="C203" s="611"/>
      <c r="D203" s="612"/>
      <c r="E203" s="61"/>
      <c r="F203" s="11" t="str">
        <f t="shared" si="3"/>
        <v/>
      </c>
    </row>
    <row r="204" spans="1:6" ht="14.4" hidden="1" customHeight="1" outlineLevel="1" x14ac:dyDescent="0.3">
      <c r="A204" s="616"/>
      <c r="B204" s="614"/>
      <c r="C204" s="611"/>
      <c r="D204" s="612"/>
      <c r="E204" s="61"/>
      <c r="F204" s="11" t="str">
        <f t="shared" si="3"/>
        <v/>
      </c>
    </row>
    <row r="205" spans="1:6" ht="14.4" hidden="1" customHeight="1" outlineLevel="1" x14ac:dyDescent="0.3">
      <c r="A205" s="616"/>
      <c r="B205" s="614"/>
      <c r="C205" s="611"/>
      <c r="D205" s="612"/>
      <c r="E205" s="61"/>
      <c r="F205" s="11" t="str">
        <f t="shared" si="3"/>
        <v/>
      </c>
    </row>
    <row r="206" spans="1:6" ht="14.4" hidden="1" customHeight="1" outlineLevel="1" x14ac:dyDescent="0.3">
      <c r="A206" s="616"/>
      <c r="B206" s="614"/>
      <c r="C206" s="611"/>
      <c r="D206" s="612"/>
      <c r="E206" s="61"/>
      <c r="F206" s="11" t="str">
        <f t="shared" si="3"/>
        <v/>
      </c>
    </row>
    <row r="207" spans="1:6" ht="14.4" hidden="1" customHeight="1" outlineLevel="1" x14ac:dyDescent="0.3">
      <c r="A207" s="616"/>
      <c r="B207" s="614"/>
      <c r="C207" s="611"/>
      <c r="D207" s="612"/>
      <c r="E207" s="61"/>
      <c r="F207" s="11" t="str">
        <f t="shared" si="3"/>
        <v/>
      </c>
    </row>
    <row r="208" spans="1:6" ht="14.4" hidden="1" customHeight="1" outlineLevel="1" x14ac:dyDescent="0.3">
      <c r="A208" s="616"/>
      <c r="B208" s="614"/>
      <c r="C208" s="611"/>
      <c r="D208" s="612"/>
      <c r="E208" s="61"/>
      <c r="F208" s="11" t="str">
        <f t="shared" si="3"/>
        <v/>
      </c>
    </row>
    <row r="209" spans="1:7" ht="14.4" hidden="1" customHeight="1" outlineLevel="1" x14ac:dyDescent="0.3">
      <c r="A209" s="616"/>
      <c r="B209" s="614"/>
      <c r="C209" s="611"/>
      <c r="D209" s="612"/>
      <c r="E209" s="61"/>
      <c r="F209" s="11" t="str">
        <f t="shared" si="3"/>
        <v/>
      </c>
    </row>
    <row r="210" spans="1:7" ht="14.4" hidden="1" customHeight="1" outlineLevel="1" x14ac:dyDescent="0.3">
      <c r="A210" s="616"/>
      <c r="B210" s="614"/>
      <c r="C210" s="611"/>
      <c r="D210" s="612"/>
      <c r="E210" s="61"/>
      <c r="F210" s="11" t="str">
        <f t="shared" si="3"/>
        <v/>
      </c>
    </row>
    <row r="211" spans="1:7" ht="14.4" hidden="1" customHeight="1" outlineLevel="1" x14ac:dyDescent="0.3">
      <c r="A211" s="616"/>
      <c r="B211" s="614"/>
      <c r="C211" s="611"/>
      <c r="D211" s="612"/>
      <c r="E211" s="61"/>
      <c r="F211" s="11" t="str">
        <f t="shared" si="3"/>
        <v/>
      </c>
    </row>
    <row r="212" spans="1:7" ht="14.4" hidden="1" customHeight="1" outlineLevel="1" x14ac:dyDescent="0.3">
      <c r="A212" s="616"/>
      <c r="B212" s="614"/>
      <c r="C212" s="611"/>
      <c r="D212" s="612"/>
      <c r="E212" s="61"/>
      <c r="F212" s="11" t="str">
        <f t="shared" si="3"/>
        <v/>
      </c>
    </row>
    <row r="213" spans="1:7" ht="14.4" hidden="1" customHeight="1" outlineLevel="1" x14ac:dyDescent="0.3">
      <c r="A213" s="616"/>
      <c r="B213" s="614"/>
      <c r="C213" s="611"/>
      <c r="D213" s="612"/>
      <c r="E213" s="61"/>
      <c r="F213" s="11" t="str">
        <f t="shared" si="3"/>
        <v/>
      </c>
    </row>
    <row r="214" spans="1:7" ht="14.4" hidden="1" customHeight="1" outlineLevel="1" x14ac:dyDescent="0.3">
      <c r="A214" s="616"/>
      <c r="B214" s="614"/>
      <c r="C214" s="611"/>
      <c r="D214" s="612"/>
      <c r="E214" s="61"/>
      <c r="F214" s="11" t="str">
        <f t="shared" si="3"/>
        <v/>
      </c>
    </row>
    <row r="215" spans="1:7" ht="14.4" hidden="1" customHeight="1" outlineLevel="1" x14ac:dyDescent="0.3">
      <c r="A215" s="616"/>
      <c r="B215" s="614"/>
      <c r="C215" s="611"/>
      <c r="D215" s="612"/>
      <c r="E215" s="61"/>
      <c r="F215" s="11" t="str">
        <f t="shared" si="3"/>
        <v/>
      </c>
    </row>
    <row r="216" spans="1:7" ht="14.4" hidden="1" customHeight="1" outlineLevel="1" x14ac:dyDescent="0.3">
      <c r="A216" s="616"/>
      <c r="B216" s="614"/>
      <c r="C216" s="611"/>
      <c r="D216" s="612"/>
      <c r="E216" s="61"/>
      <c r="F216" s="11" t="str">
        <f t="shared" si="3"/>
        <v/>
      </c>
    </row>
    <row r="217" spans="1:7" ht="14.4" hidden="1" customHeight="1" outlineLevel="1" x14ac:dyDescent="0.3">
      <c r="A217" s="616"/>
      <c r="B217" s="614"/>
      <c r="C217" s="611"/>
      <c r="D217" s="612"/>
      <c r="E217" s="61"/>
      <c r="F217" s="11" t="str">
        <f t="shared" si="3"/>
        <v/>
      </c>
    </row>
    <row r="218" spans="1:7" ht="14.4" hidden="1" customHeight="1" outlineLevel="1" x14ac:dyDescent="0.3">
      <c r="A218" s="616"/>
      <c r="B218" s="614"/>
      <c r="C218" s="611"/>
      <c r="D218" s="612"/>
      <c r="E218" s="61"/>
      <c r="F218" s="11" t="str">
        <f t="shared" si="3"/>
        <v/>
      </c>
    </row>
    <row r="219" spans="1:7" ht="14.4" hidden="1" customHeight="1" outlineLevel="1" x14ac:dyDescent="0.3">
      <c r="A219" s="616"/>
      <c r="B219" s="614"/>
      <c r="C219" s="611"/>
      <c r="D219" s="612"/>
      <c r="E219" s="61"/>
      <c r="F219" s="11" t="str">
        <f t="shared" si="3"/>
        <v/>
      </c>
    </row>
    <row r="220" spans="1:7" ht="14.4" hidden="1" customHeight="1" outlineLevel="1" x14ac:dyDescent="0.3">
      <c r="A220" s="616"/>
      <c r="B220" s="614"/>
      <c r="C220" s="611"/>
      <c r="D220" s="612"/>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16"/>
      <c r="B221" s="614"/>
      <c r="C221" s="611"/>
      <c r="D221" s="612"/>
      <c r="E221" s="61"/>
      <c r="F221" s="11" t="str">
        <f t="shared" si="4"/>
        <v/>
      </c>
    </row>
    <row r="222" spans="1:7" ht="14.4" hidden="1" customHeight="1" outlineLevel="1" x14ac:dyDescent="0.3">
      <c r="A222" s="616"/>
      <c r="B222" s="614"/>
      <c r="C222" s="611"/>
      <c r="D222" s="612"/>
      <c r="E222" s="61"/>
      <c r="F222" s="11" t="str">
        <f t="shared" si="4"/>
        <v/>
      </c>
    </row>
    <row r="223" spans="1:7" collapsed="1" x14ac:dyDescent="0.3">
      <c r="A223" s="460" t="s">
        <v>3732</v>
      </c>
      <c r="B223" s="249" t="s">
        <v>1</v>
      </c>
      <c r="C223" s="580" t="str">
        <f>template_label_basis_for_reporting</f>
        <v>Basis for reporting (consolidated or individual basis)</v>
      </c>
      <c r="D223" s="581"/>
      <c r="E223" s="60"/>
      <c r="F223" s="11" t="str">
        <f>IF(AND(OR(E122 = "Option A (Basic Module only)", E122 = "Option B (Basic Module and Comprehensive Module)"), E223 = ""),
    template_label_missing_value,
    IF(E122 = "", "", template_label_ok))</f>
        <v/>
      </c>
    </row>
    <row r="224" spans="1:7" x14ac:dyDescent="0.3">
      <c r="A224" s="576" t="s">
        <v>3947</v>
      </c>
      <c r="B224" s="591">
        <v>4</v>
      </c>
      <c r="C224" s="580" t="str">
        <f>template_label_undertakings_legal_form</f>
        <v>Undertakings legal form</v>
      </c>
      <c r="D224" s="581"/>
      <c r="E224" s="60"/>
      <c r="F224" s="11" t="str">
        <f>IF(AND(OR(E122 = "Option A (Basic Module only)", E122 = "Option B (Basic Module and Comprehensive Module)"), E224 = ""),
    template_label_missing_value,
    IF(E122 = "", "", template_label_ok))</f>
        <v/>
      </c>
      <c r="G224" t="str">
        <f>template_label_other_warning</f>
        <v>ℹ️ When "other" is chosen as undertaking legal form please fill the row below</v>
      </c>
    </row>
    <row r="225" spans="1:7" x14ac:dyDescent="0.3">
      <c r="A225" s="590"/>
      <c r="B225" s="591"/>
      <c r="C225" s="592" t="str">
        <f>template_label_other_undertakings_legal_form_specification</f>
        <v>Other undertaking's legal form specification</v>
      </c>
      <c r="D225" s="593"/>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76" t="s">
        <v>3733</v>
      </c>
      <c r="B226" s="578" t="s">
        <v>5638</v>
      </c>
      <c r="C226" s="586" t="str">
        <f>template_label_nace_sector_classification_code</f>
        <v>NACE sector classification code(s)</v>
      </c>
      <c r="D226" s="587"/>
      <c r="E226" s="60"/>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
      </c>
      <c r="G226" t="str">
        <f>template_label_NACE_warning</f>
        <v>ℹ️  Please select a NACE code rather than a category else an ERROR message will appear.</v>
      </c>
    </row>
    <row r="227" spans="1:7" ht="14.4" customHeight="1" x14ac:dyDescent="0.3">
      <c r="A227" s="577"/>
      <c r="B227" s="579"/>
      <c r="C227" s="588"/>
      <c r="D227" s="589"/>
      <c r="E227" s="60"/>
      <c r="F227" s="11" t="str">
        <f t="shared" ref="F227:F258" si="5">IF(COUNTIF(enum_ListNACECategories, E227) &gt; 0, template_label_error,
IF(E227 = "", "",
IF(COUNTIF($E$226:$E$325, E227) &gt; 1, template_label_value_inconsistency, template_label_ok)))</f>
        <v/>
      </c>
    </row>
    <row r="228" spans="1:7" ht="14.4" customHeight="1" x14ac:dyDescent="0.3">
      <c r="A228" s="577"/>
      <c r="B228" s="579"/>
      <c r="C228" s="588"/>
      <c r="D228" s="589"/>
      <c r="E228" s="60"/>
      <c r="F228" s="11" t="str">
        <f t="shared" si="5"/>
        <v/>
      </c>
    </row>
    <row r="229" spans="1:7" ht="14.4" hidden="1" customHeight="1" outlineLevel="2" x14ac:dyDescent="0.3">
      <c r="A229" s="577"/>
      <c r="B229" s="579"/>
      <c r="C229" s="588"/>
      <c r="D229" s="589"/>
      <c r="E229" s="60"/>
      <c r="F229" s="11" t="str">
        <f t="shared" si="5"/>
        <v/>
      </c>
    </row>
    <row r="230" spans="1:7" ht="14.4" hidden="1" customHeight="1" outlineLevel="2" x14ac:dyDescent="0.3">
      <c r="A230" s="577"/>
      <c r="B230" s="579"/>
      <c r="C230" s="588"/>
      <c r="D230" s="589"/>
      <c r="E230" s="60"/>
      <c r="F230" s="11" t="str">
        <f t="shared" si="5"/>
        <v/>
      </c>
    </row>
    <row r="231" spans="1:7" ht="14.4" hidden="1" customHeight="1" outlineLevel="2" x14ac:dyDescent="0.3">
      <c r="A231" s="577"/>
      <c r="B231" s="579"/>
      <c r="C231" s="588"/>
      <c r="D231" s="589"/>
      <c r="E231" s="60"/>
      <c r="F231" s="11" t="str">
        <f t="shared" si="5"/>
        <v/>
      </c>
    </row>
    <row r="232" spans="1:7" ht="14.4" hidden="1" customHeight="1" outlineLevel="2" x14ac:dyDescent="0.3">
      <c r="A232" s="577"/>
      <c r="B232" s="579"/>
      <c r="C232" s="588"/>
      <c r="D232" s="589"/>
      <c r="E232" s="60"/>
      <c r="F232" s="11" t="str">
        <f t="shared" si="5"/>
        <v/>
      </c>
    </row>
    <row r="233" spans="1:7" ht="14.4" hidden="1" customHeight="1" outlineLevel="2" x14ac:dyDescent="0.3">
      <c r="A233" s="577"/>
      <c r="B233" s="579"/>
      <c r="C233" s="588"/>
      <c r="D233" s="589"/>
      <c r="E233" s="60"/>
      <c r="F233" s="11" t="str">
        <f t="shared" si="5"/>
        <v/>
      </c>
    </row>
    <row r="234" spans="1:7" ht="14.4" hidden="1" customHeight="1" outlineLevel="2" x14ac:dyDescent="0.3">
      <c r="A234" s="577"/>
      <c r="B234" s="579"/>
      <c r="C234" s="588"/>
      <c r="D234" s="589"/>
      <c r="E234" s="60"/>
      <c r="F234" s="11" t="str">
        <f t="shared" si="5"/>
        <v/>
      </c>
    </row>
    <row r="235" spans="1:7" ht="14.4" hidden="1" customHeight="1" outlineLevel="2" x14ac:dyDescent="0.3">
      <c r="A235" s="577"/>
      <c r="B235" s="579"/>
      <c r="C235" s="588"/>
      <c r="D235" s="589"/>
      <c r="E235" s="60"/>
      <c r="F235" s="11" t="str">
        <f t="shared" si="5"/>
        <v/>
      </c>
    </row>
    <row r="236" spans="1:7" ht="14.4" hidden="1" customHeight="1" outlineLevel="2" x14ac:dyDescent="0.3">
      <c r="A236" s="577"/>
      <c r="B236" s="579"/>
      <c r="C236" s="588"/>
      <c r="D236" s="589"/>
      <c r="E236" s="60"/>
      <c r="F236" s="11" t="str">
        <f t="shared" si="5"/>
        <v/>
      </c>
    </row>
    <row r="237" spans="1:7" ht="14.4" hidden="1" customHeight="1" outlineLevel="2" x14ac:dyDescent="0.3">
      <c r="A237" s="577"/>
      <c r="B237" s="579"/>
      <c r="C237" s="588"/>
      <c r="D237" s="589"/>
      <c r="E237" s="60"/>
      <c r="F237" s="11" t="str">
        <f t="shared" si="5"/>
        <v/>
      </c>
    </row>
    <row r="238" spans="1:7" ht="14.4" hidden="1" customHeight="1" outlineLevel="2" x14ac:dyDescent="0.3">
      <c r="A238" s="577"/>
      <c r="B238" s="579"/>
      <c r="C238" s="588"/>
      <c r="D238" s="589"/>
      <c r="E238" s="60"/>
      <c r="F238" s="11" t="str">
        <f t="shared" si="5"/>
        <v/>
      </c>
    </row>
    <row r="239" spans="1:7" ht="14.4" hidden="1" customHeight="1" outlineLevel="2" x14ac:dyDescent="0.3">
      <c r="A239" s="577"/>
      <c r="B239" s="579"/>
      <c r="C239" s="588"/>
      <c r="D239" s="589"/>
      <c r="E239" s="60"/>
      <c r="F239" s="11" t="str">
        <f t="shared" si="5"/>
        <v/>
      </c>
    </row>
    <row r="240" spans="1:7" ht="14.4" hidden="1" customHeight="1" outlineLevel="2" x14ac:dyDescent="0.3">
      <c r="A240" s="577"/>
      <c r="B240" s="579"/>
      <c r="C240" s="588"/>
      <c r="D240" s="589"/>
      <c r="E240" s="60"/>
      <c r="F240" s="11" t="str">
        <f t="shared" si="5"/>
        <v/>
      </c>
    </row>
    <row r="241" spans="1:6" ht="14.4" hidden="1" customHeight="1" outlineLevel="2" x14ac:dyDescent="0.3">
      <c r="A241" s="577"/>
      <c r="B241" s="579"/>
      <c r="C241" s="588"/>
      <c r="D241" s="589"/>
      <c r="E241" s="60"/>
      <c r="F241" s="11" t="str">
        <f t="shared" si="5"/>
        <v/>
      </c>
    </row>
    <row r="242" spans="1:6" ht="14.4" hidden="1" customHeight="1" outlineLevel="2" x14ac:dyDescent="0.3">
      <c r="A242" s="577"/>
      <c r="B242" s="579"/>
      <c r="C242" s="588"/>
      <c r="D242" s="589"/>
      <c r="E242" s="60"/>
      <c r="F242" s="11" t="str">
        <f t="shared" si="5"/>
        <v/>
      </c>
    </row>
    <row r="243" spans="1:6" ht="14.4" hidden="1" customHeight="1" outlineLevel="2" x14ac:dyDescent="0.3">
      <c r="A243" s="577"/>
      <c r="B243" s="579"/>
      <c r="C243" s="588"/>
      <c r="D243" s="589"/>
      <c r="E243" s="60"/>
      <c r="F243" s="11" t="str">
        <f t="shared" si="5"/>
        <v/>
      </c>
    </row>
    <row r="244" spans="1:6" ht="14.4" hidden="1" customHeight="1" outlineLevel="2" x14ac:dyDescent="0.3">
      <c r="A244" s="577"/>
      <c r="B244" s="579"/>
      <c r="C244" s="588"/>
      <c r="D244" s="589"/>
      <c r="E244" s="60"/>
      <c r="F244" s="11" t="str">
        <f t="shared" si="5"/>
        <v/>
      </c>
    </row>
    <row r="245" spans="1:6" ht="14.4" hidden="1" customHeight="1" outlineLevel="2" x14ac:dyDescent="0.3">
      <c r="A245" s="577"/>
      <c r="B245" s="579"/>
      <c r="C245" s="588"/>
      <c r="D245" s="589"/>
      <c r="E245" s="60"/>
      <c r="F245" s="11" t="str">
        <f t="shared" si="5"/>
        <v/>
      </c>
    </row>
    <row r="246" spans="1:6" ht="14.4" hidden="1" customHeight="1" outlineLevel="2" x14ac:dyDescent="0.3">
      <c r="A246" s="577"/>
      <c r="B246" s="579"/>
      <c r="C246" s="588"/>
      <c r="D246" s="589"/>
      <c r="E246" s="60"/>
      <c r="F246" s="11" t="str">
        <f t="shared" si="5"/>
        <v/>
      </c>
    </row>
    <row r="247" spans="1:6" ht="14.4" hidden="1" customHeight="1" outlineLevel="2" x14ac:dyDescent="0.3">
      <c r="A247" s="577"/>
      <c r="B247" s="579"/>
      <c r="C247" s="588"/>
      <c r="D247" s="589"/>
      <c r="E247" s="60"/>
      <c r="F247" s="11" t="str">
        <f t="shared" si="5"/>
        <v/>
      </c>
    </row>
    <row r="248" spans="1:6" ht="14.4" hidden="1" customHeight="1" outlineLevel="2" x14ac:dyDescent="0.3">
      <c r="A248" s="577"/>
      <c r="B248" s="579"/>
      <c r="C248" s="588"/>
      <c r="D248" s="589"/>
      <c r="E248" s="60"/>
      <c r="F248" s="11" t="str">
        <f t="shared" si="5"/>
        <v/>
      </c>
    </row>
    <row r="249" spans="1:6" ht="14.4" hidden="1" customHeight="1" outlineLevel="2" x14ac:dyDescent="0.3">
      <c r="A249" s="577"/>
      <c r="B249" s="579"/>
      <c r="C249" s="588"/>
      <c r="D249" s="589"/>
      <c r="E249" s="60"/>
      <c r="F249" s="11" t="str">
        <f t="shared" si="5"/>
        <v/>
      </c>
    </row>
    <row r="250" spans="1:6" ht="14.4" hidden="1" customHeight="1" outlineLevel="2" x14ac:dyDescent="0.3">
      <c r="A250" s="577"/>
      <c r="B250" s="579"/>
      <c r="C250" s="588"/>
      <c r="D250" s="589"/>
      <c r="E250" s="60"/>
      <c r="F250" s="11" t="str">
        <f t="shared" si="5"/>
        <v/>
      </c>
    </row>
    <row r="251" spans="1:6" ht="14.4" hidden="1" customHeight="1" outlineLevel="2" x14ac:dyDescent="0.3">
      <c r="A251" s="577"/>
      <c r="B251" s="579"/>
      <c r="C251" s="588"/>
      <c r="D251" s="589"/>
      <c r="E251" s="60"/>
      <c r="F251" s="11" t="str">
        <f t="shared" si="5"/>
        <v/>
      </c>
    </row>
    <row r="252" spans="1:6" ht="14.4" hidden="1" customHeight="1" outlineLevel="2" x14ac:dyDescent="0.3">
      <c r="A252" s="577"/>
      <c r="B252" s="579"/>
      <c r="C252" s="588"/>
      <c r="D252" s="589"/>
      <c r="E252" s="60"/>
      <c r="F252" s="11" t="str">
        <f t="shared" si="5"/>
        <v/>
      </c>
    </row>
    <row r="253" spans="1:6" ht="14.4" hidden="1" customHeight="1" outlineLevel="2" x14ac:dyDescent="0.3">
      <c r="A253" s="577"/>
      <c r="B253" s="579"/>
      <c r="C253" s="588"/>
      <c r="D253" s="589"/>
      <c r="E253" s="60"/>
      <c r="F253" s="11" t="str">
        <f t="shared" si="5"/>
        <v/>
      </c>
    </row>
    <row r="254" spans="1:6" ht="14.4" hidden="1" customHeight="1" outlineLevel="2" x14ac:dyDescent="0.3">
      <c r="A254" s="577"/>
      <c r="B254" s="579"/>
      <c r="C254" s="588"/>
      <c r="D254" s="589"/>
      <c r="E254" s="60"/>
      <c r="F254" s="11" t="str">
        <f t="shared" si="5"/>
        <v/>
      </c>
    </row>
    <row r="255" spans="1:6" ht="14.4" hidden="1" customHeight="1" outlineLevel="2" x14ac:dyDescent="0.3">
      <c r="A255" s="577"/>
      <c r="B255" s="579"/>
      <c r="C255" s="588"/>
      <c r="D255" s="589"/>
      <c r="E255" s="60"/>
      <c r="F255" s="11" t="str">
        <f t="shared" si="5"/>
        <v/>
      </c>
    </row>
    <row r="256" spans="1:6" ht="14.4" hidden="1" customHeight="1" outlineLevel="2" x14ac:dyDescent="0.3">
      <c r="A256" s="577"/>
      <c r="B256" s="579"/>
      <c r="C256" s="588"/>
      <c r="D256" s="589"/>
      <c r="E256" s="60"/>
      <c r="F256" s="11" t="str">
        <f t="shared" si="5"/>
        <v/>
      </c>
    </row>
    <row r="257" spans="1:6" ht="14.4" hidden="1" customHeight="1" outlineLevel="2" x14ac:dyDescent="0.3">
      <c r="A257" s="577"/>
      <c r="B257" s="579"/>
      <c r="C257" s="588"/>
      <c r="D257" s="589"/>
      <c r="E257" s="60"/>
      <c r="F257" s="11" t="str">
        <f t="shared" si="5"/>
        <v/>
      </c>
    </row>
    <row r="258" spans="1:6" ht="14.4" hidden="1" customHeight="1" outlineLevel="2" x14ac:dyDescent="0.3">
      <c r="A258" s="577"/>
      <c r="B258" s="579"/>
      <c r="C258" s="588"/>
      <c r="D258" s="589"/>
      <c r="E258" s="60"/>
      <c r="F258" s="11" t="str">
        <f t="shared" si="5"/>
        <v/>
      </c>
    </row>
    <row r="259" spans="1:6" ht="14.4" hidden="1" customHeight="1" outlineLevel="2" x14ac:dyDescent="0.3">
      <c r="A259" s="577"/>
      <c r="B259" s="579"/>
      <c r="C259" s="588"/>
      <c r="D259" s="589"/>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577"/>
      <c r="B260" s="579"/>
      <c r="C260" s="588"/>
      <c r="D260" s="589"/>
      <c r="E260" s="60"/>
      <c r="F260" s="11" t="str">
        <f t="shared" si="6"/>
        <v/>
      </c>
    </row>
    <row r="261" spans="1:6" ht="14.4" hidden="1" customHeight="1" outlineLevel="2" x14ac:dyDescent="0.3">
      <c r="A261" s="577"/>
      <c r="B261" s="579"/>
      <c r="C261" s="588"/>
      <c r="D261" s="589"/>
      <c r="E261" s="60"/>
      <c r="F261" s="11" t="str">
        <f t="shared" si="6"/>
        <v/>
      </c>
    </row>
    <row r="262" spans="1:6" ht="14.4" hidden="1" customHeight="1" outlineLevel="2" x14ac:dyDescent="0.3">
      <c r="A262" s="577"/>
      <c r="B262" s="579"/>
      <c r="C262" s="588"/>
      <c r="D262" s="589"/>
      <c r="E262" s="60"/>
      <c r="F262" s="11" t="str">
        <f t="shared" si="6"/>
        <v/>
      </c>
    </row>
    <row r="263" spans="1:6" ht="14.4" hidden="1" customHeight="1" outlineLevel="2" x14ac:dyDescent="0.3">
      <c r="A263" s="577"/>
      <c r="B263" s="579"/>
      <c r="C263" s="588"/>
      <c r="D263" s="589"/>
      <c r="E263" s="60"/>
      <c r="F263" s="11" t="str">
        <f t="shared" si="6"/>
        <v/>
      </c>
    </row>
    <row r="264" spans="1:6" ht="14.4" hidden="1" customHeight="1" outlineLevel="2" x14ac:dyDescent="0.3">
      <c r="A264" s="577"/>
      <c r="B264" s="579"/>
      <c r="C264" s="588"/>
      <c r="D264" s="589"/>
      <c r="E264" s="60"/>
      <c r="F264" s="11" t="str">
        <f t="shared" si="6"/>
        <v/>
      </c>
    </row>
    <row r="265" spans="1:6" ht="14.4" hidden="1" customHeight="1" outlineLevel="2" x14ac:dyDescent="0.3">
      <c r="A265" s="577"/>
      <c r="B265" s="579"/>
      <c r="C265" s="588"/>
      <c r="D265" s="589"/>
      <c r="E265" s="60"/>
      <c r="F265" s="11" t="str">
        <f t="shared" si="6"/>
        <v/>
      </c>
    </row>
    <row r="266" spans="1:6" ht="14.4" hidden="1" customHeight="1" outlineLevel="2" x14ac:dyDescent="0.3">
      <c r="A266" s="577"/>
      <c r="B266" s="579"/>
      <c r="C266" s="588"/>
      <c r="D266" s="589"/>
      <c r="E266" s="60"/>
      <c r="F266" s="11" t="str">
        <f t="shared" si="6"/>
        <v/>
      </c>
    </row>
    <row r="267" spans="1:6" ht="14.4" hidden="1" customHeight="1" outlineLevel="2" x14ac:dyDescent="0.3">
      <c r="A267" s="577"/>
      <c r="B267" s="579"/>
      <c r="C267" s="588"/>
      <c r="D267" s="589"/>
      <c r="E267" s="60"/>
      <c r="F267" s="11" t="str">
        <f t="shared" si="6"/>
        <v/>
      </c>
    </row>
    <row r="268" spans="1:6" ht="14.4" hidden="1" customHeight="1" outlineLevel="2" x14ac:dyDescent="0.3">
      <c r="A268" s="577"/>
      <c r="B268" s="579"/>
      <c r="C268" s="588"/>
      <c r="D268" s="589"/>
      <c r="E268" s="60"/>
      <c r="F268" s="11" t="str">
        <f t="shared" si="6"/>
        <v/>
      </c>
    </row>
    <row r="269" spans="1:6" ht="14.4" hidden="1" customHeight="1" outlineLevel="2" x14ac:dyDescent="0.3">
      <c r="A269" s="577"/>
      <c r="B269" s="579"/>
      <c r="C269" s="588"/>
      <c r="D269" s="589"/>
      <c r="E269" s="60"/>
      <c r="F269" s="11" t="str">
        <f t="shared" si="6"/>
        <v/>
      </c>
    </row>
    <row r="270" spans="1:6" ht="14.4" hidden="1" customHeight="1" outlineLevel="2" x14ac:dyDescent="0.3">
      <c r="A270" s="577"/>
      <c r="B270" s="579"/>
      <c r="C270" s="588"/>
      <c r="D270" s="589"/>
      <c r="E270" s="60"/>
      <c r="F270" s="11" t="str">
        <f t="shared" si="6"/>
        <v/>
      </c>
    </row>
    <row r="271" spans="1:6" ht="14.4" hidden="1" customHeight="1" outlineLevel="2" x14ac:dyDescent="0.3">
      <c r="A271" s="577"/>
      <c r="B271" s="579"/>
      <c r="C271" s="588"/>
      <c r="D271" s="589"/>
      <c r="E271" s="60"/>
      <c r="F271" s="11" t="str">
        <f t="shared" si="6"/>
        <v/>
      </c>
    </row>
    <row r="272" spans="1:6" ht="14.4" hidden="1" customHeight="1" outlineLevel="2" x14ac:dyDescent="0.3">
      <c r="A272" s="577"/>
      <c r="B272" s="579"/>
      <c r="C272" s="588"/>
      <c r="D272" s="589"/>
      <c r="E272" s="60"/>
      <c r="F272" s="11" t="str">
        <f t="shared" si="6"/>
        <v/>
      </c>
    </row>
    <row r="273" spans="1:6" ht="14.4" hidden="1" customHeight="1" outlineLevel="2" x14ac:dyDescent="0.3">
      <c r="A273" s="577"/>
      <c r="B273" s="579"/>
      <c r="C273" s="588"/>
      <c r="D273" s="589"/>
      <c r="E273" s="60"/>
      <c r="F273" s="11" t="str">
        <f t="shared" si="6"/>
        <v/>
      </c>
    </row>
    <row r="274" spans="1:6" ht="14.4" hidden="1" customHeight="1" outlineLevel="2" x14ac:dyDescent="0.3">
      <c r="A274" s="577"/>
      <c r="B274" s="579"/>
      <c r="C274" s="588"/>
      <c r="D274" s="589"/>
      <c r="E274" s="60"/>
      <c r="F274" s="11" t="str">
        <f t="shared" si="6"/>
        <v/>
      </c>
    </row>
    <row r="275" spans="1:6" ht="14.4" hidden="1" customHeight="1" outlineLevel="2" x14ac:dyDescent="0.3">
      <c r="A275" s="577"/>
      <c r="B275" s="579"/>
      <c r="C275" s="588"/>
      <c r="D275" s="589"/>
      <c r="E275" s="60"/>
      <c r="F275" s="11" t="str">
        <f t="shared" si="6"/>
        <v/>
      </c>
    </row>
    <row r="276" spans="1:6" ht="14.4" hidden="1" customHeight="1" outlineLevel="2" x14ac:dyDescent="0.3">
      <c r="A276" s="577"/>
      <c r="B276" s="579"/>
      <c r="C276" s="588"/>
      <c r="D276" s="589"/>
      <c r="E276" s="60"/>
      <c r="F276" s="11" t="str">
        <f t="shared" si="6"/>
        <v/>
      </c>
    </row>
    <row r="277" spans="1:6" ht="14.4" hidden="1" customHeight="1" outlineLevel="2" x14ac:dyDescent="0.3">
      <c r="A277" s="577"/>
      <c r="B277" s="579"/>
      <c r="C277" s="588"/>
      <c r="D277" s="589"/>
      <c r="E277" s="60"/>
      <c r="F277" s="11" t="str">
        <f t="shared" si="6"/>
        <v/>
      </c>
    </row>
    <row r="278" spans="1:6" ht="14.4" hidden="1" customHeight="1" outlineLevel="2" x14ac:dyDescent="0.3">
      <c r="A278" s="577"/>
      <c r="B278" s="579"/>
      <c r="C278" s="588"/>
      <c r="D278" s="589"/>
      <c r="E278" s="60"/>
      <c r="F278" s="11" t="str">
        <f t="shared" si="6"/>
        <v/>
      </c>
    </row>
    <row r="279" spans="1:6" ht="14.4" hidden="1" customHeight="1" outlineLevel="2" x14ac:dyDescent="0.3">
      <c r="A279" s="577"/>
      <c r="B279" s="579"/>
      <c r="C279" s="588"/>
      <c r="D279" s="589"/>
      <c r="E279" s="60"/>
      <c r="F279" s="11" t="str">
        <f t="shared" si="6"/>
        <v/>
      </c>
    </row>
    <row r="280" spans="1:6" ht="14.4" hidden="1" customHeight="1" outlineLevel="2" x14ac:dyDescent="0.3">
      <c r="A280" s="577"/>
      <c r="B280" s="579"/>
      <c r="C280" s="588"/>
      <c r="D280" s="589"/>
      <c r="E280" s="60"/>
      <c r="F280" s="11" t="str">
        <f t="shared" si="6"/>
        <v/>
      </c>
    </row>
    <row r="281" spans="1:6" ht="14.4" hidden="1" customHeight="1" outlineLevel="2" x14ac:dyDescent="0.3">
      <c r="A281" s="577"/>
      <c r="B281" s="579"/>
      <c r="C281" s="588"/>
      <c r="D281" s="589"/>
      <c r="E281" s="60"/>
      <c r="F281" s="11" t="str">
        <f t="shared" si="6"/>
        <v/>
      </c>
    </row>
    <row r="282" spans="1:6" ht="14.4" hidden="1" customHeight="1" outlineLevel="2" x14ac:dyDescent="0.3">
      <c r="A282" s="577"/>
      <c r="B282" s="579"/>
      <c r="C282" s="588"/>
      <c r="D282" s="589"/>
      <c r="E282" s="60"/>
      <c r="F282" s="11" t="str">
        <f t="shared" si="6"/>
        <v/>
      </c>
    </row>
    <row r="283" spans="1:6" ht="14.4" hidden="1" customHeight="1" outlineLevel="2" x14ac:dyDescent="0.3">
      <c r="A283" s="577"/>
      <c r="B283" s="579"/>
      <c r="C283" s="588"/>
      <c r="D283" s="589"/>
      <c r="E283" s="60"/>
      <c r="F283" s="11" t="str">
        <f t="shared" si="6"/>
        <v/>
      </c>
    </row>
    <row r="284" spans="1:6" ht="14.4" hidden="1" customHeight="1" outlineLevel="2" x14ac:dyDescent="0.3">
      <c r="A284" s="577"/>
      <c r="B284" s="579"/>
      <c r="C284" s="588"/>
      <c r="D284" s="589"/>
      <c r="E284" s="60"/>
      <c r="F284" s="11" t="str">
        <f t="shared" si="6"/>
        <v/>
      </c>
    </row>
    <row r="285" spans="1:6" ht="14.4" hidden="1" customHeight="1" outlineLevel="2" x14ac:dyDescent="0.3">
      <c r="A285" s="577"/>
      <c r="B285" s="579"/>
      <c r="C285" s="588"/>
      <c r="D285" s="589"/>
      <c r="E285" s="60"/>
      <c r="F285" s="11" t="str">
        <f t="shared" si="6"/>
        <v/>
      </c>
    </row>
    <row r="286" spans="1:6" ht="14.4" hidden="1" customHeight="1" outlineLevel="2" x14ac:dyDescent="0.3">
      <c r="A286" s="577"/>
      <c r="B286" s="579"/>
      <c r="C286" s="588"/>
      <c r="D286" s="589"/>
      <c r="E286" s="60"/>
      <c r="F286" s="11" t="str">
        <f t="shared" si="6"/>
        <v/>
      </c>
    </row>
    <row r="287" spans="1:6" ht="14.4" hidden="1" customHeight="1" outlineLevel="2" x14ac:dyDescent="0.3">
      <c r="A287" s="577"/>
      <c r="B287" s="579"/>
      <c r="C287" s="588"/>
      <c r="D287" s="589"/>
      <c r="E287" s="60"/>
      <c r="F287" s="11" t="str">
        <f t="shared" si="6"/>
        <v/>
      </c>
    </row>
    <row r="288" spans="1:6" ht="14.4" hidden="1" customHeight="1" outlineLevel="2" x14ac:dyDescent="0.3">
      <c r="A288" s="577"/>
      <c r="B288" s="579"/>
      <c r="C288" s="588"/>
      <c r="D288" s="589"/>
      <c r="E288" s="60"/>
      <c r="F288" s="11" t="str">
        <f t="shared" si="6"/>
        <v/>
      </c>
    </row>
    <row r="289" spans="1:6" ht="14.4" hidden="1" customHeight="1" outlineLevel="2" x14ac:dyDescent="0.3">
      <c r="A289" s="577"/>
      <c r="B289" s="579"/>
      <c r="C289" s="588"/>
      <c r="D289" s="589"/>
      <c r="E289" s="60"/>
      <c r="F289" s="11" t="str">
        <f t="shared" si="6"/>
        <v/>
      </c>
    </row>
    <row r="290" spans="1:6" ht="14.4" hidden="1" customHeight="1" outlineLevel="2" x14ac:dyDescent="0.3">
      <c r="A290" s="577"/>
      <c r="B290" s="579"/>
      <c r="C290" s="588"/>
      <c r="D290" s="589"/>
      <c r="E290" s="60"/>
      <c r="F290" s="11" t="str">
        <f t="shared" si="6"/>
        <v/>
      </c>
    </row>
    <row r="291" spans="1:6" ht="14.4" hidden="1" customHeight="1" outlineLevel="2" x14ac:dyDescent="0.3">
      <c r="A291" s="577"/>
      <c r="B291" s="579"/>
      <c r="C291" s="588"/>
      <c r="D291" s="589"/>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577"/>
      <c r="B292" s="579"/>
      <c r="C292" s="588"/>
      <c r="D292" s="589"/>
      <c r="E292" s="60"/>
      <c r="F292" s="11" t="str">
        <f t="shared" si="7"/>
        <v/>
      </c>
    </row>
    <row r="293" spans="1:6" ht="14.4" hidden="1" customHeight="1" outlineLevel="2" x14ac:dyDescent="0.3">
      <c r="A293" s="577"/>
      <c r="B293" s="579"/>
      <c r="C293" s="588"/>
      <c r="D293" s="589"/>
      <c r="E293" s="60"/>
      <c r="F293" s="11" t="str">
        <f t="shared" si="7"/>
        <v/>
      </c>
    </row>
    <row r="294" spans="1:6" ht="14.4" hidden="1" customHeight="1" outlineLevel="2" x14ac:dyDescent="0.3">
      <c r="A294" s="577"/>
      <c r="B294" s="579"/>
      <c r="C294" s="588"/>
      <c r="D294" s="589"/>
      <c r="E294" s="60"/>
      <c r="F294" s="11" t="str">
        <f t="shared" si="7"/>
        <v/>
      </c>
    </row>
    <row r="295" spans="1:6" ht="14.4" hidden="1" customHeight="1" outlineLevel="2" x14ac:dyDescent="0.3">
      <c r="A295" s="577"/>
      <c r="B295" s="579"/>
      <c r="C295" s="588"/>
      <c r="D295" s="589"/>
      <c r="E295" s="60"/>
      <c r="F295" s="11" t="str">
        <f t="shared" si="7"/>
        <v/>
      </c>
    </row>
    <row r="296" spans="1:6" ht="14.4" hidden="1" customHeight="1" outlineLevel="2" x14ac:dyDescent="0.3">
      <c r="A296" s="577"/>
      <c r="B296" s="579"/>
      <c r="C296" s="588"/>
      <c r="D296" s="589"/>
      <c r="E296" s="60"/>
      <c r="F296" s="11" t="str">
        <f t="shared" si="7"/>
        <v/>
      </c>
    </row>
    <row r="297" spans="1:6" ht="14.4" hidden="1" customHeight="1" outlineLevel="2" x14ac:dyDescent="0.3">
      <c r="A297" s="577"/>
      <c r="B297" s="579"/>
      <c r="C297" s="588"/>
      <c r="D297" s="589"/>
      <c r="E297" s="60"/>
      <c r="F297" s="11" t="str">
        <f t="shared" si="7"/>
        <v/>
      </c>
    </row>
    <row r="298" spans="1:6" ht="14.4" hidden="1" customHeight="1" outlineLevel="2" x14ac:dyDescent="0.3">
      <c r="A298" s="577"/>
      <c r="B298" s="579"/>
      <c r="C298" s="588"/>
      <c r="D298" s="589"/>
      <c r="E298" s="60"/>
      <c r="F298" s="11" t="str">
        <f t="shared" si="7"/>
        <v/>
      </c>
    </row>
    <row r="299" spans="1:6" ht="14.4" hidden="1" customHeight="1" outlineLevel="2" x14ac:dyDescent="0.3">
      <c r="A299" s="577"/>
      <c r="B299" s="579"/>
      <c r="C299" s="588"/>
      <c r="D299" s="589"/>
      <c r="E299" s="60"/>
      <c r="F299" s="11" t="str">
        <f t="shared" si="7"/>
        <v/>
      </c>
    </row>
    <row r="300" spans="1:6" ht="14.4" hidden="1" customHeight="1" outlineLevel="2" x14ac:dyDescent="0.3">
      <c r="A300" s="577"/>
      <c r="B300" s="579"/>
      <c r="C300" s="588"/>
      <c r="D300" s="589"/>
      <c r="E300" s="60"/>
      <c r="F300" s="11" t="str">
        <f t="shared" si="7"/>
        <v/>
      </c>
    </row>
    <row r="301" spans="1:6" ht="14.4" hidden="1" customHeight="1" outlineLevel="2" x14ac:dyDescent="0.3">
      <c r="A301" s="577"/>
      <c r="B301" s="579"/>
      <c r="C301" s="588"/>
      <c r="D301" s="589"/>
      <c r="E301" s="60"/>
      <c r="F301" s="11" t="str">
        <f t="shared" si="7"/>
        <v/>
      </c>
    </row>
    <row r="302" spans="1:6" ht="14.4" hidden="1" customHeight="1" outlineLevel="2" x14ac:dyDescent="0.3">
      <c r="A302" s="577"/>
      <c r="B302" s="579"/>
      <c r="C302" s="588"/>
      <c r="D302" s="589"/>
      <c r="E302" s="60"/>
      <c r="F302" s="11" t="str">
        <f t="shared" si="7"/>
        <v/>
      </c>
    </row>
    <row r="303" spans="1:6" ht="14.4" hidden="1" customHeight="1" outlineLevel="2" x14ac:dyDescent="0.3">
      <c r="A303" s="577"/>
      <c r="B303" s="579"/>
      <c r="C303" s="588"/>
      <c r="D303" s="589"/>
      <c r="E303" s="60"/>
      <c r="F303" s="11" t="str">
        <f t="shared" si="7"/>
        <v/>
      </c>
    </row>
    <row r="304" spans="1:6" ht="14.4" hidden="1" customHeight="1" outlineLevel="2" x14ac:dyDescent="0.3">
      <c r="A304" s="577"/>
      <c r="B304" s="579"/>
      <c r="C304" s="588"/>
      <c r="D304" s="589"/>
      <c r="E304" s="60"/>
      <c r="F304" s="11" t="str">
        <f t="shared" si="7"/>
        <v/>
      </c>
    </row>
    <row r="305" spans="1:6" ht="14.4" hidden="1" customHeight="1" outlineLevel="2" x14ac:dyDescent="0.3">
      <c r="A305" s="577"/>
      <c r="B305" s="579"/>
      <c r="C305" s="588"/>
      <c r="D305" s="589"/>
      <c r="E305" s="60"/>
      <c r="F305" s="11" t="str">
        <f t="shared" si="7"/>
        <v/>
      </c>
    </row>
    <row r="306" spans="1:6" ht="14.4" hidden="1" customHeight="1" outlineLevel="2" x14ac:dyDescent="0.3">
      <c r="A306" s="577"/>
      <c r="B306" s="579"/>
      <c r="C306" s="588"/>
      <c r="D306" s="589"/>
      <c r="E306" s="60"/>
      <c r="F306" s="11" t="str">
        <f t="shared" si="7"/>
        <v/>
      </c>
    </row>
    <row r="307" spans="1:6" ht="14.4" hidden="1" customHeight="1" outlineLevel="2" x14ac:dyDescent="0.3">
      <c r="A307" s="577"/>
      <c r="B307" s="579"/>
      <c r="C307" s="588"/>
      <c r="D307" s="589"/>
      <c r="E307" s="60"/>
      <c r="F307" s="11" t="str">
        <f t="shared" si="7"/>
        <v/>
      </c>
    </row>
    <row r="308" spans="1:6" ht="14.4" hidden="1" customHeight="1" outlineLevel="2" x14ac:dyDescent="0.3">
      <c r="A308" s="577"/>
      <c r="B308" s="579"/>
      <c r="C308" s="588"/>
      <c r="D308" s="589"/>
      <c r="E308" s="60"/>
      <c r="F308" s="11" t="str">
        <f t="shared" si="7"/>
        <v/>
      </c>
    </row>
    <row r="309" spans="1:6" ht="14.4" hidden="1" customHeight="1" outlineLevel="2" x14ac:dyDescent="0.3">
      <c r="A309" s="577"/>
      <c r="B309" s="579"/>
      <c r="C309" s="588"/>
      <c r="D309" s="589"/>
      <c r="E309" s="60"/>
      <c r="F309" s="11" t="str">
        <f t="shared" si="7"/>
        <v/>
      </c>
    </row>
    <row r="310" spans="1:6" ht="14.4" hidden="1" customHeight="1" outlineLevel="2" x14ac:dyDescent="0.3">
      <c r="A310" s="577"/>
      <c r="B310" s="579"/>
      <c r="C310" s="588"/>
      <c r="D310" s="589"/>
      <c r="E310" s="60"/>
      <c r="F310" s="11" t="str">
        <f t="shared" si="7"/>
        <v/>
      </c>
    </row>
    <row r="311" spans="1:6" ht="14.4" hidden="1" customHeight="1" outlineLevel="2" x14ac:dyDescent="0.3">
      <c r="A311" s="577"/>
      <c r="B311" s="579"/>
      <c r="C311" s="588"/>
      <c r="D311" s="589"/>
      <c r="E311" s="60"/>
      <c r="F311" s="11" t="str">
        <f t="shared" si="7"/>
        <v/>
      </c>
    </row>
    <row r="312" spans="1:6" ht="14.4" hidden="1" customHeight="1" outlineLevel="2" x14ac:dyDescent="0.3">
      <c r="A312" s="577"/>
      <c r="B312" s="579"/>
      <c r="C312" s="588"/>
      <c r="D312" s="589"/>
      <c r="E312" s="60"/>
      <c r="F312" s="11" t="str">
        <f t="shared" si="7"/>
        <v/>
      </c>
    </row>
    <row r="313" spans="1:6" ht="14.4" hidden="1" customHeight="1" outlineLevel="2" x14ac:dyDescent="0.3">
      <c r="A313" s="577"/>
      <c r="B313" s="579"/>
      <c r="C313" s="588"/>
      <c r="D313" s="589"/>
      <c r="E313" s="60"/>
      <c r="F313" s="11" t="str">
        <f t="shared" si="7"/>
        <v/>
      </c>
    </row>
    <row r="314" spans="1:6" ht="14.4" hidden="1" customHeight="1" outlineLevel="2" x14ac:dyDescent="0.3">
      <c r="A314" s="577"/>
      <c r="B314" s="579"/>
      <c r="C314" s="588"/>
      <c r="D314" s="589"/>
      <c r="E314" s="60"/>
      <c r="F314" s="11" t="str">
        <f t="shared" si="7"/>
        <v/>
      </c>
    </row>
    <row r="315" spans="1:6" ht="14.4" hidden="1" customHeight="1" outlineLevel="2" x14ac:dyDescent="0.3">
      <c r="A315" s="577"/>
      <c r="B315" s="579"/>
      <c r="C315" s="588"/>
      <c r="D315" s="589"/>
      <c r="E315" s="60"/>
      <c r="F315" s="11" t="str">
        <f t="shared" si="7"/>
        <v/>
      </c>
    </row>
    <row r="316" spans="1:6" ht="14.4" hidden="1" customHeight="1" outlineLevel="2" x14ac:dyDescent="0.3">
      <c r="A316" s="577"/>
      <c r="B316" s="579"/>
      <c r="C316" s="588"/>
      <c r="D316" s="589"/>
      <c r="E316" s="60"/>
      <c r="F316" s="11" t="str">
        <f t="shared" si="7"/>
        <v/>
      </c>
    </row>
    <row r="317" spans="1:6" ht="14.4" hidden="1" customHeight="1" outlineLevel="2" x14ac:dyDescent="0.3">
      <c r="A317" s="577"/>
      <c r="B317" s="579"/>
      <c r="C317" s="588"/>
      <c r="D317" s="589"/>
      <c r="E317" s="60"/>
      <c r="F317" s="11" t="str">
        <f t="shared" si="7"/>
        <v/>
      </c>
    </row>
    <row r="318" spans="1:6" ht="14.4" hidden="1" customHeight="1" outlineLevel="2" x14ac:dyDescent="0.3">
      <c r="A318" s="577"/>
      <c r="B318" s="579"/>
      <c r="C318" s="588"/>
      <c r="D318" s="589"/>
      <c r="E318" s="60"/>
      <c r="F318" s="11" t="str">
        <f t="shared" si="7"/>
        <v/>
      </c>
    </row>
    <row r="319" spans="1:6" ht="14.4" hidden="1" customHeight="1" outlineLevel="2" x14ac:dyDescent="0.3">
      <c r="A319" s="577"/>
      <c r="B319" s="579"/>
      <c r="C319" s="588"/>
      <c r="D319" s="589"/>
      <c r="E319" s="60"/>
      <c r="F319" s="11" t="str">
        <f t="shared" si="7"/>
        <v/>
      </c>
    </row>
    <row r="320" spans="1:6" ht="14.4" hidden="1" customHeight="1" outlineLevel="2" x14ac:dyDescent="0.3">
      <c r="A320" s="577"/>
      <c r="B320" s="579"/>
      <c r="C320" s="588"/>
      <c r="D320" s="589"/>
      <c r="E320" s="60"/>
      <c r="F320" s="11" t="str">
        <f t="shared" si="7"/>
        <v/>
      </c>
    </row>
    <row r="321" spans="1:7" ht="14.4" hidden="1" customHeight="1" outlineLevel="2" x14ac:dyDescent="0.3">
      <c r="A321" s="577"/>
      <c r="B321" s="579"/>
      <c r="C321" s="588"/>
      <c r="D321" s="589"/>
      <c r="E321" s="60"/>
      <c r="F321" s="11" t="str">
        <f t="shared" si="7"/>
        <v/>
      </c>
    </row>
    <row r="322" spans="1:7" ht="14.4" hidden="1" customHeight="1" outlineLevel="2" x14ac:dyDescent="0.3">
      <c r="A322" s="577"/>
      <c r="B322" s="579"/>
      <c r="C322" s="588"/>
      <c r="D322" s="589"/>
      <c r="E322" s="60"/>
      <c r="F322" s="11" t="str">
        <f t="shared" si="7"/>
        <v/>
      </c>
    </row>
    <row r="323" spans="1:7" ht="14.4" hidden="1" customHeight="1" outlineLevel="2" x14ac:dyDescent="0.3">
      <c r="A323" s="577"/>
      <c r="B323" s="579"/>
      <c r="C323" s="588"/>
      <c r="D323" s="589"/>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577"/>
      <c r="B324" s="579"/>
      <c r="C324" s="588"/>
      <c r="D324" s="589"/>
      <c r="E324" s="60"/>
      <c r="F324" s="11" t="str">
        <f t="shared" si="8"/>
        <v/>
      </c>
    </row>
    <row r="325" spans="1:7" ht="14.4" hidden="1" customHeight="1" outlineLevel="2" x14ac:dyDescent="0.3">
      <c r="A325" s="577"/>
      <c r="B325" s="579"/>
      <c r="C325" s="588"/>
      <c r="D325" s="589"/>
      <c r="E325" s="60"/>
      <c r="F325" s="11" t="str">
        <f t="shared" si="8"/>
        <v/>
      </c>
    </row>
    <row r="326" spans="1:7" ht="14.4" customHeight="1" collapsed="1" x14ac:dyDescent="0.3">
      <c r="A326" s="460" t="s">
        <v>3734</v>
      </c>
      <c r="B326" s="249" t="s">
        <v>1</v>
      </c>
      <c r="C326" s="580" t="str">
        <f>template_label_size_of_balance_sheet_in &amp; " " &amp; template_currency</f>
        <v xml:space="preserve">Size of balance sheet (total assets) in </v>
      </c>
      <c r="D326" s="581"/>
      <c r="E326" s="63"/>
      <c r="F326" s="11" t="str">
        <f>IF(AND(OR(E122 = "Option A (Basic Module only)", E122 = "Option B (Basic Module and Comprehensive Module)"), E326 = ""),
    template_label_missing_value,
    IF(E122 = "", "", template_label_ok))</f>
        <v/>
      </c>
    </row>
    <row r="327" spans="1:7" ht="14.4" customHeight="1" x14ac:dyDescent="0.3">
      <c r="A327" s="460" t="s">
        <v>3735</v>
      </c>
      <c r="B327" s="249" t="s">
        <v>1</v>
      </c>
      <c r="C327" s="580" t="str">
        <f>template_label_turnover_in &amp; " " &amp; template_currency</f>
        <v xml:space="preserve">Turnover in </v>
      </c>
      <c r="D327" s="581"/>
      <c r="E327" s="63"/>
      <c r="F327" s="11" t="str">
        <f>IF(AND(OR(E122 = "Option A (Basic Module only)", E122 = "Option B (Basic Module and Comprehensive Module)"), E327 = ""),
    template_label_missing_value,
    IF(E122 = "", "", template_label_ok))</f>
        <v/>
      </c>
    </row>
    <row r="328" spans="1:7" ht="14.4" customHeight="1" x14ac:dyDescent="0.3">
      <c r="A328" s="460" t="s">
        <v>3725</v>
      </c>
      <c r="B328" s="464" t="s">
        <v>5639</v>
      </c>
      <c r="C328" s="580" t="str">
        <f>+template_label_number_of_employees</f>
        <v>Number of employees</v>
      </c>
      <c r="D328" s="581"/>
      <c r="E328" s="64"/>
      <c r="F328" s="11" t="str">
        <f>IF(AND(OR(E122 = "Option A (Basic Module only)", E122 = "Option B (Basic Module and Comprehensive Module)"), E328 = ""),
    template_label_missing_value,
    IF(E122 = "", "", template_label_ok))</f>
        <v/>
      </c>
    </row>
    <row r="329" spans="1:7" ht="14.4" customHeight="1" x14ac:dyDescent="0.3">
      <c r="A329" s="460" t="s">
        <v>3725</v>
      </c>
      <c r="B329" s="464" t="s">
        <v>5639</v>
      </c>
      <c r="C329" s="584" t="str">
        <f>template_label_employee_counting_methodology_end_of_reporting_period_or_average_during_the_reporting_period</f>
        <v>Employee counting methodology (At the end of reporting period or as an average during the reporting period)</v>
      </c>
      <c r="D329" s="585"/>
      <c r="E329" s="64"/>
      <c r="F329" s="11" t="str">
        <f>IF(AND(OR(E122 = "Option A (Basic Module only)", E122 = "Option B (Basic Module and Comprehensive Module)"), E329 = ""),
    template_label_missing_value,
    IF(E122 = "", "", template_label_ok))</f>
        <v/>
      </c>
    </row>
    <row r="330" spans="1:7" ht="14.4" customHeight="1" x14ac:dyDescent="0.3">
      <c r="A330" s="460" t="s">
        <v>3725</v>
      </c>
      <c r="B330" s="464" t="s">
        <v>5639</v>
      </c>
      <c r="C330" s="580" t="str">
        <f>template_label_employee_counting_methodology_headcount_or_fulltime_equivalent</f>
        <v>Employee counting methodology (Headcount or Full-time equivalent)</v>
      </c>
      <c r="D330" s="581"/>
      <c r="E330" s="61"/>
      <c r="F330" s="11" t="str">
        <f>IF(AND(OR(E122 = "Option A (Basic Module only)", E122 = "Option B (Basic Module and Comprehensive Module)"), E330 = ""),
    template_label_missing_value,
    IF(E122 = "", "", template_label_ok))</f>
        <v/>
      </c>
    </row>
    <row r="331" spans="1:7" ht="14.4" customHeight="1" thickBot="1" x14ac:dyDescent="0.35">
      <c r="A331" s="460" t="s">
        <v>3736</v>
      </c>
      <c r="B331" s="482" t="s">
        <v>5640</v>
      </c>
      <c r="C331" s="582" t="str">
        <f>template_label_country_of_primary_operations_and_location_of_significant_asset</f>
        <v>Country of primary operations and location of significant asset(s)</v>
      </c>
      <c r="D331" s="583"/>
      <c r="E331" s="65"/>
      <c r="F331" s="11" t="str">
        <f>IF(AND(OR(E122 = "Option A (Basic Module only)", E122 = "Option B (Basic Module and Comprehensive Module)"), E331 = ""),
    template_label_missing_value,
    IF(E122 = "", "", template_label_ok))</f>
        <v/>
      </c>
    </row>
    <row r="332" spans="1:7" ht="15" thickBot="1" x14ac:dyDescent="0.35">
      <c r="A332" s="247"/>
      <c r="B332" s="483"/>
    </row>
    <row r="333" spans="1:7" ht="14.4" customHeight="1" x14ac:dyDescent="0.3">
      <c r="A333" s="88"/>
      <c r="B333" s="88"/>
      <c r="C333" s="602"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333" s="603"/>
      <c r="E333" s="604"/>
    </row>
    <row r="334" spans="1:7" ht="14.4" customHeight="1" x14ac:dyDescent="0.3">
      <c r="A334" s="88"/>
      <c r="B334" s="88"/>
      <c r="C334" s="532" t="s">
        <v>3737</v>
      </c>
      <c r="D334" s="533"/>
      <c r="E334" s="534"/>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6"/>
      <c r="E336" s="70"/>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641"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437" s="642"/>
      <c r="E437" s="642"/>
      <c r="F437" s="642"/>
      <c r="G437" s="642"/>
      <c r="H437" s="643"/>
    </row>
    <row r="438" spans="3:10" ht="14.4" customHeight="1" x14ac:dyDescent="0.3">
      <c r="C438" s="532">
        <v>25</v>
      </c>
      <c r="D438" s="533"/>
      <c r="E438" s="533"/>
      <c r="F438" s="533"/>
      <c r="G438" s="533"/>
      <c r="H438" s="534"/>
    </row>
    <row r="439" spans="3:10" ht="14.4" customHeight="1" x14ac:dyDescent="0.3">
      <c r="C439" s="644">
        <v>13</v>
      </c>
      <c r="D439" s="645"/>
      <c r="E439" s="645"/>
      <c r="F439" s="645"/>
      <c r="G439" s="645"/>
      <c r="H439" s="646"/>
    </row>
    <row r="440" spans="3:10" ht="14.4" customHeight="1" x14ac:dyDescent="0.3">
      <c r="C440" s="654" t="str">
        <f>template_label_has_the_undertaking_obtained_any_sustainability_related_certification_or_label</f>
        <v>Has the undertaking obtained any sustainability-related certification(s) or label(s) ?</v>
      </c>
      <c r="D440" s="655"/>
      <c r="E440" s="656" t="b">
        <v>0</v>
      </c>
      <c r="F440" s="657"/>
      <c r="G440" s="657"/>
      <c r="H440" s="658"/>
    </row>
    <row r="441" spans="3:10" ht="30" customHeight="1" thickBot="1" x14ac:dyDescent="0.35">
      <c r="C441" s="623" t="str">
        <f>template_label_description_of_sustainability_related_certification_or_label</f>
        <v>Description of sustainability-related certification(s) or label(s) including where relevant the issuers of the certification or label date and rating score</v>
      </c>
      <c r="D441" s="624"/>
      <c r="E441" s="541"/>
      <c r="F441" s="542"/>
      <c r="G441" s="542"/>
      <c r="H441" s="543"/>
      <c r="I441" s="16" t="str">
        <f>IF(AND(E440=TRUE,E441=""), template_label_missing_value,
IF(AND(E440=TRUE,E441&lt;&gt;""), template_label_ok, ""))</f>
        <v/>
      </c>
    </row>
    <row r="442" spans="3:10" ht="15" thickBot="1" x14ac:dyDescent="0.35"/>
    <row r="443" spans="3:10" x14ac:dyDescent="0.3">
      <c r="C443" s="602"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443" s="603"/>
      <c r="E443" s="603"/>
      <c r="F443" s="603"/>
      <c r="G443" s="603"/>
      <c r="H443" s="604"/>
    </row>
    <row r="444" spans="3:10" x14ac:dyDescent="0.3">
      <c r="C444" s="532" t="s">
        <v>3738</v>
      </c>
      <c r="D444" s="533"/>
      <c r="E444" s="533"/>
      <c r="F444" s="533"/>
      <c r="G444" s="533"/>
      <c r="H444" s="534"/>
    </row>
    <row r="445" spans="3:10" x14ac:dyDescent="0.3">
      <c r="C445" s="659" t="s">
        <v>5641</v>
      </c>
      <c r="D445" s="660"/>
      <c r="E445" s="660"/>
      <c r="F445" s="660"/>
      <c r="G445" s="660"/>
      <c r="H445" s="661"/>
    </row>
    <row r="446" spans="3:10" x14ac:dyDescent="0.3">
      <c r="C446" s="665" t="str">
        <f>template_label_id</f>
        <v>ID</v>
      </c>
      <c r="D446" s="538" t="str">
        <f>template_label_address</f>
        <v>Address</v>
      </c>
      <c r="E446" s="538" t="str">
        <f>template_label_postal_code</f>
        <v>Postal code</v>
      </c>
      <c r="F446" s="535" t="str">
        <f>template_label_city</f>
        <v>City</v>
      </c>
      <c r="G446" s="538" t="str">
        <f>template_label_country</f>
        <v>Country</v>
      </c>
      <c r="H446" s="216" t="str">
        <f>template_label_gps_coordinates</f>
        <v>GPS Coordinates (geolocation)</v>
      </c>
      <c r="I446" s="95"/>
    </row>
    <row r="447" spans="3:10" ht="78" customHeight="1" x14ac:dyDescent="0.3">
      <c r="C447" s="666"/>
      <c r="D447" s="539"/>
      <c r="E447" s="539"/>
      <c r="F447" s="536"/>
      <c r="G447" s="539"/>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66"/>
      <c r="D448" s="539"/>
      <c r="E448" s="539"/>
      <c r="F448" s="536"/>
      <c r="G448" s="539"/>
      <c r="H448" s="438" t="s">
        <v>4362</v>
      </c>
      <c r="I448" s="437"/>
      <c r="J448" s="2"/>
    </row>
    <row r="449" spans="3:13" x14ac:dyDescent="0.3">
      <c r="C449" s="667"/>
      <c r="D449" s="540"/>
      <c r="E449" s="540"/>
      <c r="F449" s="537"/>
      <c r="G449" s="540"/>
      <c r="H449" s="380" t="b">
        <v>0</v>
      </c>
      <c r="I449" s="95"/>
      <c r="J449" s="342"/>
    </row>
    <row r="450" spans="3:13" x14ac:dyDescent="0.3">
      <c r="C450" s="231">
        <v>1</v>
      </c>
      <c r="D450" s="72"/>
      <c r="E450" s="73"/>
      <c r="F450" s="74"/>
      <c r="G450" s="72"/>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
      </c>
      <c r="J450" s="215" t="str">
        <f>IF(AND(D450&lt;&gt;"", E450&lt;&gt;"", F450&lt;&gt;"", G450&lt;&gt;""),
    IFERROR(HYPERLINK("https://www.openstreetmap.org/search?lat=" &amp; 'Technical Sheet'!E2 &amp; "&amp;lon=" &amp; 'Technical Sheet'!F2, "OpenStreetMap Link"),
    ""),
"")</f>
        <v/>
      </c>
      <c r="K450" s="96" t="str">
        <f t="shared" ref="K450:K549" si="10">LOWER(SUBSTITUTE(D450," ","+" )) &amp; "+" &amp; LOWER(SUBSTITUTE(E450," ","+" )) &amp; "+" &amp; LOWER(SUBSTITUTE(F450," ","+" )) &amp; "+" &amp; LOWER(SUBSTITUTE(G450," ","+" )) &amp; "+"</f>
        <v>++++</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87"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544"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51" s="545"/>
      <c r="E551" s="545"/>
      <c r="F551" s="545"/>
      <c r="G551" s="545"/>
      <c r="H551" s="545"/>
      <c r="I551" s="545"/>
      <c r="J551" s="545"/>
      <c r="K551" s="545"/>
      <c r="L551" s="545"/>
      <c r="M551" s="545"/>
      <c r="N551" s="545"/>
      <c r="O551" s="546"/>
    </row>
    <row r="552" spans="2:17" s="10" customFormat="1" x14ac:dyDescent="0.3">
      <c r="C552" s="532" t="s">
        <v>3739</v>
      </c>
      <c r="D552" s="533"/>
      <c r="E552" s="533"/>
      <c r="F552" s="533"/>
      <c r="G552" s="533"/>
      <c r="H552" s="533"/>
      <c r="I552" s="533"/>
      <c r="J552" s="533"/>
      <c r="K552" s="533"/>
      <c r="L552" s="533"/>
      <c r="M552" s="533"/>
      <c r="N552" s="533"/>
      <c r="O552" s="534"/>
      <c r="P552"/>
      <c r="Q552"/>
    </row>
    <row r="553" spans="2:17" x14ac:dyDescent="0.3">
      <c r="C553" s="647" t="s">
        <v>5642</v>
      </c>
      <c r="D553" s="648"/>
      <c r="E553" s="648"/>
      <c r="F553" s="648"/>
      <c r="G553" s="648"/>
      <c r="H553" s="648"/>
      <c r="I553" s="648"/>
      <c r="J553" s="648"/>
      <c r="K553" s="648"/>
      <c r="L553" s="648"/>
      <c r="M553" s="648"/>
      <c r="N553" s="648"/>
      <c r="O553" s="649"/>
    </row>
    <row r="554" spans="2:17" x14ac:dyDescent="0.3">
      <c r="C554" s="652" t="str">
        <f>template_label_has_the_undertaking_put_in_place_specific_practices_policies_and_or_future</f>
        <v>Has the undertaking put in place specific practices policies and or future initiatives for transitioning towards a more sustainable economy?</v>
      </c>
      <c r="D554" s="662" t="str">
        <f>template_label_sustainability_issues_addressed_by_a_practice_policy_and_or_future_initiatives_put_in_place</f>
        <v>Sustainability issues addressed by a practice policy and or future initiatives that the undertaking has put in place</v>
      </c>
      <c r="E554" s="662"/>
      <c r="F554" s="662"/>
      <c r="G554" s="662"/>
      <c r="H554" s="662"/>
      <c r="I554" s="662"/>
      <c r="J554" s="662"/>
      <c r="K554" s="662"/>
      <c r="L554" s="662"/>
      <c r="M554" s="662"/>
      <c r="N554" s="535" t="str">
        <f>template_label_undertaking_has_a_practice_policy_and_or_future_initiative_that_is_publicly_available</f>
        <v>Undertaking has a practice policy and or future initiative that is publicly available</v>
      </c>
      <c r="O554" s="663" t="str">
        <f>template_label_undertaking_has_set_a_target_which_is_related_to_a_policy</f>
        <v>Undertaking has set a target which is related to a policy</v>
      </c>
    </row>
    <row r="555" spans="2:17" ht="41.4" customHeight="1" x14ac:dyDescent="0.3">
      <c r="C555" s="653"/>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37"/>
      <c r="O555" s="664"/>
    </row>
    <row r="556" spans="2:17" ht="15" thickBot="1" x14ac:dyDescent="0.35">
      <c r="C556" s="206" t="b">
        <v>0</v>
      </c>
      <c r="D556" s="205" t="b">
        <v>0</v>
      </c>
      <c r="E556" s="203" t="b">
        <v>0</v>
      </c>
      <c r="F556" s="203" t="b">
        <v>0</v>
      </c>
      <c r="G556" s="203" t="b">
        <v>0</v>
      </c>
      <c r="H556" s="203" t="b">
        <v>0</v>
      </c>
      <c r="I556" s="203" t="b">
        <v>0</v>
      </c>
      <c r="J556" s="203" t="b">
        <v>0</v>
      </c>
      <c r="K556" s="203" t="b">
        <v>0</v>
      </c>
      <c r="L556" s="203" t="b">
        <v>0</v>
      </c>
      <c r="M556" s="203" t="b">
        <v>0</v>
      </c>
      <c r="N556" s="203" t="b">
        <v>0</v>
      </c>
      <c r="O556" s="204" t="b">
        <v>0</v>
      </c>
      <c r="P556" s="16" t="str">
        <f>IF(C556=TRUE, IF(COUNTIF(D556:M556, TRUE)&gt;0, template_label_ok, template_label_missing_value), "")</f>
        <v/>
      </c>
    </row>
    <row r="557" spans="2:17" ht="57.45" customHeight="1" thickBot="1" x14ac:dyDescent="0.35">
      <c r="F557"/>
    </row>
    <row r="558" spans="2:17" x14ac:dyDescent="0.3">
      <c r="C558" s="639"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58" s="640"/>
      <c r="F558"/>
    </row>
    <row r="559" spans="2:17" x14ac:dyDescent="0.3">
      <c r="C559" s="650">
        <v>15</v>
      </c>
      <c r="D559" s="651"/>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617"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64" s="618"/>
      <c r="E564" s="618"/>
      <c r="F564" s="618"/>
      <c r="G564" s="619"/>
    </row>
    <row r="565" spans="1:8" ht="37.950000000000003" customHeight="1" x14ac:dyDescent="0.3">
      <c r="A565" s="462">
        <v>48</v>
      </c>
      <c r="B565" s="465">
        <v>149</v>
      </c>
      <c r="C565" s="628"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629"/>
      <c r="E565" s="672"/>
      <c r="F565" s="673"/>
      <c r="G565" s="674"/>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spans="1:8" x14ac:dyDescent="0.3">
      <c r="A566" s="250" t="s">
        <v>1</v>
      </c>
      <c r="B566" s="465">
        <v>149</v>
      </c>
      <c r="C566" s="584" t="str">
        <f>template_label_description_of_target_related_to_a_policy</f>
        <v>Description of target related to a policy</v>
      </c>
      <c r="D566" s="585"/>
      <c r="E566" s="672"/>
      <c r="F566" s="673"/>
      <c r="G566" s="674"/>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68" t="str">
        <f>template_label_most_senior_level_accountable_for_implementing_practices_policies_and_or_future_initiatives</f>
        <v>Most senior level within its employees that is accountable for implementing the policies when this has been determined by the undertaking</v>
      </c>
      <c r="D567" s="569"/>
      <c r="E567" s="675"/>
      <c r="F567" s="676"/>
      <c r="G567" s="677"/>
      <c r="H567" s="16" t="str">
        <f>IF(AND(BasisForPreparation="Option B (Basic Module and Comprehensive Module)", C556=TRUE, MostSeniorLevelAccountableForImplementationOfPolicies=""), template_label_missing_value,
IF(AND(BasisForPreparation="Option B (Basic Module and Comprehensive Module)", C556=TRUE, MostSeniorLevelAccountableForImplementationOfPolicies&lt;&gt;""), template_label_ok,
IF(AND(BasisForPreparation="Option A (Basic Module only)", E567&lt;&gt;""), template_label_ok, "")))</f>
        <v/>
      </c>
    </row>
    <row r="568" spans="1:8" ht="14.7" customHeight="1" x14ac:dyDescent="0.3">
      <c r="F568"/>
    </row>
    <row r="569" spans="1:8" ht="14.7" customHeight="1" thickBot="1" x14ac:dyDescent="0.35">
      <c r="F569"/>
    </row>
    <row r="570" spans="1:8" ht="14.85" customHeight="1" x14ac:dyDescent="0.3">
      <c r="C570" s="617"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 to - [Always to be reported]</v>
      </c>
      <c r="D570" s="618"/>
      <c r="E570" s="618"/>
      <c r="F570" s="618"/>
      <c r="G570" s="619"/>
    </row>
    <row r="571" spans="1:8" x14ac:dyDescent="0.3">
      <c r="A571" s="460" t="s">
        <v>3740</v>
      </c>
      <c r="B571" s="249" t="s">
        <v>1</v>
      </c>
      <c r="C571" s="572" t="str">
        <f>template_label_description_of_significant_groups_of_products_and_or_services_offered</f>
        <v>Description of significant groups of products and or services offered</v>
      </c>
      <c r="D571" s="573"/>
      <c r="E571" s="559"/>
      <c r="F571" s="560"/>
      <c r="G571" s="561"/>
      <c r="H571" s="16" t="str">
        <f>IF(AND($E$122="Option B (Basic Module and Comprehensive Module)", E571=""), template_label_missing_value,
   IF(AND($E$122="Option A (Basic Module only)", E571&lt;&gt;""), template_label_ok,
   IF(AND($E$122="Option B (Basic Module and Comprehensive Module)", E571&lt;&gt;""), template_label_ok, "")))</f>
        <v/>
      </c>
    </row>
    <row r="572" spans="1:8" x14ac:dyDescent="0.3">
      <c r="A572" s="460" t="s">
        <v>3741</v>
      </c>
      <c r="B572" s="249" t="s">
        <v>1</v>
      </c>
      <c r="C572" s="574" t="str">
        <f>template_label_description_of_significant_market_the_undertaking_operates_in</f>
        <v>Description of significant market(s) the undertaking operates in (e.g. B2B, wholesale, retail, countries)</v>
      </c>
      <c r="D572" s="575"/>
      <c r="E572" s="562"/>
      <c r="F572" s="562"/>
      <c r="G572" s="563"/>
      <c r="H572" s="16" t="str">
        <f>IF(AND($E$122="Option B (Basic Module and Comprehensive Module)", E572=""), template_label_missing_value,
   IF(AND($E$122="Option A (Basic Module only)", E572&lt;&gt;""), template_label_ok,
   IF(AND($E$122="Option B (Basic Module and Comprehensive Module)", E572&lt;&gt;""), template_label_ok, "")))</f>
        <v/>
      </c>
    </row>
    <row r="573" spans="1:8" ht="15" thickBot="1" x14ac:dyDescent="0.35">
      <c r="A573" s="460" t="s">
        <v>3742</v>
      </c>
      <c r="B573" s="463">
        <v>148</v>
      </c>
      <c r="C573" s="570" t="str">
        <f>template_label_description_of_main_business_relationships</f>
        <v>Description of main business relationships (such as key suppliers, customers, distribution channels)</v>
      </c>
      <c r="D573" s="571"/>
      <c r="E573" s="564"/>
      <c r="F573" s="564"/>
      <c r="G573" s="565"/>
      <c r="H573" s="16" t="str">
        <f>IF(AND($E$122="Option B (Basic Module and Comprehensive Module)", E573=""), template_label_missing_value,
   IF(AND($E$122="Option A (Basic Module only)", E573&lt;&gt;""), template_label_ok,
   IF(AND($E$122="Option B (Basic Module and Comprehensive Module)", E573&lt;&gt;""), template_label_ok, "")))</f>
        <v/>
      </c>
    </row>
    <row r="574" spans="1:8" ht="27" customHeight="1" thickBot="1" x14ac:dyDescent="0.35">
      <c r="F574"/>
    </row>
    <row r="575" spans="1:8" ht="14.4" customHeight="1" x14ac:dyDescent="0.3">
      <c r="C575" s="617"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 to - [If applicable]</v>
      </c>
      <c r="D575" s="618"/>
      <c r="E575" s="618"/>
      <c r="F575" s="618"/>
      <c r="G575" s="619"/>
    </row>
    <row r="576" spans="1:8" x14ac:dyDescent="0.3">
      <c r="C576" s="668" t="str">
        <f>template_label_has_the_strategy_key_elements_that_relate_to_or_affect_sustainability_issues</f>
        <v>Has the strategy key elements that relate to or affect sustainability issues?</v>
      </c>
      <c r="D576" s="669"/>
      <c r="E576" s="670" t="b">
        <v>0</v>
      </c>
      <c r="F576" s="670"/>
      <c r="G576" s="671"/>
    </row>
    <row r="577" spans="1:15" ht="15" thickBot="1" x14ac:dyDescent="0.35">
      <c r="A577" s="460" t="s">
        <v>3743</v>
      </c>
      <c r="B577" s="249" t="s">
        <v>1</v>
      </c>
      <c r="C577" s="568" t="str">
        <f>template_label_description_of_those_key_elements_in_the_strategy_that_relate_or_affect_sustainability_issues</f>
        <v>Description of those key elements in the strategy that relate or affect sustainability issues</v>
      </c>
      <c r="D577" s="569"/>
      <c r="E577" s="566"/>
      <c r="F577" s="566"/>
      <c r="G577" s="567"/>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spans="1:15" ht="15" thickBot="1" x14ac:dyDescent="0.35"/>
    <row r="579" spans="1:15" ht="14.85" customHeight="1" x14ac:dyDescent="0.3">
      <c r="C579" s="556"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 to - [May (optional)]</v>
      </c>
      <c r="D579" s="557"/>
      <c r="E579" s="557"/>
      <c r="F579" s="557"/>
      <c r="G579" s="557"/>
      <c r="H579" s="558"/>
      <c r="I579" s="10"/>
      <c r="J579" s="10"/>
      <c r="K579" s="10"/>
      <c r="L579" s="10"/>
      <c r="M579" s="10"/>
      <c r="N579" s="10"/>
      <c r="O579" s="10"/>
    </row>
    <row r="580" spans="1:15" ht="14.85" customHeight="1" x14ac:dyDescent="0.3">
      <c r="B580" s="251"/>
      <c r="C580" s="554">
        <v>10</v>
      </c>
      <c r="D580" s="554"/>
      <c r="E580" s="554"/>
      <c r="F580" s="554"/>
      <c r="G580" s="554"/>
      <c r="H580" s="555"/>
      <c r="I580" s="10"/>
      <c r="J580" s="10"/>
      <c r="K580" s="10"/>
      <c r="L580" s="10"/>
      <c r="M580" s="10"/>
      <c r="N580" s="10"/>
      <c r="O580" s="10"/>
    </row>
    <row r="581" spans="1:15" ht="15" thickBot="1" x14ac:dyDescent="0.35">
      <c r="C581" s="550"/>
      <c r="D581" s="551"/>
      <c r="E581" s="551"/>
      <c r="F581" s="551"/>
      <c r="G581" s="551"/>
      <c r="H581" s="551"/>
      <c r="I581" s="87" t="str">
        <f>IF(C581&lt;&gt;"", template_label_ok, "")</f>
        <v/>
      </c>
    </row>
  </sheetData>
  <sheetProtection algorithmName="SHA-512" hashValue="6U87lOuPTnkDXY1aXO10OgdEcg4crc58CNxAuhyiyEDui8V3+NP2PCG1LyqkDd1sFk34F3cI/WDn76UHWWiBIQ==" saltValue="ZXGJPKV7bWYKNccCDIZbgw==" spinCount="100000" sheet="1"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A226:A325"/>
    <mergeCell ref="B226:B325"/>
    <mergeCell ref="C330:D330"/>
    <mergeCell ref="C331:D331"/>
    <mergeCell ref="C326:D326"/>
    <mergeCell ref="C329:D329"/>
    <mergeCell ref="C226:D325"/>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G10:K12"/>
    <mergeCell ref="C552:O552"/>
    <mergeCell ref="F446:F449"/>
    <mergeCell ref="E446:E449"/>
    <mergeCell ref="D446:D449"/>
    <mergeCell ref="C334:E334"/>
    <mergeCell ref="E441:H441"/>
    <mergeCell ref="C551:O551"/>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6">
      <formula>$F3=template_label_ok</formula>
    </cfRule>
    <cfRule type="expression" dxfId="304" priority="147">
      <formula>$F3=template_label_missing_value</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4">
      <formula>$F13="MISSING VALUE"</formula>
    </cfRule>
    <cfRule type="expression" dxfId="294" priority="65">
      <formula>$F13="OK"</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8">
      <formula>$F122=template_label_missing_value</formula>
    </cfRule>
    <cfRule type="expression" dxfId="287" priority="69">
      <formula>$F122=template_label_ok</formula>
    </cfRule>
  </conditionalFormatting>
  <conditionalFormatting sqref="F123">
    <cfRule type="expression" dxfId="286" priority="5">
      <formula>$F$123=template_label_value_inconsistency</formula>
    </cfRule>
    <cfRule type="expression" dxfId="285" priority="118">
      <formula>$F$123=template_label_missing_value</formula>
    </cfRule>
    <cfRule type="expression" dxfId="284" priority="119">
      <formula>$F$123=template_label_ok</formula>
    </cfRule>
  </conditionalFormatting>
  <conditionalFormatting sqref="F124:F222">
    <cfRule type="expression" dxfId="283" priority="6">
      <formula>$F124="VALUE INCONSISTENCY"</formula>
    </cfRule>
    <cfRule type="expression" dxfId="282" priority="73">
      <formula>$F124="MISSING VALUE"</formula>
    </cfRule>
    <cfRule type="expression" dxfId="281" priority="74">
      <formula>$F124="OK"</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6">
      <formula>$F$224=template_label_missing_value</formula>
    </cfRule>
    <cfRule type="expression" dxfId="277" priority="127">
      <formula>$F$224=template_label_ok</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8">
      <formula>$F$226=template_label_ok</formula>
    </cfRule>
    <cfRule type="expression" dxfId="271" priority="149">
      <formula>$F$226=template_label_missing_value</formula>
    </cfRule>
  </conditionalFormatting>
  <conditionalFormatting sqref="F227:F325">
    <cfRule type="expression" dxfId="270" priority="3">
      <formula>$F227=template_label_value_inconsistency</formula>
    </cfRule>
    <cfRule type="expression" dxfId="269" priority="38">
      <formula>$F227=template_label_missing_value</formula>
    </cfRule>
    <cfRule type="expression" dxfId="268" priority="39">
      <formula>$F227=template_label_ok</formula>
    </cfRule>
    <cfRule type="expression" dxfId="267" priority="40">
      <formula>$F227=template_label_error</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4">
      <formula>$H565=template_label_missing_value</formula>
    </cfRule>
    <cfRule type="expression" dxfId="257" priority="15">
      <formula>$H565=template_label_ok</formula>
    </cfRule>
  </conditionalFormatting>
  <conditionalFormatting sqref="H571:H573 H577">
    <cfRule type="expression" dxfId="256" priority="100">
      <formula>$H571=template_label_ok</formula>
    </cfRule>
    <cfRule type="expression" dxfId="255" priority="101">
      <formula>$H571=template_label_missing_value</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1">
      <formula>$I450=template_label_ok</formula>
    </cfRule>
    <cfRule type="expression" dxfId="251" priority="92">
      <formula>$I450=template_label_missing_value</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641"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642"/>
      <c r="E2" s="642"/>
      <c r="F2" s="642"/>
      <c r="G2" s="642"/>
      <c r="H2" s="642"/>
      <c r="I2" s="642"/>
      <c r="J2" s="642"/>
      <c r="K2" s="643"/>
    </row>
    <row r="3" spans="1:13" x14ac:dyDescent="0.3">
      <c r="C3" s="532">
        <v>29</v>
      </c>
      <c r="D3" s="533"/>
      <c r="E3" s="533"/>
      <c r="F3" s="533"/>
      <c r="G3" s="533"/>
      <c r="H3" s="533"/>
      <c r="I3" s="533"/>
      <c r="J3" s="533"/>
      <c r="K3" s="534"/>
    </row>
    <row r="4" spans="1:13" x14ac:dyDescent="0.3">
      <c r="C4" s="737" t="s">
        <v>5643</v>
      </c>
      <c r="D4" s="738"/>
      <c r="E4" s="738"/>
      <c r="F4" s="738"/>
      <c r="G4" s="738"/>
      <c r="H4" s="738"/>
      <c r="I4" s="738"/>
      <c r="J4" s="738"/>
      <c r="K4" s="739"/>
    </row>
    <row r="5" spans="1:13" ht="15" thickBot="1" x14ac:dyDescent="0.35">
      <c r="C5" s="758" t="str">
        <f>template_label_total_energy_consumption</f>
        <v>Total Energy Consumption</v>
      </c>
      <c r="D5" s="759"/>
      <c r="E5" s="759"/>
      <c r="F5" s="760"/>
      <c r="G5" s="777"/>
      <c r="H5" s="778"/>
      <c r="I5" s="778"/>
      <c r="J5" s="778"/>
      <c r="K5" s="779"/>
      <c r="L5" s="16" t="str">
        <f>IF(AND(OR('General Information'!E122="Option A (Basic Module only)", 'General Information'!E122="Option B (Basic Module and Comprehensive Module)"), G5=""), template_label_missing_value, IF('General Information'!E122="", "", template_label_ok))</f>
        <v/>
      </c>
    </row>
    <row r="6" spans="1:13" ht="15" thickBot="1" x14ac:dyDescent="0.35"/>
    <row r="7" spans="1:13" x14ac:dyDescent="0.3">
      <c r="C7" s="641"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642"/>
      <c r="E7" s="642"/>
      <c r="F7" s="642"/>
      <c r="G7" s="642"/>
      <c r="H7" s="642"/>
      <c r="I7" s="642"/>
      <c r="J7" s="642"/>
      <c r="K7" s="643"/>
    </row>
    <row r="8" spans="1:13" x14ac:dyDescent="0.3">
      <c r="C8" s="532">
        <v>29</v>
      </c>
      <c r="D8" s="533"/>
      <c r="E8" s="533"/>
      <c r="F8" s="533"/>
      <c r="G8" s="533"/>
      <c r="H8" s="533"/>
      <c r="I8" s="533"/>
      <c r="J8" s="533"/>
      <c r="K8" s="534"/>
    </row>
    <row r="9" spans="1:13" x14ac:dyDescent="0.3">
      <c r="C9" s="737" t="s">
        <v>5643</v>
      </c>
      <c r="D9" s="738"/>
      <c r="E9" s="738"/>
      <c r="F9" s="738"/>
      <c r="G9" s="738"/>
      <c r="H9" s="738"/>
      <c r="I9" s="738"/>
      <c r="J9" s="738"/>
      <c r="K9" s="739"/>
    </row>
    <row r="10" spans="1:13" x14ac:dyDescent="0.3">
      <c r="C10" s="717" t="str">
        <f>template_label_has_the_undertaking_obtained_the_necessary_information_to_provide_an_energy_consumption_breakdown</f>
        <v>Has the undertaking obtained the necessary information to provide an energy consumption breakdown?</v>
      </c>
      <c r="D10" s="718"/>
      <c r="E10" s="718"/>
      <c r="F10" s="718"/>
      <c r="G10" s="670" t="b">
        <v>0</v>
      </c>
      <c r="H10" s="670"/>
      <c r="I10" s="670"/>
      <c r="J10" s="670"/>
      <c r="K10" s="671"/>
    </row>
    <row r="11" spans="1:13" ht="38.700000000000003" customHeight="1" x14ac:dyDescent="0.3">
      <c r="C11" s="783"/>
      <c r="D11" s="784"/>
      <c r="E11" s="784"/>
      <c r="F11" s="784"/>
      <c r="G11" s="773" t="str">
        <f>template_label_renewable</f>
        <v>Renewable</v>
      </c>
      <c r="H11" s="774"/>
      <c r="I11" s="774"/>
      <c r="J11" s="102" t="str">
        <f>template_label_non_renewable</f>
        <v>Non-renewable</v>
      </c>
      <c r="K11" s="103" t="str">
        <f>template_label_total_renewable_and_nonrenewable</f>
        <v>Total renewable and non-renewable</v>
      </c>
      <c r="L11" s="16"/>
    </row>
    <row r="12" spans="1:13" x14ac:dyDescent="0.3">
      <c r="C12" s="761" t="str">
        <f>template_label_electricity</f>
        <v>Electricity (as reflected in utility billings)</v>
      </c>
      <c r="D12" s="762"/>
      <c r="E12" s="762"/>
      <c r="F12" s="763"/>
      <c r="G12" s="767"/>
      <c r="H12" s="768"/>
      <c r="I12" s="769"/>
      <c r="J12" s="260"/>
      <c r="K12" s="297" t="str">
        <f>IF(AND(G12="",J12=""),"-",SUM(G12:J12))</f>
        <v>-</v>
      </c>
      <c r="L12" s="696" t="str" cm="1">
        <f t="array" ref="L12">IF(G10=TRUE,
    IF(SUMPRODUCT(--(G12:J14&lt;&gt;"-"), --(G12:J14&lt;&gt;""))&gt;0,
        IF(SUM(G12:J14) &gt; TotalEnergyConsumption, template_label_value_inconsistency, template_label_ok),
        template_label_missing_value),
"")</f>
        <v/>
      </c>
    </row>
    <row r="13" spans="1:13" x14ac:dyDescent="0.3">
      <c r="C13" s="764" t="str">
        <f>template_label_selfgenerated_electricity</f>
        <v>Self-generated electricity</v>
      </c>
      <c r="D13" s="765"/>
      <c r="E13" s="765"/>
      <c r="F13" s="766"/>
      <c r="G13" s="767"/>
      <c r="H13" s="768"/>
      <c r="I13" s="769"/>
      <c r="J13" s="260"/>
      <c r="K13" s="297" t="str">
        <f>IF(AND(G13="",J13=""),"-",SUM(G13:J13))</f>
        <v>-</v>
      </c>
      <c r="L13" s="696"/>
    </row>
    <row r="14" spans="1:13" ht="15" thickBot="1" x14ac:dyDescent="0.35">
      <c r="C14" s="785" t="str">
        <f>template_label_fuels</f>
        <v>Fuels (see Fuel Converter on Fuels worksheet)</v>
      </c>
      <c r="D14" s="786"/>
      <c r="E14" s="786"/>
      <c r="F14" s="787"/>
      <c r="G14" s="770" t="str">
        <f>IF('Fuel Converter'!D23=TRUE, 'Fuel Converter'!A32, "-")</f>
        <v>-</v>
      </c>
      <c r="H14" s="771"/>
      <c r="I14" s="772"/>
      <c r="J14" s="261" t="str">
        <f>IF('Fuel Converter'!D23=TRUE, 'Fuel Converter'!B32, "-")</f>
        <v>-</v>
      </c>
      <c r="K14" s="298" t="str">
        <f>IF(AND(G14="-",J14="-"),"-",SUM(G14:J14))</f>
        <v>-</v>
      </c>
      <c r="L14" s="696"/>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47" t="str">
        <f>template_label_b3_estimated_greenhouse_gas_emissions&amp; " "&amp;template_label_always_to_be_reported</f>
        <v>B3 - Estimated Greenhouse Gas Emissions considering the GHG Protocol Version 2004 (in tCO2e) [Always to be reported]</v>
      </c>
      <c r="D16" s="748"/>
      <c r="E16" s="748"/>
      <c r="F16" s="749"/>
      <c r="G16" s="755" t="str">
        <f>template_label_c3_ghg_reduction_targets&amp;" "&amp;template_label_if_applicable</f>
        <v>C3 - GHG reduction targets (in tC02e) [If applicable]</v>
      </c>
      <c r="H16" s="756"/>
      <c r="I16" s="756"/>
      <c r="J16" s="756"/>
      <c r="K16" s="757"/>
    </row>
    <row r="17" spans="1:21" x14ac:dyDescent="0.3">
      <c r="C17" s="750">
        <v>30</v>
      </c>
      <c r="D17" s="751"/>
      <c r="E17" s="751"/>
      <c r="F17" s="752"/>
      <c r="G17" s="750" t="s">
        <v>3744</v>
      </c>
      <c r="H17" s="751"/>
      <c r="I17" s="751"/>
      <c r="J17" s="466" t="s">
        <v>3745</v>
      </c>
      <c r="K17" s="467" t="s">
        <v>3746</v>
      </c>
    </row>
    <row r="18" spans="1:21" ht="15" thickBot="1" x14ac:dyDescent="0.35">
      <c r="C18" s="252" t="s">
        <v>1</v>
      </c>
      <c r="D18" s="576" t="s">
        <v>5644</v>
      </c>
      <c r="E18" s="576"/>
      <c r="F18" s="700"/>
      <c r="G18" s="775" t="s">
        <v>5645</v>
      </c>
      <c r="H18" s="776"/>
      <c r="I18" s="776"/>
      <c r="J18" s="460" t="s">
        <v>5645</v>
      </c>
      <c r="K18" s="469" t="s">
        <v>5645</v>
      </c>
    </row>
    <row r="19" spans="1:21" ht="30" customHeight="1" x14ac:dyDescent="0.3">
      <c r="C19" s="788"/>
      <c r="D19" s="789"/>
      <c r="E19" s="789"/>
      <c r="F19" s="790"/>
      <c r="G19" s="716" t="str">
        <f>template_label_has_the_undertaking_has_established_ghg_emission_reduction_targets</f>
        <v>Has  the undertaking has established GHG emission reduction targets?</v>
      </c>
      <c r="H19" s="716"/>
      <c r="I19" s="716"/>
      <c r="J19" s="174" t="b">
        <v>0</v>
      </c>
      <c r="K19" s="105"/>
    </row>
    <row r="20" spans="1:21" ht="28.8" x14ac:dyDescent="0.3">
      <c r="C20" s="106"/>
      <c r="D20" s="794" t="str">
        <f>template_label_current_reporting_period</f>
        <v>Current Reporting Period</v>
      </c>
      <c r="E20" s="794"/>
      <c r="F20" s="795"/>
      <c r="G20" s="823" t="str">
        <f>template_label_base_year</f>
        <v>Base Year</v>
      </c>
      <c r="H20" s="794"/>
      <c r="I20" s="794"/>
      <c r="J20" s="6" t="str">
        <f>template_label_target_year</f>
        <v>Target Year</v>
      </c>
      <c r="K20" s="53" t="str">
        <f>template_label_percentage_reduction_from_base_year</f>
        <v>Percentage reduction from base year</v>
      </c>
    </row>
    <row r="21" spans="1:21" x14ac:dyDescent="0.3">
      <c r="A21" s="693" t="str">
        <f>template_label_GHG_calculator</f>
        <v>ℹ️ Check EFRAG website for a non-exhaustive list of GHG calculators.</v>
      </c>
      <c r="B21" s="694"/>
      <c r="C21" s="55" t="str">
        <f>template_label_year_date</f>
        <v>Year (date)</v>
      </c>
      <c r="D21" s="796" t="str">
        <f>IF('General Information'!$D$9="", "-", 'General Information'!$D$9) &amp; "  -  " &amp; IF('General Information'!$D$13="", "-", 'General Information'!$D$13)</f>
        <v>-  -  -</v>
      </c>
      <c r="E21" s="796"/>
      <c r="F21" s="797"/>
      <c r="G21" s="824"/>
      <c r="H21" s="825"/>
      <c r="I21" s="825"/>
      <c r="J21" s="144"/>
      <c r="K21" s="108"/>
      <c r="L21" s="16" t="str">
        <f>IF(AND(J19=TRUE, G21&lt;&gt;"", J21&lt;&gt;""), template_label_ok,
IF(AND(J19=TRUE, G21="", J21=""), template_label_missing_value,
IF(AND(J19=FALSE, G21="", J21=""), "",
IF(AND(J19=TRUE, OR(G21="", J21="")), template_label_missing_value, ""))))</f>
        <v/>
      </c>
    </row>
    <row r="22" spans="1:21" x14ac:dyDescent="0.3">
      <c r="A22" s="693"/>
      <c r="B22" s="694"/>
      <c r="C22" s="4" t="str">
        <f>template_label_gross_scope_1_ghg_emissions</f>
        <v>Gross Scope 1 GHG Emissions</v>
      </c>
      <c r="D22" s="753"/>
      <c r="E22" s="753"/>
      <c r="F22" s="754"/>
      <c r="G22" s="769"/>
      <c r="H22" s="826"/>
      <c r="I22" s="826"/>
      <c r="J22" s="260"/>
      <c r="K22" s="109" t="str">
        <f>IF(AND(G22="", J22=""), "-", IFERROR(-(1 - (J22 / G22)), "-"))</f>
        <v>-</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
      </c>
    </row>
    <row r="23" spans="1:21" x14ac:dyDescent="0.3">
      <c r="A23" s="693"/>
      <c r="B23" s="694"/>
      <c r="C23" s="4" t="str">
        <f>template_label_gross_scope_2_location_based_ghg_emissions</f>
        <v>Gross Scope 2 location-based GHG Emissions</v>
      </c>
      <c r="D23" s="734"/>
      <c r="E23" s="735"/>
      <c r="F23" s="736"/>
      <c r="G23" s="769"/>
      <c r="H23" s="826"/>
      <c r="I23" s="826"/>
      <c r="J23" s="260"/>
      <c r="K23" s="109" t="str">
        <f t="shared" ref="K23:K26" si="0">IF(AND(G23="", J23=""), "-", IFERROR(-(1 - (J23 / G23)), "-"))</f>
        <v>-</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
      </c>
    </row>
    <row r="24" spans="1:21" x14ac:dyDescent="0.3">
      <c r="A24" s="693"/>
      <c r="B24" s="694"/>
      <c r="C24" s="4" t="str">
        <f>template_label_gross_scope_2_market_based_ghg_emissions &amp; " - " &amp; template_label_may_not_headline</f>
        <v>Gross scope 2 market-based GHG Emissions - May (optional)</v>
      </c>
      <c r="D24" s="753"/>
      <c r="E24" s="753"/>
      <c r="F24" s="754"/>
      <c r="G24" s="769"/>
      <c r="H24" s="826"/>
      <c r="I24" s="826"/>
      <c r="J24" s="260"/>
      <c r="K24" s="109" t="str">
        <f t="shared" si="0"/>
        <v>-</v>
      </c>
      <c r="L24" s="16" t="str">
        <f>IF(D24&lt;&gt;"",
    IF(AND(G24="", J24=""), template_label_ok,
       IF(AND(G24&lt;&gt;"", J24=""), template_label_missing_value, template_label_ok)
    ),
"")</f>
        <v/>
      </c>
    </row>
    <row r="25" spans="1:21" x14ac:dyDescent="0.3">
      <c r="A25" s="693"/>
      <c r="B25" s="694"/>
      <c r="C25" s="13" t="str">
        <f>template_label_total_scope_1_and_scope_2_ghg_emissions_location_based</f>
        <v>Total Scope 1 and Scope 2 GHG Emissions (location-based)</v>
      </c>
      <c r="D25" s="842" t="str">
        <f>IF(AND(D22="",D23=""),"-",SUM(D22,D23))</f>
        <v>-</v>
      </c>
      <c r="E25" s="842"/>
      <c r="F25" s="866"/>
      <c r="G25" s="891" t="str">
        <f>IF(AND(G22="",G23=""),"-",SUM(G22,G23))</f>
        <v>-</v>
      </c>
      <c r="H25" s="842"/>
      <c r="I25" s="842"/>
      <c r="J25" s="263" t="str">
        <f>IF(AND(J22="",J23=""),"-",SUM(J22,J23))</f>
        <v>-</v>
      </c>
      <c r="K25" s="109" t="str">
        <f t="shared" si="0"/>
        <v>-</v>
      </c>
    </row>
    <row r="26" spans="1:21" ht="15" thickBot="1" x14ac:dyDescent="0.35">
      <c r="A26" s="693"/>
      <c r="B26" s="694"/>
      <c r="C26" s="5" t="str">
        <f>template_label_total_scope_1_and_scope_2_ghg_emissions_market_based &amp; " - " &amp; template_label_may_not_headline</f>
        <v>Total Scope 1 and Scope 2 GHG emissions  (market-based) - May (optional)</v>
      </c>
      <c r="D26" s="844" t="str">
        <f>IF(OR(D22="",D24=""),"-",SUM(D22,D24))</f>
        <v>-</v>
      </c>
      <c r="E26" s="845"/>
      <c r="F26" s="846"/>
      <c r="G26" s="845" t="str">
        <f>IF(OR(G22="",G24=""),"-",SUM(G22,G24))</f>
        <v>-</v>
      </c>
      <c r="H26" s="845"/>
      <c r="I26" s="848"/>
      <c r="J26" s="264" t="str">
        <f>IF(OR(J22="",J24=""),"-",SUM(J22,J24))</f>
        <v>-</v>
      </c>
      <c r="K26" s="109" t="str">
        <f t="shared" si="0"/>
        <v>-</v>
      </c>
    </row>
    <row r="27" spans="1:21" x14ac:dyDescent="0.3">
      <c r="C27" s="867" t="s">
        <v>3747</v>
      </c>
      <c r="D27" s="827"/>
      <c r="E27" s="827"/>
      <c r="F27" s="827"/>
      <c r="G27" s="827">
        <v>54</v>
      </c>
      <c r="H27" s="827"/>
      <c r="I27" s="827"/>
      <c r="J27" s="827"/>
      <c r="K27" s="110"/>
    </row>
    <row r="28" spans="1:21" ht="15" thickBot="1" x14ac:dyDescent="0.35">
      <c r="C28" s="252" t="s">
        <v>1</v>
      </c>
      <c r="D28" s="576" t="s">
        <v>5646</v>
      </c>
      <c r="E28" s="576"/>
      <c r="F28" s="576"/>
      <c r="G28" s="831" t="s">
        <v>1</v>
      </c>
      <c r="H28" s="831"/>
      <c r="I28" s="831"/>
      <c r="J28" s="253" t="s">
        <v>1</v>
      </c>
      <c r="K28" s="111"/>
    </row>
    <row r="29" spans="1:21" ht="22.2" customHeight="1" x14ac:dyDescent="0.3">
      <c r="C29" s="791" t="str">
        <f>template_label_is_the_undertaking_disclosing_entity_specific_information_on_scope_3_emissions</f>
        <v>Is the undertaking disclosing entity-specific information on Scope 3 emissions (in tCO2e)?</v>
      </c>
      <c r="D29" s="792"/>
      <c r="E29" s="792"/>
      <c r="F29" s="793"/>
      <c r="G29" s="828" t="b">
        <v>0</v>
      </c>
      <c r="H29" s="829"/>
      <c r="I29" s="829"/>
      <c r="J29" s="829"/>
      <c r="K29" s="830"/>
    </row>
    <row r="30" spans="1:21" ht="14.55" customHeight="1" x14ac:dyDescent="0.3">
      <c r="C30" s="101" t="str">
        <f>template_label_1_purchased_goods_and_services</f>
        <v>1. Purchased Goods and Services</v>
      </c>
      <c r="D30" s="725"/>
      <c r="E30" s="726"/>
      <c r="F30" s="733"/>
      <c r="G30" s="712"/>
      <c r="H30" s="681"/>
      <c r="I30" s="681"/>
      <c r="J30" s="265"/>
      <c r="K30" s="292" t="str">
        <f>IF(OR(G30="", J30=""), "-", IFERROR(-(1 - (J30 / G30)), "-"))</f>
        <v>-</v>
      </c>
      <c r="L30" s="713" t="str" cm="1">
        <f t="array" ref="L30">IF(
   OR(
      SUMPRODUCT((G30:G44&lt;&gt;"")*(J30:J44="")) &gt; 0,
      SUMPRODUCT((J30:J44&lt;&gt;"")*(G30:G44="")) &gt; 0
   ),
   template_label_missing_value,
   IF(
      AND(G29=TRUE, COUNTA(D30:F44)=0),
      template_label_missing_value,
      IF(G29=FALSE, "", template_label_ok)
   )
)</f>
        <v/>
      </c>
      <c r="M30" s="695"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695"/>
      <c r="O30" s="695"/>
      <c r="P30" s="695"/>
      <c r="Q30" s="695"/>
      <c r="R30" s="695"/>
      <c r="S30" s="695"/>
      <c r="T30" s="695"/>
      <c r="U30" s="695"/>
    </row>
    <row r="31" spans="1:21" x14ac:dyDescent="0.3">
      <c r="C31" s="101" t="str">
        <f>template_label_2_capital_goods</f>
        <v>2. Capital Goods</v>
      </c>
      <c r="D31" s="725"/>
      <c r="E31" s="726"/>
      <c r="F31" s="733"/>
      <c r="G31" s="712"/>
      <c r="H31" s="681"/>
      <c r="I31" s="681"/>
      <c r="J31" s="265"/>
      <c r="K31" s="292" t="str">
        <f t="shared" ref="K31:K44" si="1">IF(OR(G31="", J31=""), "-", IFERROR(-(1 - (J31 / G31)), "-"))</f>
        <v>-</v>
      </c>
      <c r="L31" s="713"/>
      <c r="M31" s="695"/>
      <c r="N31" s="695"/>
      <c r="O31" s="695"/>
      <c r="P31" s="695"/>
      <c r="Q31" s="695"/>
      <c r="R31" s="695"/>
      <c r="S31" s="695"/>
      <c r="T31" s="695"/>
      <c r="U31" s="695"/>
    </row>
    <row r="32" spans="1:21" x14ac:dyDescent="0.3">
      <c r="C32" s="101" t="str">
        <f>template_label_3_fuel__and_energy_related_activities</f>
        <v>3. Fuel- and Energy-Related Activities (Not Included in Scope 1 or Scope 2)</v>
      </c>
      <c r="D32" s="725"/>
      <c r="E32" s="726"/>
      <c r="F32" s="733"/>
      <c r="G32" s="712"/>
      <c r="H32" s="681"/>
      <c r="I32" s="681"/>
      <c r="J32" s="265"/>
      <c r="K32" s="292" t="str">
        <f t="shared" si="1"/>
        <v>-</v>
      </c>
      <c r="L32" s="713"/>
      <c r="M32" s="695"/>
      <c r="N32" s="695"/>
      <c r="O32" s="695"/>
      <c r="P32" s="695"/>
      <c r="Q32" s="695"/>
      <c r="R32" s="695"/>
      <c r="S32" s="695"/>
      <c r="T32" s="695"/>
      <c r="U32" s="695"/>
    </row>
    <row r="33" spans="3:21" x14ac:dyDescent="0.3">
      <c r="C33" s="101" t="str">
        <f>template_label_4_upstream_transportation_and_distribution</f>
        <v>4. Upstream Transportation and Distribution</v>
      </c>
      <c r="D33" s="725"/>
      <c r="E33" s="726"/>
      <c r="F33" s="733"/>
      <c r="G33" s="712"/>
      <c r="H33" s="681"/>
      <c r="I33" s="681"/>
      <c r="J33" s="265"/>
      <c r="K33" s="292" t="str">
        <f t="shared" si="1"/>
        <v>-</v>
      </c>
      <c r="L33" s="713"/>
      <c r="M33" s="695"/>
      <c r="N33" s="695"/>
      <c r="O33" s="695"/>
      <c r="P33" s="695"/>
      <c r="Q33" s="695"/>
      <c r="R33" s="695"/>
      <c r="S33" s="695"/>
      <c r="T33" s="695"/>
      <c r="U33" s="695"/>
    </row>
    <row r="34" spans="3:21" x14ac:dyDescent="0.3">
      <c r="C34" s="101" t="str">
        <f>template_label_5_waste_generated_in_operations</f>
        <v>5. Waste Generated in Operations</v>
      </c>
      <c r="D34" s="725"/>
      <c r="E34" s="726"/>
      <c r="F34" s="733"/>
      <c r="G34" s="712"/>
      <c r="H34" s="681"/>
      <c r="I34" s="681"/>
      <c r="J34" s="265"/>
      <c r="K34" s="292" t="str">
        <f t="shared" si="1"/>
        <v>-</v>
      </c>
      <c r="L34" s="713"/>
      <c r="M34" s="695"/>
      <c r="N34" s="695"/>
      <c r="O34" s="695"/>
      <c r="P34" s="695"/>
      <c r="Q34" s="695"/>
      <c r="R34" s="695"/>
      <c r="S34" s="695"/>
      <c r="T34" s="695"/>
      <c r="U34" s="695"/>
    </row>
    <row r="35" spans="3:21" x14ac:dyDescent="0.3">
      <c r="C35" s="101" t="str">
        <f>template_label_6_business_travel</f>
        <v>6. Business Travel</v>
      </c>
      <c r="D35" s="725"/>
      <c r="E35" s="726"/>
      <c r="F35" s="733"/>
      <c r="G35" s="712"/>
      <c r="H35" s="681"/>
      <c r="I35" s="681"/>
      <c r="J35" s="265"/>
      <c r="K35" s="292" t="str">
        <f t="shared" si="1"/>
        <v>-</v>
      </c>
      <c r="L35" s="713"/>
      <c r="M35" s="695"/>
      <c r="N35" s="695"/>
      <c r="O35" s="695"/>
      <c r="P35" s="695"/>
      <c r="Q35" s="695"/>
      <c r="R35" s="695"/>
      <c r="S35" s="695"/>
      <c r="T35" s="695"/>
      <c r="U35" s="695"/>
    </row>
    <row r="36" spans="3:21" x14ac:dyDescent="0.3">
      <c r="C36" s="101" t="str">
        <f>template_label_7_employee_commuting</f>
        <v>7. Employee Commuting</v>
      </c>
      <c r="D36" s="725"/>
      <c r="E36" s="726"/>
      <c r="F36" s="733"/>
      <c r="G36" s="712"/>
      <c r="H36" s="681"/>
      <c r="I36" s="681"/>
      <c r="J36" s="265"/>
      <c r="K36" s="292" t="str">
        <f t="shared" si="1"/>
        <v>-</v>
      </c>
      <c r="L36" s="713"/>
      <c r="M36" s="695"/>
      <c r="N36" s="695"/>
      <c r="O36" s="695"/>
      <c r="P36" s="695"/>
      <c r="Q36" s="695"/>
      <c r="R36" s="695"/>
      <c r="S36" s="695"/>
      <c r="T36" s="695"/>
      <c r="U36" s="695"/>
    </row>
    <row r="37" spans="3:21" x14ac:dyDescent="0.3">
      <c r="C37" s="101" t="str">
        <f>template_label_8_upstream_leased_assets</f>
        <v>8. Upstream Leased Assets</v>
      </c>
      <c r="D37" s="725"/>
      <c r="E37" s="726"/>
      <c r="F37" s="733"/>
      <c r="G37" s="712"/>
      <c r="H37" s="681"/>
      <c r="I37" s="681"/>
      <c r="J37" s="265"/>
      <c r="K37" s="292" t="str">
        <f t="shared" si="1"/>
        <v>-</v>
      </c>
      <c r="L37" s="713"/>
      <c r="M37" s="695"/>
      <c r="N37" s="695"/>
      <c r="O37" s="695"/>
      <c r="P37" s="695"/>
      <c r="Q37" s="695"/>
      <c r="R37" s="695"/>
      <c r="S37" s="695"/>
      <c r="T37" s="695"/>
      <c r="U37" s="695"/>
    </row>
    <row r="38" spans="3:21" x14ac:dyDescent="0.3">
      <c r="C38" s="101" t="str">
        <f>template_label_9_downstream_transportation_and_distribution</f>
        <v>9. Downstream Transportation and Distribution</v>
      </c>
      <c r="D38" s="725"/>
      <c r="E38" s="726"/>
      <c r="F38" s="733"/>
      <c r="G38" s="712"/>
      <c r="H38" s="681"/>
      <c r="I38" s="681"/>
      <c r="J38" s="265"/>
      <c r="K38" s="292" t="str">
        <f t="shared" si="1"/>
        <v>-</v>
      </c>
      <c r="L38" s="713"/>
      <c r="M38" s="695"/>
      <c r="N38" s="695"/>
      <c r="O38" s="695"/>
      <c r="P38" s="695"/>
      <c r="Q38" s="695"/>
      <c r="R38" s="695"/>
      <c r="S38" s="695"/>
      <c r="T38" s="695"/>
      <c r="U38" s="695"/>
    </row>
    <row r="39" spans="3:21" x14ac:dyDescent="0.3">
      <c r="C39" s="101" t="str">
        <f>template_label_10_processing_of_sold_products</f>
        <v>10. Processing of Sold Products</v>
      </c>
      <c r="D39" s="725"/>
      <c r="E39" s="726"/>
      <c r="F39" s="733"/>
      <c r="G39" s="712"/>
      <c r="H39" s="681"/>
      <c r="I39" s="681"/>
      <c r="J39" s="265"/>
      <c r="K39" s="292" t="str">
        <f t="shared" si="1"/>
        <v>-</v>
      </c>
      <c r="L39" s="713"/>
      <c r="M39" s="695"/>
      <c r="N39" s="695"/>
      <c r="O39" s="695"/>
      <c r="P39" s="695"/>
      <c r="Q39" s="695"/>
      <c r="R39" s="695"/>
      <c r="S39" s="695"/>
      <c r="T39" s="695"/>
      <c r="U39" s="695"/>
    </row>
    <row r="40" spans="3:21" x14ac:dyDescent="0.3">
      <c r="C40" s="101" t="str">
        <f>template_label_11_use_of_sold_products</f>
        <v>11. Use of Sold Products</v>
      </c>
      <c r="D40" s="725"/>
      <c r="E40" s="726"/>
      <c r="F40" s="733"/>
      <c r="G40" s="712"/>
      <c r="H40" s="681"/>
      <c r="I40" s="681"/>
      <c r="J40" s="265"/>
      <c r="K40" s="292" t="str">
        <f t="shared" si="1"/>
        <v>-</v>
      </c>
      <c r="L40" s="713"/>
      <c r="M40" s="695"/>
      <c r="N40" s="695"/>
      <c r="O40" s="695"/>
      <c r="P40" s="695"/>
      <c r="Q40" s="695"/>
      <c r="R40" s="695"/>
      <c r="S40" s="695"/>
      <c r="T40" s="695"/>
      <c r="U40" s="695"/>
    </row>
    <row r="41" spans="3:21" x14ac:dyDescent="0.3">
      <c r="C41" s="101" t="str">
        <f>template_label_12_end_of_life_treatment_of_sold_products</f>
        <v>12. End-of-Life Treatment of Sold Products</v>
      </c>
      <c r="D41" s="725"/>
      <c r="E41" s="726"/>
      <c r="F41" s="733"/>
      <c r="G41" s="712"/>
      <c r="H41" s="681"/>
      <c r="I41" s="681"/>
      <c r="J41" s="265"/>
      <c r="K41" s="292" t="str">
        <f t="shared" si="1"/>
        <v>-</v>
      </c>
      <c r="L41" s="713"/>
      <c r="M41" s="695"/>
      <c r="N41" s="695"/>
      <c r="O41" s="695"/>
      <c r="P41" s="695"/>
      <c r="Q41" s="695"/>
      <c r="R41" s="695"/>
      <c r="S41" s="695"/>
      <c r="T41" s="695"/>
      <c r="U41" s="695"/>
    </row>
    <row r="42" spans="3:21" x14ac:dyDescent="0.3">
      <c r="C42" s="101" t="str">
        <f>template_label_13_downstream_leased_assets</f>
        <v>13. Downstream Leased Assets</v>
      </c>
      <c r="D42" s="725"/>
      <c r="E42" s="726"/>
      <c r="F42" s="733"/>
      <c r="G42" s="712"/>
      <c r="H42" s="681"/>
      <c r="I42" s="681"/>
      <c r="J42" s="265"/>
      <c r="K42" s="292" t="str">
        <f t="shared" si="1"/>
        <v>-</v>
      </c>
      <c r="L42" s="713"/>
      <c r="M42" s="695"/>
      <c r="N42" s="695"/>
      <c r="O42" s="695"/>
      <c r="P42" s="695"/>
      <c r="Q42" s="695"/>
      <c r="R42" s="695"/>
      <c r="S42" s="695"/>
      <c r="T42" s="695"/>
      <c r="U42" s="695"/>
    </row>
    <row r="43" spans="3:21" x14ac:dyDescent="0.3">
      <c r="C43" s="101" t="str">
        <f>template_label_14_franchises</f>
        <v>14. Franchises</v>
      </c>
      <c r="D43" s="725"/>
      <c r="E43" s="726"/>
      <c r="F43" s="733"/>
      <c r="G43" s="712"/>
      <c r="H43" s="681"/>
      <c r="I43" s="681"/>
      <c r="J43" s="265"/>
      <c r="K43" s="292" t="str">
        <f t="shared" si="1"/>
        <v>-</v>
      </c>
      <c r="L43" s="713"/>
      <c r="M43" s="695"/>
      <c r="N43" s="695"/>
      <c r="O43" s="695"/>
      <c r="P43" s="695"/>
      <c r="Q43" s="695"/>
      <c r="R43" s="695"/>
      <c r="S43" s="695"/>
      <c r="T43" s="695"/>
      <c r="U43" s="695"/>
    </row>
    <row r="44" spans="3:21" x14ac:dyDescent="0.3">
      <c r="C44" s="101" t="str">
        <f>template_label_15_investments</f>
        <v>15. Investments</v>
      </c>
      <c r="D44" s="725"/>
      <c r="E44" s="726"/>
      <c r="F44" s="733"/>
      <c r="G44" s="712"/>
      <c r="H44" s="681"/>
      <c r="I44" s="681"/>
      <c r="J44" s="265"/>
      <c r="K44" s="292" t="str">
        <f t="shared" si="1"/>
        <v>-</v>
      </c>
      <c r="L44" s="713"/>
      <c r="M44" s="695"/>
      <c r="N44" s="695"/>
      <c r="O44" s="695"/>
      <c r="P44" s="695"/>
      <c r="Q44" s="695"/>
      <c r="R44" s="695"/>
      <c r="S44" s="695"/>
      <c r="T44" s="695"/>
      <c r="U44" s="695"/>
    </row>
    <row r="45" spans="3:21" ht="15" thickBot="1" x14ac:dyDescent="0.35">
      <c r="C45" s="112" t="str">
        <f>template_label_total_scope_3_ghg_emissions</f>
        <v>Total Scope 3 GHG  emissions</v>
      </c>
      <c r="D45" s="715" t="str">
        <f>IF(AND(G29=FALSE, COUNTA(D30:F44)=0), "-", IF(G29=TRUE, IF(SUM(D30:F44)=0, "-", SUM(D30:F44)), "-"))</f>
        <v>-</v>
      </c>
      <c r="E45" s="715"/>
      <c r="F45" s="865"/>
      <c r="G45" s="714" t="str">
        <f>IF(AND(G29=FALSE, COUNTA(G30:I44)=0), "-", IF(G29=TRUE, IF(SUM(G30:I44)=0, "-", SUM(G30:I44)), "-"))</f>
        <v>-</v>
      </c>
      <c r="H45" s="715"/>
      <c r="I45" s="715"/>
      <c r="J45" s="266" t="str">
        <f>IF(AND(G29=FALSE, COUNTA(J30:J44)=0), "-", IF(G29=TRUE, IF(SUM(J30:J44)=0, "-", SUM(J30:J44)), "-"))</f>
        <v>-</v>
      </c>
      <c r="K45" s="229" t="str">
        <f t="shared" ref="K45:K47" si="2">IF(AND(G45="", J45=""), "-", IFERROR(-(1 - (J45 / G45)), "-"))</f>
        <v>-</v>
      </c>
      <c r="L45" s="16"/>
      <c r="M45" s="695"/>
      <c r="N45" s="695"/>
      <c r="O45" s="695"/>
      <c r="P45" s="695"/>
      <c r="Q45" s="695"/>
      <c r="R45" s="695"/>
      <c r="S45" s="695"/>
      <c r="T45" s="695"/>
      <c r="U45" s="695"/>
    </row>
    <row r="46" spans="3:21" x14ac:dyDescent="0.3">
      <c r="C46" s="13" t="str">
        <f>template_label_total_scope_1_scope_2_and_scope_3_ghg_emissions_location_based</f>
        <v>Total Scope 1 Scope 2 and Scope 3 GHG Emissions (location-based)</v>
      </c>
      <c r="D46" s="842" t="str">
        <f>IF(G29=FALSE, "-", IF(AND(D22="", D23="", D45=""), "-", IF(SUM(D22, D23, D45)=0, "-", SUM(D22, D23, D45))))</f>
        <v>-</v>
      </c>
      <c r="E46" s="842"/>
      <c r="F46" s="866"/>
      <c r="G46" s="841" t="str">
        <f>IF(G29=FALSE, "-", IF(AND(G22="", G23="", G45=""), "-", IF(SUM(G22, G23, G45)=0, "-", SUM(G22, G23, G45))))</f>
        <v>-</v>
      </c>
      <c r="H46" s="842"/>
      <c r="I46" s="842"/>
      <c r="J46" s="262" t="str">
        <f>IF(G29=FALSE, "-", IF(AND(J22="", J23="", J45=""), "-", IF(SUM(J22, J23, J45)=0, "-", SUM(J22, J23, J45))))</f>
        <v>-</v>
      </c>
      <c r="K46" s="230" t="str">
        <f t="shared" si="2"/>
        <v>-</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44" t="str">
        <f>IF(G29=FALSE,"-",IF(OR(D22="",D24="",D45=""),"-",SUM(D22,D24,D45)))</f>
        <v>-</v>
      </c>
      <c r="E47" s="845"/>
      <c r="F47" s="846"/>
      <c r="G47" s="847" t="str">
        <f>IF(G29=FALSE, "-", IF(OR(G22="", G24="", G45=""), "-", IF(SUM(G22, G24, G45)=0, "-", SUM(G22, G24, G45))))</f>
        <v>-</v>
      </c>
      <c r="H47" s="845"/>
      <c r="I47" s="848"/>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45"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745"/>
      <c r="E49" s="745"/>
      <c r="F49" s="745"/>
      <c r="G49" s="745"/>
      <c r="H49" s="745"/>
      <c r="I49" s="745"/>
      <c r="J49" s="745"/>
      <c r="K49" s="900"/>
      <c r="L49" s="8"/>
    </row>
    <row r="50" spans="1:12" x14ac:dyDescent="0.3">
      <c r="C50" s="532" t="s">
        <v>3748</v>
      </c>
      <c r="D50" s="532"/>
      <c r="E50" s="532"/>
      <c r="F50" s="532"/>
      <c r="G50" s="532"/>
      <c r="H50" s="532"/>
      <c r="I50" s="532"/>
      <c r="J50" s="532"/>
      <c r="K50" s="899"/>
    </row>
    <row r="51" spans="1:12" x14ac:dyDescent="0.3">
      <c r="C51" s="737">
        <v>159</v>
      </c>
      <c r="D51" s="737"/>
      <c r="E51" s="737"/>
      <c r="F51" s="737"/>
      <c r="G51" s="737"/>
      <c r="H51" s="737"/>
      <c r="I51" s="737"/>
      <c r="J51" s="737"/>
      <c r="K51" s="737"/>
      <c r="L51" s="8"/>
    </row>
    <row r="52" spans="1:12" ht="15" thickBot="1" x14ac:dyDescent="0.35">
      <c r="C52" s="897"/>
      <c r="D52" s="897"/>
      <c r="E52" s="897"/>
      <c r="F52" s="897"/>
      <c r="G52" s="897"/>
      <c r="H52" s="897"/>
      <c r="I52" s="897"/>
      <c r="J52" s="897"/>
      <c r="K52" s="898"/>
      <c r="L52" s="104" t="str">
        <f>IF(AND(J19=TRUE, C52&lt;&gt;""), template_label_ok, IF(AND(J19=TRUE, C52=""), template_label_missing_value, ""))</f>
        <v/>
      </c>
    </row>
    <row r="54" spans="1:12" ht="15" thickBot="1" x14ac:dyDescent="0.35">
      <c r="C54" s="9"/>
      <c r="D54" s="9"/>
      <c r="E54" s="9"/>
      <c r="F54" s="9"/>
      <c r="G54" s="9"/>
      <c r="H54" s="9"/>
      <c r="I54" s="9"/>
      <c r="J54" s="9"/>
      <c r="K54" s="9"/>
    </row>
    <row r="55" spans="1:12" x14ac:dyDescent="0.3">
      <c r="C55" s="745"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45"/>
      <c r="E55" s="745"/>
      <c r="F55" s="745"/>
      <c r="G55" s="745"/>
      <c r="H55" s="745"/>
      <c r="I55" s="745"/>
      <c r="J55" s="745"/>
      <c r="K55" s="746"/>
    </row>
    <row r="56" spans="1:12" ht="38.4" customHeight="1" x14ac:dyDescent="0.3">
      <c r="A56" s="460">
        <v>55</v>
      </c>
      <c r="B56" s="463" t="s">
        <v>5647</v>
      </c>
      <c r="C56" s="101" t="str">
        <f>template_label_is_the_undertaking_operating_in_high_impact_sectors</f>
        <v>Is the undertaking operating in high impact sectors?</v>
      </c>
      <c r="D56" s="854"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0</v>
      </c>
      <c r="E56" s="855"/>
      <c r="F56" s="855"/>
      <c r="G56" s="855"/>
      <c r="H56" s="855"/>
      <c r="I56" s="855"/>
      <c r="J56" s="855"/>
      <c r="K56" s="856"/>
      <c r="L56" s="16"/>
    </row>
    <row r="57" spans="1:12" x14ac:dyDescent="0.3">
      <c r="A57" s="460">
        <v>55</v>
      </c>
      <c r="B57" s="463" t="s">
        <v>5647</v>
      </c>
      <c r="C57" s="101" t="str">
        <f>template_label_status_of_implementation_of_a_transition_plan_in_relation_to_climate_change_mitigation</f>
        <v>Status of implementation of a transition plan in relation to climate change mitigation</v>
      </c>
      <c r="D57" s="892"/>
      <c r="E57" s="893"/>
      <c r="F57" s="893"/>
      <c r="G57" s="893"/>
      <c r="H57" s="893"/>
      <c r="I57" s="893"/>
      <c r="J57" s="893"/>
      <c r="K57" s="894"/>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460">
        <v>55</v>
      </c>
      <c r="B58" s="463"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895"/>
      <c r="E58" s="895"/>
      <c r="F58" s="895"/>
      <c r="G58" s="895"/>
      <c r="H58" s="895"/>
      <c r="I58" s="895"/>
      <c r="J58" s="895"/>
      <c r="K58" s="896"/>
      <c r="L58" s="16" t="str">
        <f>IF(AND(D57="A transition plan has already been adopted", DescriptionOfATransitionPlanForClimateChangeMitigationIncludingAnExplanationOfHowItIsContributingToReduceGhgEmissions&lt;&gt;""), template_label_ok, "")</f>
        <v/>
      </c>
    </row>
    <row r="59" spans="1:12" x14ac:dyDescent="0.3">
      <c r="A59" s="697">
        <v>56</v>
      </c>
      <c r="B59" s="700" t="s">
        <v>5647</v>
      </c>
      <c r="C59" s="703" t="str">
        <f>template_label_date_of_foreseen_adoption_of_transition_plan_for_undertaking_not_having_adopted_transition_plan_yet</f>
        <v>Date of foreseen adoption of transition plan for undertaking not having adopted transition plan yet</v>
      </c>
      <c r="D59" s="706" t="str">
        <f>template_label_year</f>
        <v>Year</v>
      </c>
      <c r="E59" s="707"/>
      <c r="F59" s="707"/>
      <c r="G59" s="707"/>
      <c r="H59" s="708"/>
      <c r="I59" s="709"/>
      <c r="J59" s="710"/>
      <c r="K59" s="711"/>
      <c r="L59" s="696"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698"/>
      <c r="B60" s="701"/>
      <c r="C60" s="704"/>
      <c r="D60" s="706" t="str">
        <f>template_label_month</f>
        <v>Month</v>
      </c>
      <c r="E60" s="707"/>
      <c r="F60" s="707"/>
      <c r="G60" s="707"/>
      <c r="H60" s="708"/>
      <c r="I60" s="709"/>
      <c r="J60" s="710"/>
      <c r="K60" s="711"/>
      <c r="L60" s="696"/>
    </row>
    <row r="61" spans="1:12" x14ac:dyDescent="0.3">
      <c r="A61" s="698"/>
      <c r="B61" s="701"/>
      <c r="C61" s="704"/>
      <c r="D61" s="706" t="str">
        <f>template_label_day</f>
        <v>Day</v>
      </c>
      <c r="E61" s="707"/>
      <c r="F61" s="707"/>
      <c r="G61" s="707"/>
      <c r="H61" s="708"/>
      <c r="I61" s="709"/>
      <c r="J61" s="710"/>
      <c r="K61" s="711"/>
      <c r="L61" s="696"/>
    </row>
    <row r="62" spans="1:12" ht="15" thickBot="1" x14ac:dyDescent="0.35">
      <c r="A62" s="699"/>
      <c r="B62" s="702"/>
      <c r="C62" s="705"/>
      <c r="D62" s="852" t="str">
        <f>IF(OR(ISBLANK(I59), ISBLANK(I60), ISBLANK(I61)), "-", I59 &amp; "-" &amp; TEXT(I60, "00") &amp; "-" &amp; TEXT(I61, "00"))</f>
        <v>-</v>
      </c>
      <c r="E62" s="852"/>
      <c r="F62" s="852"/>
      <c r="G62" s="852"/>
      <c r="H62" s="852"/>
      <c r="I62" s="852"/>
      <c r="J62" s="852"/>
      <c r="K62" s="853"/>
      <c r="L62" s="381"/>
    </row>
    <row r="63" spans="1:12" ht="15" thickBot="1" x14ac:dyDescent="0.35"/>
    <row r="64" spans="1:12" ht="14.85" customHeight="1" x14ac:dyDescent="0.3">
      <c r="C64" s="602"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602"/>
      <c r="E64" s="602"/>
      <c r="F64" s="602"/>
      <c r="G64" s="602"/>
      <c r="H64" s="602"/>
      <c r="I64" s="602"/>
      <c r="J64" s="602"/>
      <c r="K64" s="744"/>
    </row>
    <row r="65" spans="3:12" ht="14.85" customHeight="1" x14ac:dyDescent="0.3">
      <c r="C65" s="742">
        <v>31</v>
      </c>
      <c r="D65" s="742"/>
      <c r="E65" s="742"/>
      <c r="F65" s="742"/>
      <c r="G65" s="742"/>
      <c r="H65" s="742"/>
      <c r="I65" s="742"/>
      <c r="J65" s="742"/>
      <c r="K65" s="743"/>
    </row>
    <row r="66" spans="3:12" x14ac:dyDescent="0.3">
      <c r="C66" s="628" t="str">
        <f>template_label_scope_1_and_scope_2_ghg_emissions_intensity_location_based</f>
        <v>Scope 1 and Scope 2 GHG Emissions intensity (location-based)</v>
      </c>
      <c r="D66" s="629"/>
      <c r="E66" s="629"/>
      <c r="F66" s="629"/>
      <c r="G66" s="740" t="str">
        <f>IF(G29=TRUE,
   "-",
   IFERROR(
      IF(OR(D25="", Turnover=""), "-", D25/Turnover),
      "-"
   )
)</f>
        <v>-</v>
      </c>
      <c r="H66" s="740"/>
      <c r="I66" s="740"/>
      <c r="J66" s="740"/>
      <c r="K66" s="741"/>
    </row>
    <row r="67" spans="3:12" x14ac:dyDescent="0.3">
      <c r="C67" s="703" t="str">
        <f>template_label_scope_1_and_scope_2_ghg_emissions_intensity_market_based &amp; " - " &amp; template_label_may_not_headline</f>
        <v>Scope 1 and Scope 2 GHG Emissions intensity (market-based) - May (optional)</v>
      </c>
      <c r="D67" s="849"/>
      <c r="E67" s="849"/>
      <c r="F67" s="849"/>
      <c r="G67" s="850" t="str">
        <f>IF(G29=TRUE,
   "-",
   IFERROR(
      IF(OR(D26="", Turnover=""), "-", D26/Turnover),
      "-"
   )
)</f>
        <v>-</v>
      </c>
      <c r="H67" s="850"/>
      <c r="I67" s="850"/>
      <c r="J67" s="850"/>
      <c r="K67" s="851"/>
    </row>
    <row r="68" spans="3:12" x14ac:dyDescent="0.3">
      <c r="C68" s="628" t="str">
        <f>template_label_total_scope_1_scope_2_and_scope_3_ghg_emissions_intensity_location_based</f>
        <v>Total Scope 1 Scope 2 and Scope 3 GHG Emissions intensity (location-based)</v>
      </c>
      <c r="D68" s="629"/>
      <c r="E68" s="629"/>
      <c r="F68" s="798"/>
      <c r="G68" s="901" t="str">
        <f>IF(G29=FALSE,
   "-",
   IFERROR(
      IF(OR(D46="", Turnover=""), "-", D46/Turnover),
      "-"
   )
)</f>
        <v>-</v>
      </c>
      <c r="H68" s="902"/>
      <c r="I68" s="902"/>
      <c r="J68" s="902"/>
      <c r="K68" s="903"/>
    </row>
    <row r="69" spans="3:12" ht="15" thickBot="1" x14ac:dyDescent="0.35">
      <c r="C69" s="568" t="str">
        <f>template_label_total_scope_1_scope_2_and_scope_3_ghg_emissions_intensity_market_based &amp; " - " &amp; template_label_may_not_headline</f>
        <v>Total Scope 1 Scope 2 and Scope 3 GHG Emissions intensity (market-based) - May (optional)</v>
      </c>
      <c r="D69" s="569"/>
      <c r="E69" s="569"/>
      <c r="F69" s="799"/>
      <c r="G69" s="860" t="str">
        <f>IF(G29=FALSE,
   "-",
   IFERROR(
      IF(OR(D47="", Turnover=""), "-", D47/Turnover),
      "-"
   )
)</f>
        <v>-</v>
      </c>
      <c r="H69" s="861"/>
      <c r="I69" s="861"/>
      <c r="J69" s="861"/>
      <c r="K69" s="862"/>
      <c r="L69" s="8"/>
    </row>
    <row r="70" spans="3:12" ht="15" thickBot="1" x14ac:dyDescent="0.35"/>
    <row r="71" spans="3:12" x14ac:dyDescent="0.3">
      <c r="C71" s="747"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748"/>
      <c r="E71" s="748"/>
      <c r="F71" s="748"/>
      <c r="G71" s="748"/>
      <c r="H71" s="748"/>
      <c r="I71" s="748"/>
      <c r="J71" s="748"/>
      <c r="K71" s="749"/>
    </row>
    <row r="72" spans="3:12" x14ac:dyDescent="0.3">
      <c r="C72" s="750">
        <v>32</v>
      </c>
      <c r="D72" s="751"/>
      <c r="E72" s="751"/>
      <c r="F72" s="751"/>
      <c r="G72" s="751"/>
      <c r="H72" s="751"/>
      <c r="I72" s="751"/>
      <c r="J72" s="751"/>
      <c r="K72" s="752"/>
    </row>
    <row r="73" spans="3:12" x14ac:dyDescent="0.3">
      <c r="C73" s="775" t="s">
        <v>5648</v>
      </c>
      <c r="D73" s="776"/>
      <c r="E73" s="776"/>
      <c r="F73" s="776"/>
      <c r="G73" s="776"/>
      <c r="H73" s="776"/>
      <c r="I73" s="776"/>
      <c r="J73" s="776"/>
      <c r="K73" s="843"/>
    </row>
    <row r="74" spans="3:12" ht="30" customHeight="1" x14ac:dyDescent="0.3">
      <c r="C74" s="654"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19"/>
      <c r="E74" s="819"/>
      <c r="F74" s="655"/>
      <c r="G74" s="857" t="b">
        <v>0</v>
      </c>
      <c r="H74" s="858"/>
      <c r="I74" s="858"/>
      <c r="J74" s="858"/>
      <c r="K74" s="859"/>
      <c r="L74" s="16"/>
    </row>
    <row r="75" spans="3:12" x14ac:dyDescent="0.3">
      <c r="C75" s="628" t="str">
        <f>template_label_is_this_disclosure_already_publicly_available</f>
        <v>Is this disclosure already publicly available?</v>
      </c>
      <c r="D75" s="629"/>
      <c r="E75" s="629"/>
      <c r="F75" s="629"/>
      <c r="G75" s="838" t="b">
        <v>0</v>
      </c>
      <c r="H75" s="838"/>
      <c r="I75" s="838"/>
      <c r="J75" s="838"/>
      <c r="K75" s="839"/>
      <c r="L75" s="16" t="str" cm="1">
        <f t="array" ref="L75">IF(AND(G75=TRUE, D80:K179=""),
    template_label_ok,
    IF(AND(OR(D80:K179&lt;&gt;""), G75=TRUE),
       template_label_value_inconsistency,
       ""
    )
)</f>
        <v/>
      </c>
    </row>
    <row r="76" spans="3:12" x14ac:dyDescent="0.3">
      <c r="C76" s="628" t="str">
        <f>template_label_please_provide_the_relevant_url_link_or_hyperlink_of_where_this_information_is_reported</f>
        <v>Please provide the relevant URL link or hyperlink of where this information is reported</v>
      </c>
      <c r="D76" s="629"/>
      <c r="E76" s="629"/>
      <c r="F76" s="629"/>
      <c r="G76" s="863"/>
      <c r="H76" s="692"/>
      <c r="I76" s="692"/>
      <c r="J76" s="692"/>
      <c r="K76" s="864"/>
      <c r="L76" s="16" t="str">
        <f>IF(G75=TRUE,
   IF(G76="",
      template_label_missing_value,
      IF(OR(LEFT(G76,7)="http://", LEFT(G76,8)="https://", LEFT(G76,4)="www."),
         template_label_ok,
         template_label_invalid_url
      )
   ),
"")</f>
        <v/>
      </c>
    </row>
    <row r="77" spans="3:12" x14ac:dyDescent="0.3">
      <c r="C77" s="832" t="str">
        <f>template_label_please_select_the_unit_used_for_reporting_the_amount</f>
        <v>Please select the unit used for reporting the amount (i.e. either kg or tonne)</v>
      </c>
      <c r="D77" s="833"/>
      <c r="E77" s="833"/>
      <c r="F77" s="833"/>
      <c r="G77" s="833"/>
      <c r="H77" s="833"/>
      <c r="I77" s="833"/>
      <c r="J77" s="833"/>
      <c r="K77" s="834"/>
    </row>
    <row r="78" spans="3:12" x14ac:dyDescent="0.3">
      <c r="C78" s="835"/>
      <c r="D78" s="836"/>
      <c r="E78" s="836"/>
      <c r="F78" s="836"/>
      <c r="G78" s="836"/>
      <c r="H78" s="836"/>
      <c r="I78" s="836"/>
      <c r="J78" s="836"/>
      <c r="K78" s="837"/>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
      </c>
    </row>
    <row r="79" spans="3:12" x14ac:dyDescent="0.3">
      <c r="C79" s="117" t="str">
        <f>template_label_row_id</f>
        <v>Row ID</v>
      </c>
      <c r="D79" s="794" t="str">
        <f>template_label_pollutant</f>
        <v>Pollutant</v>
      </c>
      <c r="E79" s="794"/>
      <c r="F79" s="794"/>
      <c r="G79" s="794" t="str">
        <f>template_label_emission_to_air</f>
        <v>Emission to air</v>
      </c>
      <c r="H79" s="794"/>
      <c r="I79" s="794"/>
      <c r="J79" s="6" t="str">
        <f>template_label_emission_to_water</f>
        <v>Emission to water</v>
      </c>
      <c r="K79" s="107" t="str">
        <f>template_label_emission_to_soil</f>
        <v>Emission to soil</v>
      </c>
    </row>
    <row r="80" spans="3:12" x14ac:dyDescent="0.3">
      <c r="C80" s="231">
        <v>1</v>
      </c>
      <c r="D80" s="692"/>
      <c r="E80" s="692"/>
      <c r="F80" s="692"/>
      <c r="G80" s="725"/>
      <c r="H80" s="726"/>
      <c r="I80" s="727"/>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
      </c>
    </row>
    <row r="81" spans="3:13" x14ac:dyDescent="0.3">
      <c r="C81" s="231">
        <v>2</v>
      </c>
      <c r="D81" s="692"/>
      <c r="E81" s="692"/>
      <c r="F81" s="692"/>
      <c r="G81" s="725"/>
      <c r="H81" s="726"/>
      <c r="I81" s="727"/>
      <c r="J81" s="265"/>
      <c r="K81" s="26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33">
        <v>3</v>
      </c>
      <c r="D82" s="732"/>
      <c r="E82" s="732"/>
      <c r="F82" s="732"/>
      <c r="G82" s="728"/>
      <c r="H82" s="729"/>
      <c r="I82" s="730"/>
      <c r="J82" s="268"/>
      <c r="K82" s="26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40"/>
      <c r="E83" s="840"/>
      <c r="F83" s="840"/>
      <c r="G83" s="731"/>
      <c r="H83" s="731"/>
      <c r="I83" s="731"/>
      <c r="J83" s="270"/>
      <c r="K83" s="271"/>
      <c r="L83" s="16" t="str">
        <f t="shared" si="3"/>
        <v/>
      </c>
    </row>
    <row r="84" spans="3:13" hidden="1" outlineLevel="1" x14ac:dyDescent="0.3">
      <c r="C84" s="231">
        <v>5</v>
      </c>
      <c r="D84" s="692"/>
      <c r="E84" s="692"/>
      <c r="F84" s="692"/>
      <c r="G84" s="681"/>
      <c r="H84" s="681"/>
      <c r="I84" s="681"/>
      <c r="J84" s="265"/>
      <c r="K84" s="267"/>
      <c r="L84" s="16" t="str">
        <f t="shared" si="3"/>
        <v/>
      </c>
    </row>
    <row r="85" spans="3:13" hidden="1" outlineLevel="1" x14ac:dyDescent="0.3">
      <c r="C85" s="231">
        <v>6</v>
      </c>
      <c r="D85" s="692"/>
      <c r="E85" s="692"/>
      <c r="F85" s="692"/>
      <c r="G85" s="681"/>
      <c r="H85" s="681"/>
      <c r="I85" s="681"/>
      <c r="J85" s="265"/>
      <c r="K85" s="267"/>
      <c r="L85" s="16" t="str">
        <f t="shared" si="3"/>
        <v/>
      </c>
    </row>
    <row r="86" spans="3:13" hidden="1" outlineLevel="1" x14ac:dyDescent="0.3">
      <c r="C86" s="231">
        <v>7</v>
      </c>
      <c r="D86" s="692"/>
      <c r="E86" s="692"/>
      <c r="F86" s="692"/>
      <c r="G86" s="681"/>
      <c r="H86" s="681"/>
      <c r="I86" s="681"/>
      <c r="J86" s="265"/>
      <c r="K86" s="267"/>
      <c r="L86" s="16" t="str">
        <f t="shared" si="3"/>
        <v/>
      </c>
    </row>
    <row r="87" spans="3:13" hidden="1" outlineLevel="1" x14ac:dyDescent="0.3">
      <c r="C87" s="231">
        <v>8</v>
      </c>
      <c r="D87" s="692"/>
      <c r="E87" s="692"/>
      <c r="F87" s="692"/>
      <c r="G87" s="681"/>
      <c r="H87" s="681"/>
      <c r="I87" s="681"/>
      <c r="J87" s="265"/>
      <c r="K87" s="267"/>
      <c r="L87" s="16" t="str">
        <f t="shared" si="3"/>
        <v/>
      </c>
    </row>
    <row r="88" spans="3:13" hidden="1" outlineLevel="1" x14ac:dyDescent="0.3">
      <c r="C88" s="231">
        <v>9</v>
      </c>
      <c r="D88" s="692"/>
      <c r="E88" s="692"/>
      <c r="F88" s="692"/>
      <c r="G88" s="681"/>
      <c r="H88" s="681"/>
      <c r="I88" s="681"/>
      <c r="J88" s="265"/>
      <c r="K88" s="267"/>
      <c r="L88" s="16" t="str">
        <f t="shared" si="3"/>
        <v/>
      </c>
    </row>
    <row r="89" spans="3:13" hidden="1" outlineLevel="1" x14ac:dyDescent="0.3">
      <c r="C89" s="231">
        <v>10</v>
      </c>
      <c r="D89" s="692"/>
      <c r="E89" s="692"/>
      <c r="F89" s="692"/>
      <c r="G89" s="681"/>
      <c r="H89" s="681"/>
      <c r="I89" s="681"/>
      <c r="J89" s="265"/>
      <c r="K89" s="267"/>
      <c r="L89" s="16" t="str">
        <f t="shared" si="3"/>
        <v/>
      </c>
    </row>
    <row r="90" spans="3:13" hidden="1" outlineLevel="1" x14ac:dyDescent="0.3">
      <c r="C90" s="231">
        <v>11</v>
      </c>
      <c r="D90" s="692"/>
      <c r="E90" s="692"/>
      <c r="F90" s="692"/>
      <c r="G90" s="681"/>
      <c r="H90" s="681"/>
      <c r="I90" s="681"/>
      <c r="J90" s="265"/>
      <c r="K90" s="267"/>
      <c r="L90" s="16" t="str">
        <f t="shared" si="3"/>
        <v/>
      </c>
    </row>
    <row r="91" spans="3:13" hidden="1" outlineLevel="1" x14ac:dyDescent="0.3">
      <c r="C91" s="231">
        <v>12</v>
      </c>
      <c r="D91" s="692"/>
      <c r="E91" s="692"/>
      <c r="F91" s="692"/>
      <c r="G91" s="681"/>
      <c r="H91" s="681"/>
      <c r="I91" s="681"/>
      <c r="J91" s="265"/>
      <c r="K91" s="267"/>
      <c r="L91" s="16" t="str">
        <f t="shared" si="3"/>
        <v/>
      </c>
    </row>
    <row r="92" spans="3:13" hidden="1" outlineLevel="1" x14ac:dyDescent="0.3">
      <c r="C92" s="231">
        <v>13</v>
      </c>
      <c r="D92" s="692"/>
      <c r="E92" s="692"/>
      <c r="F92" s="692"/>
      <c r="G92" s="681"/>
      <c r="H92" s="681"/>
      <c r="I92" s="681"/>
      <c r="J92" s="265"/>
      <c r="K92" s="267"/>
      <c r="L92" s="16" t="str">
        <f t="shared" si="3"/>
        <v/>
      </c>
    </row>
    <row r="93" spans="3:13" hidden="1" outlineLevel="1" x14ac:dyDescent="0.3">
      <c r="C93" s="231">
        <v>14</v>
      </c>
      <c r="D93" s="692"/>
      <c r="E93" s="692"/>
      <c r="F93" s="692"/>
      <c r="G93" s="681"/>
      <c r="H93" s="681"/>
      <c r="I93" s="681"/>
      <c r="J93" s="265"/>
      <c r="K93" s="267"/>
      <c r="L93" s="16" t="str">
        <f t="shared" si="3"/>
        <v/>
      </c>
    </row>
    <row r="94" spans="3:13" hidden="1" outlineLevel="1" x14ac:dyDescent="0.3">
      <c r="C94" s="231">
        <v>15</v>
      </c>
      <c r="D94" s="692"/>
      <c r="E94" s="692"/>
      <c r="F94" s="692"/>
      <c r="G94" s="681"/>
      <c r="H94" s="681"/>
      <c r="I94" s="681"/>
      <c r="J94" s="265"/>
      <c r="K94" s="267"/>
      <c r="L94" s="16" t="str">
        <f t="shared" si="3"/>
        <v/>
      </c>
    </row>
    <row r="95" spans="3:13" hidden="1" outlineLevel="1" x14ac:dyDescent="0.3">
      <c r="C95" s="231">
        <v>16</v>
      </c>
      <c r="D95" s="692"/>
      <c r="E95" s="692"/>
      <c r="F95" s="692"/>
      <c r="G95" s="681"/>
      <c r="H95" s="681"/>
      <c r="I95" s="681"/>
      <c r="J95" s="265"/>
      <c r="K95" s="267"/>
      <c r="L95" s="16" t="str">
        <f t="shared" si="3"/>
        <v/>
      </c>
    </row>
    <row r="96" spans="3:13" hidden="1" outlineLevel="1" x14ac:dyDescent="0.3">
      <c r="C96" s="231">
        <v>17</v>
      </c>
      <c r="D96" s="692"/>
      <c r="E96" s="692"/>
      <c r="F96" s="692"/>
      <c r="G96" s="681"/>
      <c r="H96" s="681"/>
      <c r="I96" s="681"/>
      <c r="J96" s="265"/>
      <c r="K96" s="267"/>
      <c r="L96" s="16" t="str">
        <f t="shared" si="3"/>
        <v/>
      </c>
    </row>
    <row r="97" spans="3:13" hidden="1" outlineLevel="1" x14ac:dyDescent="0.3">
      <c r="C97" s="231">
        <v>18</v>
      </c>
      <c r="D97" s="692"/>
      <c r="E97" s="692"/>
      <c r="F97" s="692"/>
      <c r="G97" s="681"/>
      <c r="H97" s="681"/>
      <c r="I97" s="681"/>
      <c r="J97" s="265"/>
      <c r="K97" s="267"/>
      <c r="L97" s="16" t="str">
        <f t="shared" si="3"/>
        <v/>
      </c>
    </row>
    <row r="98" spans="3:13" hidden="1" outlineLevel="1" x14ac:dyDescent="0.3">
      <c r="C98" s="231">
        <v>19</v>
      </c>
      <c r="D98" s="692"/>
      <c r="E98" s="692"/>
      <c r="F98" s="692"/>
      <c r="G98" s="681"/>
      <c r="H98" s="681"/>
      <c r="I98" s="681"/>
      <c r="J98" s="265"/>
      <c r="K98" s="267"/>
      <c r="L98" s="16" t="str">
        <f t="shared" si="3"/>
        <v/>
      </c>
    </row>
    <row r="99" spans="3:13" hidden="1" outlineLevel="1" x14ac:dyDescent="0.3">
      <c r="C99" s="231">
        <v>20</v>
      </c>
      <c r="D99" s="692"/>
      <c r="E99" s="692"/>
      <c r="F99" s="692"/>
      <c r="G99" s="681"/>
      <c r="H99" s="681"/>
      <c r="I99" s="681"/>
      <c r="J99" s="265"/>
      <c r="K99" s="267"/>
      <c r="L99" s="16" t="str">
        <f t="shared" si="3"/>
        <v/>
      </c>
    </row>
    <row r="100" spans="3:13" hidden="1" outlineLevel="1" x14ac:dyDescent="0.3">
      <c r="C100" s="231">
        <v>21</v>
      </c>
      <c r="D100" s="692"/>
      <c r="E100" s="692"/>
      <c r="F100" s="692"/>
      <c r="G100" s="681"/>
      <c r="H100" s="681"/>
      <c r="I100" s="681"/>
      <c r="J100" s="265"/>
      <c r="K100" s="267"/>
      <c r="L100" s="16" t="str">
        <f t="shared" si="3"/>
        <v/>
      </c>
    </row>
    <row r="101" spans="3:13" hidden="1" outlineLevel="1" x14ac:dyDescent="0.3">
      <c r="C101" s="231">
        <v>22</v>
      </c>
      <c r="D101" s="692"/>
      <c r="E101" s="692"/>
      <c r="F101" s="692"/>
      <c r="G101" s="681"/>
      <c r="H101" s="681"/>
      <c r="I101" s="681"/>
      <c r="J101" s="265"/>
      <c r="K101" s="267"/>
      <c r="L101" s="16" t="str">
        <f t="shared" si="3"/>
        <v/>
      </c>
    </row>
    <row r="102" spans="3:13" hidden="1" outlineLevel="1" x14ac:dyDescent="0.3">
      <c r="C102" s="231">
        <v>23</v>
      </c>
      <c r="D102" s="692"/>
      <c r="E102" s="692"/>
      <c r="F102" s="692"/>
      <c r="G102" s="681"/>
      <c r="H102" s="681"/>
      <c r="I102" s="681"/>
      <c r="J102" s="265"/>
      <c r="K102" s="267"/>
      <c r="L102" s="16" t="str">
        <f t="shared" si="3"/>
        <v/>
      </c>
    </row>
    <row r="103" spans="3:13" hidden="1" outlineLevel="1" x14ac:dyDescent="0.3">
      <c r="C103" s="231">
        <v>24</v>
      </c>
      <c r="D103" s="692"/>
      <c r="E103" s="692"/>
      <c r="F103" s="692"/>
      <c r="G103" s="681"/>
      <c r="H103" s="681"/>
      <c r="I103" s="681"/>
      <c r="J103" s="265"/>
      <c r="K103" s="267"/>
      <c r="L103" s="16" t="str">
        <f t="shared" si="3"/>
        <v/>
      </c>
    </row>
    <row r="104" spans="3:13" hidden="1" outlineLevel="1" x14ac:dyDescent="0.3">
      <c r="C104" s="231">
        <v>25</v>
      </c>
      <c r="D104" s="692"/>
      <c r="E104" s="692"/>
      <c r="F104" s="692"/>
      <c r="G104" s="681"/>
      <c r="H104" s="681"/>
      <c r="I104" s="681"/>
      <c r="J104" s="265"/>
      <c r="K104" s="267"/>
      <c r="L104" s="16" t="str">
        <f t="shared" si="3"/>
        <v/>
      </c>
    </row>
    <row r="105" spans="3:13" hidden="1" outlineLevel="1" x14ac:dyDescent="0.3">
      <c r="C105" s="231">
        <v>26</v>
      </c>
      <c r="D105" s="692"/>
      <c r="E105" s="692"/>
      <c r="F105" s="692"/>
      <c r="G105" s="681"/>
      <c r="H105" s="681"/>
      <c r="I105" s="681"/>
      <c r="J105" s="265"/>
      <c r="K105" s="267"/>
      <c r="L105" s="16" t="str">
        <f t="shared" si="3"/>
        <v/>
      </c>
    </row>
    <row r="106" spans="3:13" hidden="1" outlineLevel="1" x14ac:dyDescent="0.3">
      <c r="C106" s="231">
        <v>27</v>
      </c>
      <c r="D106" s="692"/>
      <c r="E106" s="692"/>
      <c r="F106" s="692"/>
      <c r="G106" s="681"/>
      <c r="H106" s="681"/>
      <c r="I106" s="681"/>
      <c r="J106" s="265"/>
      <c r="K106" s="267"/>
      <c r="L106" s="16" t="str">
        <f t="shared" si="3"/>
        <v/>
      </c>
    </row>
    <row r="107" spans="3:13" hidden="1" outlineLevel="1" x14ac:dyDescent="0.3">
      <c r="C107" s="231">
        <v>28</v>
      </c>
      <c r="D107" s="692"/>
      <c r="E107" s="692"/>
      <c r="F107" s="692"/>
      <c r="G107" s="681"/>
      <c r="H107" s="681"/>
      <c r="I107" s="681"/>
      <c r="J107" s="265"/>
      <c r="K107" s="267"/>
      <c r="L107" s="16" t="str">
        <f t="shared" si="3"/>
        <v/>
      </c>
    </row>
    <row r="108" spans="3:13" hidden="1" outlineLevel="1" x14ac:dyDescent="0.3">
      <c r="C108" s="231">
        <v>29</v>
      </c>
      <c r="D108" s="692"/>
      <c r="E108" s="692"/>
      <c r="F108" s="692"/>
      <c r="G108" s="681"/>
      <c r="H108" s="681"/>
      <c r="I108" s="681"/>
      <c r="J108" s="265"/>
      <c r="K108" s="267"/>
      <c r="L108" s="16" t="str">
        <f t="shared" si="3"/>
        <v/>
      </c>
      <c r="M108" s="118"/>
    </row>
    <row r="109" spans="3:13" hidden="1" outlineLevel="1" x14ac:dyDescent="0.3">
      <c r="C109" s="231">
        <v>30</v>
      </c>
      <c r="D109" s="692"/>
      <c r="E109" s="692"/>
      <c r="F109" s="692"/>
      <c r="G109" s="681"/>
      <c r="H109" s="681"/>
      <c r="I109" s="681"/>
      <c r="J109" s="265"/>
      <c r="K109" s="267"/>
      <c r="L109" s="16" t="str">
        <f t="shared" si="3"/>
        <v/>
      </c>
    </row>
    <row r="110" spans="3:13" hidden="1" outlineLevel="1" x14ac:dyDescent="0.3">
      <c r="C110" s="231">
        <v>31</v>
      </c>
      <c r="D110" s="692"/>
      <c r="E110" s="692"/>
      <c r="F110" s="692"/>
      <c r="G110" s="681"/>
      <c r="H110" s="681"/>
      <c r="I110" s="681"/>
      <c r="J110" s="265"/>
      <c r="K110" s="267"/>
      <c r="L110" s="16" t="str">
        <f t="shared" si="3"/>
        <v/>
      </c>
    </row>
    <row r="111" spans="3:13" hidden="1" outlineLevel="1" x14ac:dyDescent="0.3">
      <c r="C111" s="231">
        <v>32</v>
      </c>
      <c r="D111" s="692"/>
      <c r="E111" s="692"/>
      <c r="F111" s="692"/>
      <c r="G111" s="681"/>
      <c r="H111" s="681"/>
      <c r="I111" s="681"/>
      <c r="J111" s="265"/>
      <c r="K111" s="267"/>
      <c r="L111" s="16" t="str">
        <f t="shared" si="3"/>
        <v/>
      </c>
    </row>
    <row r="112" spans="3:13" hidden="1" outlineLevel="1" x14ac:dyDescent="0.3">
      <c r="C112" s="231">
        <v>33</v>
      </c>
      <c r="D112" s="692"/>
      <c r="E112" s="692"/>
      <c r="F112" s="692"/>
      <c r="G112" s="681"/>
      <c r="H112" s="681"/>
      <c r="I112" s="681"/>
      <c r="J112" s="265"/>
      <c r="K112" s="267"/>
      <c r="L112" s="16" t="str">
        <f t="shared" si="3"/>
        <v/>
      </c>
    </row>
    <row r="113" spans="3:12" hidden="1" outlineLevel="1" x14ac:dyDescent="0.3">
      <c r="C113" s="231">
        <v>34</v>
      </c>
      <c r="D113" s="692"/>
      <c r="E113" s="692"/>
      <c r="F113" s="692"/>
      <c r="G113" s="681"/>
      <c r="H113" s="681"/>
      <c r="I113" s="681"/>
      <c r="J113" s="265"/>
      <c r="K113" s="267"/>
      <c r="L113" s="16" t="str">
        <f t="shared" si="3"/>
        <v/>
      </c>
    </row>
    <row r="114" spans="3:12" hidden="1" outlineLevel="1" x14ac:dyDescent="0.3">
      <c r="C114" s="231">
        <v>35</v>
      </c>
      <c r="D114" s="692"/>
      <c r="E114" s="692"/>
      <c r="F114" s="692"/>
      <c r="G114" s="681"/>
      <c r="H114" s="681"/>
      <c r="I114" s="681"/>
      <c r="J114" s="265"/>
      <c r="K114" s="267"/>
      <c r="L114" s="16" t="str">
        <f t="shared" si="3"/>
        <v/>
      </c>
    </row>
    <row r="115" spans="3:12" hidden="1" outlineLevel="1" x14ac:dyDescent="0.3">
      <c r="C115" s="231">
        <v>36</v>
      </c>
      <c r="D115" s="692"/>
      <c r="E115" s="692"/>
      <c r="F115" s="692"/>
      <c r="G115" s="681"/>
      <c r="H115" s="681"/>
      <c r="I115" s="681"/>
      <c r="J115" s="265"/>
      <c r="K115" s="267"/>
      <c r="L115" s="16" t="str">
        <f t="shared" si="3"/>
        <v/>
      </c>
    </row>
    <row r="116" spans="3:12" hidden="1" outlineLevel="1" x14ac:dyDescent="0.3">
      <c r="C116" s="231">
        <v>37</v>
      </c>
      <c r="D116" s="692"/>
      <c r="E116" s="692"/>
      <c r="F116" s="692"/>
      <c r="G116" s="681"/>
      <c r="H116" s="681"/>
      <c r="I116" s="681"/>
      <c r="J116" s="265"/>
      <c r="K116" s="267"/>
      <c r="L116" s="16" t="str">
        <f t="shared" si="3"/>
        <v/>
      </c>
    </row>
    <row r="117" spans="3:12" hidden="1" outlineLevel="1" x14ac:dyDescent="0.3">
      <c r="C117" s="231">
        <v>38</v>
      </c>
      <c r="D117" s="692"/>
      <c r="E117" s="692"/>
      <c r="F117" s="692"/>
      <c r="G117" s="681"/>
      <c r="H117" s="681"/>
      <c r="I117" s="681"/>
      <c r="J117" s="265"/>
      <c r="K117" s="267"/>
      <c r="L117" s="16" t="str">
        <f t="shared" si="3"/>
        <v/>
      </c>
    </row>
    <row r="118" spans="3:12" hidden="1" outlineLevel="1" x14ac:dyDescent="0.3">
      <c r="C118" s="231">
        <v>39</v>
      </c>
      <c r="D118" s="692"/>
      <c r="E118" s="692"/>
      <c r="F118" s="692"/>
      <c r="G118" s="681"/>
      <c r="H118" s="681"/>
      <c r="I118" s="681"/>
      <c r="J118" s="265"/>
      <c r="K118" s="267"/>
      <c r="L118" s="16" t="str">
        <f t="shared" si="3"/>
        <v/>
      </c>
    </row>
    <row r="119" spans="3:12" hidden="1" outlineLevel="1" x14ac:dyDescent="0.3">
      <c r="C119" s="231">
        <v>40</v>
      </c>
      <c r="D119" s="692"/>
      <c r="E119" s="692"/>
      <c r="F119" s="692"/>
      <c r="G119" s="681"/>
      <c r="H119" s="681"/>
      <c r="I119" s="681"/>
      <c r="J119" s="265"/>
      <c r="K119" s="267"/>
      <c r="L119" s="16" t="str">
        <f t="shared" si="3"/>
        <v/>
      </c>
    </row>
    <row r="120" spans="3:12" hidden="1" outlineLevel="1" x14ac:dyDescent="0.3">
      <c r="C120" s="231">
        <v>41</v>
      </c>
      <c r="D120" s="692"/>
      <c r="E120" s="692"/>
      <c r="F120" s="692"/>
      <c r="G120" s="681"/>
      <c r="H120" s="681"/>
      <c r="I120" s="681"/>
      <c r="J120" s="265"/>
      <c r="K120" s="267"/>
      <c r="L120" s="16" t="str">
        <f t="shared" si="3"/>
        <v/>
      </c>
    </row>
    <row r="121" spans="3:12" hidden="1" outlineLevel="1" x14ac:dyDescent="0.3">
      <c r="C121" s="231">
        <v>42</v>
      </c>
      <c r="D121" s="692"/>
      <c r="E121" s="692"/>
      <c r="F121" s="692"/>
      <c r="G121" s="681"/>
      <c r="H121" s="681"/>
      <c r="I121" s="681"/>
      <c r="J121" s="265"/>
      <c r="K121" s="267"/>
      <c r="L121" s="16" t="str">
        <f t="shared" si="3"/>
        <v/>
      </c>
    </row>
    <row r="122" spans="3:12" hidden="1" outlineLevel="1" x14ac:dyDescent="0.3">
      <c r="C122" s="231">
        <v>43</v>
      </c>
      <c r="D122" s="692"/>
      <c r="E122" s="692"/>
      <c r="F122" s="692"/>
      <c r="G122" s="681"/>
      <c r="H122" s="681"/>
      <c r="I122" s="681"/>
      <c r="J122" s="265"/>
      <c r="K122" s="267"/>
      <c r="L122" s="16" t="str">
        <f t="shared" si="3"/>
        <v/>
      </c>
    </row>
    <row r="123" spans="3:12" hidden="1" outlineLevel="1" x14ac:dyDescent="0.3">
      <c r="C123" s="231">
        <v>44</v>
      </c>
      <c r="D123" s="692"/>
      <c r="E123" s="692"/>
      <c r="F123" s="692"/>
      <c r="G123" s="681"/>
      <c r="H123" s="681"/>
      <c r="I123" s="681"/>
      <c r="J123" s="265"/>
      <c r="K123" s="267"/>
      <c r="L123" s="16" t="str">
        <f t="shared" si="3"/>
        <v/>
      </c>
    </row>
    <row r="124" spans="3:12" hidden="1" outlineLevel="1" x14ac:dyDescent="0.3">
      <c r="C124" s="231">
        <v>45</v>
      </c>
      <c r="D124" s="692"/>
      <c r="E124" s="692"/>
      <c r="F124" s="692"/>
      <c r="G124" s="681"/>
      <c r="H124" s="681"/>
      <c r="I124" s="681"/>
      <c r="J124" s="265"/>
      <c r="K124" s="267"/>
      <c r="L124" s="16" t="str">
        <f t="shared" si="3"/>
        <v/>
      </c>
    </row>
    <row r="125" spans="3:12" hidden="1" outlineLevel="1" x14ac:dyDescent="0.3">
      <c r="C125" s="231">
        <v>46</v>
      </c>
      <c r="D125" s="692"/>
      <c r="E125" s="692"/>
      <c r="F125" s="692"/>
      <c r="G125" s="681"/>
      <c r="H125" s="681"/>
      <c r="I125" s="681"/>
      <c r="J125" s="265"/>
      <c r="K125" s="267"/>
      <c r="L125" s="16" t="str">
        <f t="shared" si="3"/>
        <v/>
      </c>
    </row>
    <row r="126" spans="3:12" hidden="1" outlineLevel="1" x14ac:dyDescent="0.3">
      <c r="C126" s="231">
        <v>47</v>
      </c>
      <c r="D126" s="692"/>
      <c r="E126" s="692"/>
      <c r="F126" s="692"/>
      <c r="G126" s="681"/>
      <c r="H126" s="681"/>
      <c r="I126" s="681"/>
      <c r="J126" s="265"/>
      <c r="K126" s="267"/>
      <c r="L126" s="16" t="str">
        <f t="shared" si="3"/>
        <v/>
      </c>
    </row>
    <row r="127" spans="3:12" hidden="1" outlineLevel="1" x14ac:dyDescent="0.3">
      <c r="C127" s="231">
        <v>48</v>
      </c>
      <c r="D127" s="692"/>
      <c r="E127" s="692"/>
      <c r="F127" s="692"/>
      <c r="G127" s="681"/>
      <c r="H127" s="681"/>
      <c r="I127" s="681"/>
      <c r="J127" s="265"/>
      <c r="K127" s="267"/>
      <c r="L127" s="16" t="str">
        <f t="shared" si="3"/>
        <v/>
      </c>
    </row>
    <row r="128" spans="3:12" hidden="1" outlineLevel="1" x14ac:dyDescent="0.3">
      <c r="C128" s="231">
        <v>49</v>
      </c>
      <c r="D128" s="692"/>
      <c r="E128" s="692"/>
      <c r="F128" s="692"/>
      <c r="G128" s="681"/>
      <c r="H128" s="681"/>
      <c r="I128" s="681"/>
      <c r="J128" s="265"/>
      <c r="K128" s="267"/>
      <c r="L128" s="16" t="str">
        <f t="shared" si="3"/>
        <v/>
      </c>
    </row>
    <row r="129" spans="3:12" hidden="1" outlineLevel="1" x14ac:dyDescent="0.3">
      <c r="C129" s="231">
        <v>50</v>
      </c>
      <c r="D129" s="692"/>
      <c r="E129" s="692"/>
      <c r="F129" s="692"/>
      <c r="G129" s="681"/>
      <c r="H129" s="681"/>
      <c r="I129" s="681"/>
      <c r="J129" s="265"/>
      <c r="K129" s="267"/>
      <c r="L129" s="16" t="str">
        <f t="shared" si="3"/>
        <v/>
      </c>
    </row>
    <row r="130" spans="3:12" hidden="1" outlineLevel="1" x14ac:dyDescent="0.3">
      <c r="C130" s="231">
        <v>51</v>
      </c>
      <c r="D130" s="692"/>
      <c r="E130" s="692"/>
      <c r="F130" s="692"/>
      <c r="G130" s="681"/>
      <c r="H130" s="681"/>
      <c r="I130" s="681"/>
      <c r="J130" s="265"/>
      <c r="K130" s="267"/>
      <c r="L130" s="16" t="str">
        <f t="shared" si="3"/>
        <v/>
      </c>
    </row>
    <row r="131" spans="3:12" hidden="1" outlineLevel="1" x14ac:dyDescent="0.3">
      <c r="C131" s="231">
        <v>52</v>
      </c>
      <c r="D131" s="692"/>
      <c r="E131" s="692"/>
      <c r="F131" s="692"/>
      <c r="G131" s="681"/>
      <c r="H131" s="681"/>
      <c r="I131" s="681"/>
      <c r="J131" s="265"/>
      <c r="K131" s="267"/>
      <c r="L131" s="16" t="str">
        <f t="shared" si="3"/>
        <v/>
      </c>
    </row>
    <row r="132" spans="3:12" hidden="1" outlineLevel="1" x14ac:dyDescent="0.3">
      <c r="C132" s="231">
        <v>53</v>
      </c>
      <c r="D132" s="692"/>
      <c r="E132" s="692"/>
      <c r="F132" s="692"/>
      <c r="G132" s="681"/>
      <c r="H132" s="681"/>
      <c r="I132" s="681"/>
      <c r="J132" s="265"/>
      <c r="K132" s="267"/>
      <c r="L132" s="16" t="str">
        <f t="shared" si="3"/>
        <v/>
      </c>
    </row>
    <row r="133" spans="3:12" hidden="1" outlineLevel="1" x14ac:dyDescent="0.3">
      <c r="C133" s="231">
        <v>54</v>
      </c>
      <c r="D133" s="692"/>
      <c r="E133" s="692"/>
      <c r="F133" s="692"/>
      <c r="G133" s="681"/>
      <c r="H133" s="681"/>
      <c r="I133" s="681"/>
      <c r="J133" s="265"/>
      <c r="K133" s="267"/>
      <c r="L133" s="16" t="str">
        <f t="shared" si="3"/>
        <v/>
      </c>
    </row>
    <row r="134" spans="3:12" hidden="1" outlineLevel="1" x14ac:dyDescent="0.3">
      <c r="C134" s="231">
        <v>55</v>
      </c>
      <c r="D134" s="692"/>
      <c r="E134" s="692"/>
      <c r="F134" s="692"/>
      <c r="G134" s="681"/>
      <c r="H134" s="681"/>
      <c r="I134" s="681"/>
      <c r="J134" s="265"/>
      <c r="K134" s="267"/>
      <c r="L134" s="16" t="str">
        <f t="shared" si="3"/>
        <v/>
      </c>
    </row>
    <row r="135" spans="3:12" hidden="1" outlineLevel="1" x14ac:dyDescent="0.3">
      <c r="C135" s="231">
        <v>56</v>
      </c>
      <c r="D135" s="692"/>
      <c r="E135" s="692"/>
      <c r="F135" s="692"/>
      <c r="G135" s="681"/>
      <c r="H135" s="681"/>
      <c r="I135" s="681"/>
      <c r="J135" s="265"/>
      <c r="K135" s="267"/>
      <c r="L135" s="16" t="str">
        <f t="shared" si="3"/>
        <v/>
      </c>
    </row>
    <row r="136" spans="3:12" hidden="1" outlineLevel="1" x14ac:dyDescent="0.3">
      <c r="C136" s="231">
        <v>57</v>
      </c>
      <c r="D136" s="692"/>
      <c r="E136" s="692"/>
      <c r="F136" s="692"/>
      <c r="G136" s="681"/>
      <c r="H136" s="681"/>
      <c r="I136" s="681"/>
      <c r="J136" s="265"/>
      <c r="K136" s="267"/>
      <c r="L136" s="16" t="str">
        <f t="shared" si="3"/>
        <v/>
      </c>
    </row>
    <row r="137" spans="3:12" hidden="1" outlineLevel="1" x14ac:dyDescent="0.3">
      <c r="C137" s="231">
        <v>58</v>
      </c>
      <c r="D137" s="692"/>
      <c r="E137" s="692"/>
      <c r="F137" s="692"/>
      <c r="G137" s="681"/>
      <c r="H137" s="681"/>
      <c r="I137" s="681"/>
      <c r="J137" s="265"/>
      <c r="K137" s="267"/>
      <c r="L137" s="16" t="str">
        <f t="shared" si="3"/>
        <v/>
      </c>
    </row>
    <row r="138" spans="3:12" hidden="1" outlineLevel="1" x14ac:dyDescent="0.3">
      <c r="C138" s="231">
        <v>59</v>
      </c>
      <c r="D138" s="692"/>
      <c r="E138" s="692"/>
      <c r="F138" s="692"/>
      <c r="G138" s="681"/>
      <c r="H138" s="681"/>
      <c r="I138" s="681"/>
      <c r="J138" s="265"/>
      <c r="K138" s="267"/>
      <c r="L138" s="16" t="str">
        <f t="shared" si="3"/>
        <v/>
      </c>
    </row>
    <row r="139" spans="3:12" hidden="1" outlineLevel="1" x14ac:dyDescent="0.3">
      <c r="C139" s="231">
        <v>60</v>
      </c>
      <c r="D139" s="692"/>
      <c r="E139" s="692"/>
      <c r="F139" s="692"/>
      <c r="G139" s="681"/>
      <c r="H139" s="681"/>
      <c r="I139" s="681"/>
      <c r="J139" s="265"/>
      <c r="K139" s="267"/>
      <c r="L139" s="16" t="str">
        <f t="shared" si="3"/>
        <v/>
      </c>
    </row>
    <row r="140" spans="3:12" hidden="1" outlineLevel="1" x14ac:dyDescent="0.3">
      <c r="C140" s="231">
        <v>61</v>
      </c>
      <c r="D140" s="692"/>
      <c r="E140" s="692"/>
      <c r="F140" s="692"/>
      <c r="G140" s="681"/>
      <c r="H140" s="681"/>
      <c r="I140" s="681"/>
      <c r="J140" s="265"/>
      <c r="K140" s="267"/>
      <c r="L140" s="16" t="str">
        <f t="shared" si="3"/>
        <v/>
      </c>
    </row>
    <row r="141" spans="3:12" hidden="1" outlineLevel="1" x14ac:dyDescent="0.3">
      <c r="C141" s="231">
        <v>62</v>
      </c>
      <c r="D141" s="692"/>
      <c r="E141" s="692"/>
      <c r="F141" s="692"/>
      <c r="G141" s="681"/>
      <c r="H141" s="681"/>
      <c r="I141" s="681"/>
      <c r="J141" s="265"/>
      <c r="K141" s="267"/>
      <c r="L141" s="16" t="str">
        <f t="shared" si="3"/>
        <v/>
      </c>
    </row>
    <row r="142" spans="3:12" hidden="1" outlineLevel="1" x14ac:dyDescent="0.3">
      <c r="C142" s="231">
        <v>63</v>
      </c>
      <c r="D142" s="692"/>
      <c r="E142" s="692"/>
      <c r="F142" s="692"/>
      <c r="G142" s="681"/>
      <c r="H142" s="681"/>
      <c r="I142" s="681"/>
      <c r="J142" s="265"/>
      <c r="K142" s="267"/>
      <c r="L142" s="16" t="str">
        <f t="shared" si="3"/>
        <v/>
      </c>
    </row>
    <row r="143" spans="3:12" hidden="1" outlineLevel="1" x14ac:dyDescent="0.3">
      <c r="C143" s="231">
        <v>64</v>
      </c>
      <c r="D143" s="692"/>
      <c r="E143" s="692"/>
      <c r="F143" s="692"/>
      <c r="G143" s="681"/>
      <c r="H143" s="681"/>
      <c r="I143" s="681"/>
      <c r="J143" s="265"/>
      <c r="K143" s="267"/>
      <c r="L143" s="16" t="str">
        <f t="shared" si="3"/>
        <v/>
      </c>
    </row>
    <row r="144" spans="3:12" hidden="1" outlineLevel="1" x14ac:dyDescent="0.3">
      <c r="C144" s="231">
        <v>65</v>
      </c>
      <c r="D144" s="692"/>
      <c r="E144" s="692"/>
      <c r="F144" s="692"/>
      <c r="G144" s="681"/>
      <c r="H144" s="681"/>
      <c r="I144" s="681"/>
      <c r="J144" s="265"/>
      <c r="K144" s="267"/>
      <c r="L144" s="16" t="str">
        <f t="shared" si="3"/>
        <v/>
      </c>
    </row>
    <row r="145" spans="3:12" hidden="1" outlineLevel="1" x14ac:dyDescent="0.3">
      <c r="C145" s="231">
        <v>66</v>
      </c>
      <c r="D145" s="692"/>
      <c r="E145" s="692"/>
      <c r="F145" s="692"/>
      <c r="G145" s="681"/>
      <c r="H145" s="681"/>
      <c r="I145" s="681"/>
      <c r="J145" s="265"/>
      <c r="K145" s="267"/>
      <c r="L145" s="16" t="str">
        <f t="shared" si="3"/>
        <v/>
      </c>
    </row>
    <row r="146" spans="3:12" hidden="1" outlineLevel="1" x14ac:dyDescent="0.3">
      <c r="C146" s="231">
        <v>67</v>
      </c>
      <c r="D146" s="692"/>
      <c r="E146" s="692"/>
      <c r="F146" s="692"/>
      <c r="G146" s="681"/>
      <c r="H146" s="681"/>
      <c r="I146" s="681"/>
      <c r="J146" s="265"/>
      <c r="K146" s="267"/>
      <c r="L146" s="16" t="str">
        <f t="shared" si="3"/>
        <v/>
      </c>
    </row>
    <row r="147" spans="3:12" hidden="1" outlineLevel="1" x14ac:dyDescent="0.3">
      <c r="C147" s="231">
        <v>68</v>
      </c>
      <c r="D147" s="692"/>
      <c r="E147" s="692"/>
      <c r="F147" s="692"/>
      <c r="G147" s="681"/>
      <c r="H147" s="681"/>
      <c r="I147" s="681"/>
      <c r="J147" s="265"/>
      <c r="K147" s="267"/>
      <c r="L147" s="16" t="str">
        <f t="shared" si="3"/>
        <v/>
      </c>
    </row>
    <row r="148" spans="3:12" hidden="1" outlineLevel="1" x14ac:dyDescent="0.3">
      <c r="C148" s="231">
        <v>69</v>
      </c>
      <c r="D148" s="692"/>
      <c r="E148" s="692"/>
      <c r="F148" s="692"/>
      <c r="G148" s="681"/>
      <c r="H148" s="681"/>
      <c r="I148" s="681"/>
      <c r="J148" s="265"/>
      <c r="K148" s="267"/>
      <c r="L148" s="16" t="str">
        <f t="shared" si="3"/>
        <v/>
      </c>
    </row>
    <row r="149" spans="3:12" hidden="1" outlineLevel="1" x14ac:dyDescent="0.3">
      <c r="C149" s="231">
        <v>70</v>
      </c>
      <c r="D149" s="692"/>
      <c r="E149" s="692"/>
      <c r="F149" s="692"/>
      <c r="G149" s="681"/>
      <c r="H149" s="681"/>
      <c r="I149" s="681"/>
      <c r="J149" s="265"/>
      <c r="K149" s="267"/>
      <c r="L149" s="16" t="str">
        <f t="shared" si="3"/>
        <v/>
      </c>
    </row>
    <row r="150" spans="3:12" hidden="1" outlineLevel="1" x14ac:dyDescent="0.3">
      <c r="C150" s="231">
        <v>71</v>
      </c>
      <c r="D150" s="692"/>
      <c r="E150" s="692"/>
      <c r="F150" s="692"/>
      <c r="G150" s="681"/>
      <c r="H150" s="681"/>
      <c r="I150" s="681"/>
      <c r="J150" s="265"/>
      <c r="K150" s="267"/>
      <c r="L150" s="16" t="str">
        <f t="shared" si="3"/>
        <v/>
      </c>
    </row>
    <row r="151" spans="3:12" hidden="1" outlineLevel="1" x14ac:dyDescent="0.3">
      <c r="C151" s="231">
        <v>72</v>
      </c>
      <c r="D151" s="692"/>
      <c r="E151" s="692"/>
      <c r="F151" s="692"/>
      <c r="G151" s="681"/>
      <c r="H151" s="681"/>
      <c r="I151" s="681"/>
      <c r="J151" s="265"/>
      <c r="K151" s="267"/>
      <c r="L151" s="16" t="str">
        <f t="shared" si="3"/>
        <v/>
      </c>
    </row>
    <row r="152" spans="3:12" hidden="1" outlineLevel="1" x14ac:dyDescent="0.3">
      <c r="C152" s="231">
        <v>73</v>
      </c>
      <c r="D152" s="692"/>
      <c r="E152" s="692"/>
      <c r="F152" s="692"/>
      <c r="G152" s="681"/>
      <c r="H152" s="681"/>
      <c r="I152" s="681"/>
      <c r="J152" s="265"/>
      <c r="K152" s="267"/>
      <c r="L152" s="16" t="str">
        <f t="shared" si="3"/>
        <v/>
      </c>
    </row>
    <row r="153" spans="3:12" hidden="1" outlineLevel="1" x14ac:dyDescent="0.3">
      <c r="C153" s="231">
        <v>74</v>
      </c>
      <c r="D153" s="692"/>
      <c r="E153" s="692"/>
      <c r="F153" s="692"/>
      <c r="G153" s="681"/>
      <c r="H153" s="681"/>
      <c r="I153" s="681"/>
      <c r="J153" s="265"/>
      <c r="K153" s="267"/>
      <c r="L153" s="16" t="str">
        <f t="shared" si="3"/>
        <v/>
      </c>
    </row>
    <row r="154" spans="3:12" hidden="1" outlineLevel="1" x14ac:dyDescent="0.3">
      <c r="C154" s="231">
        <v>75</v>
      </c>
      <c r="D154" s="692"/>
      <c r="E154" s="692"/>
      <c r="F154" s="692"/>
      <c r="G154" s="681"/>
      <c r="H154" s="681"/>
      <c r="I154" s="681"/>
      <c r="J154" s="265"/>
      <c r="K154" s="267"/>
      <c r="L154" s="16" t="str">
        <f t="shared" si="3"/>
        <v/>
      </c>
    </row>
    <row r="155" spans="3:12" hidden="1" outlineLevel="1" x14ac:dyDescent="0.3">
      <c r="C155" s="231">
        <v>76</v>
      </c>
      <c r="D155" s="692"/>
      <c r="E155" s="692"/>
      <c r="F155" s="692"/>
      <c r="G155" s="681"/>
      <c r="H155" s="681"/>
      <c r="I155" s="681"/>
      <c r="J155" s="265"/>
      <c r="K155" s="267"/>
      <c r="L155" s="16" t="str">
        <f t="shared" si="3"/>
        <v/>
      </c>
    </row>
    <row r="156" spans="3:12" hidden="1" outlineLevel="1" x14ac:dyDescent="0.3">
      <c r="C156" s="231">
        <v>77</v>
      </c>
      <c r="D156" s="692"/>
      <c r="E156" s="692"/>
      <c r="F156" s="692"/>
      <c r="G156" s="681"/>
      <c r="H156" s="681"/>
      <c r="I156" s="681"/>
      <c r="J156" s="265"/>
      <c r="K156" s="267"/>
      <c r="L156" s="16" t="str">
        <f t="shared" si="3"/>
        <v/>
      </c>
    </row>
    <row r="157" spans="3:12" hidden="1" outlineLevel="1" x14ac:dyDescent="0.3">
      <c r="C157" s="231">
        <v>78</v>
      </c>
      <c r="D157" s="692"/>
      <c r="E157" s="692"/>
      <c r="F157" s="692"/>
      <c r="G157" s="681"/>
      <c r="H157" s="681"/>
      <c r="I157" s="681"/>
      <c r="J157" s="265"/>
      <c r="K157" s="267"/>
      <c r="L157" s="16" t="str">
        <f t="shared" si="3"/>
        <v/>
      </c>
    </row>
    <row r="158" spans="3:12" hidden="1" outlineLevel="1" x14ac:dyDescent="0.3">
      <c r="C158" s="231">
        <v>79</v>
      </c>
      <c r="D158" s="692"/>
      <c r="E158" s="692"/>
      <c r="F158" s="692"/>
      <c r="G158" s="681"/>
      <c r="H158" s="681"/>
      <c r="I158" s="681"/>
      <c r="J158" s="265"/>
      <c r="K158" s="267"/>
      <c r="L158" s="16" t="str">
        <f t="shared" si="3"/>
        <v/>
      </c>
    </row>
    <row r="159" spans="3:12" hidden="1" outlineLevel="1" x14ac:dyDescent="0.3">
      <c r="C159" s="231">
        <v>80</v>
      </c>
      <c r="D159" s="692"/>
      <c r="E159" s="692"/>
      <c r="F159" s="692"/>
      <c r="G159" s="681"/>
      <c r="H159" s="681"/>
      <c r="I159" s="681"/>
      <c r="J159" s="265"/>
      <c r="K159" s="267"/>
      <c r="L159" s="16" t="str">
        <f t="shared" si="3"/>
        <v/>
      </c>
    </row>
    <row r="160" spans="3:12" hidden="1" outlineLevel="1" x14ac:dyDescent="0.3">
      <c r="C160" s="231">
        <v>81</v>
      </c>
      <c r="D160" s="692"/>
      <c r="E160" s="692"/>
      <c r="F160" s="692"/>
      <c r="G160" s="681"/>
      <c r="H160" s="681"/>
      <c r="I160" s="681"/>
      <c r="J160" s="265"/>
      <c r="K160" s="267"/>
      <c r="L160" s="16" t="str">
        <f t="shared" si="3"/>
        <v/>
      </c>
    </row>
    <row r="161" spans="3:12" hidden="1" outlineLevel="1" x14ac:dyDescent="0.3">
      <c r="C161" s="231">
        <v>82</v>
      </c>
      <c r="D161" s="692"/>
      <c r="E161" s="692"/>
      <c r="F161" s="692"/>
      <c r="G161" s="681"/>
      <c r="H161" s="681"/>
      <c r="I161" s="681"/>
      <c r="J161" s="265"/>
      <c r="K161" s="267"/>
      <c r="L161" s="16" t="str">
        <f t="shared" si="3"/>
        <v/>
      </c>
    </row>
    <row r="162" spans="3:12" hidden="1" outlineLevel="1" x14ac:dyDescent="0.3">
      <c r="C162" s="231">
        <v>83</v>
      </c>
      <c r="D162" s="692"/>
      <c r="E162" s="692"/>
      <c r="F162" s="692"/>
      <c r="G162" s="681"/>
      <c r="H162" s="681"/>
      <c r="I162" s="681"/>
      <c r="J162" s="265"/>
      <c r="K162" s="267"/>
      <c r="L162" s="16" t="str">
        <f t="shared" si="3"/>
        <v/>
      </c>
    </row>
    <row r="163" spans="3:12" hidden="1" outlineLevel="1" x14ac:dyDescent="0.3">
      <c r="C163" s="231">
        <v>84</v>
      </c>
      <c r="D163" s="692"/>
      <c r="E163" s="692"/>
      <c r="F163" s="692"/>
      <c r="G163" s="681"/>
      <c r="H163" s="681"/>
      <c r="I163" s="681"/>
      <c r="J163" s="265"/>
      <c r="K163" s="267"/>
      <c r="L163" s="16" t="str">
        <f t="shared" si="3"/>
        <v/>
      </c>
    </row>
    <row r="164" spans="3:12" hidden="1" outlineLevel="1" x14ac:dyDescent="0.3">
      <c r="C164" s="231">
        <v>85</v>
      </c>
      <c r="D164" s="692"/>
      <c r="E164" s="692"/>
      <c r="F164" s="692"/>
      <c r="G164" s="681"/>
      <c r="H164" s="681"/>
      <c r="I164" s="681"/>
      <c r="J164" s="265"/>
      <c r="K164" s="267"/>
      <c r="L164" s="16" t="str">
        <f t="shared" si="3"/>
        <v/>
      </c>
    </row>
    <row r="165" spans="3:12" hidden="1" outlineLevel="1" x14ac:dyDescent="0.3">
      <c r="C165" s="231">
        <v>86</v>
      </c>
      <c r="D165" s="692"/>
      <c r="E165" s="692"/>
      <c r="F165" s="692"/>
      <c r="G165" s="681"/>
      <c r="H165" s="681"/>
      <c r="I165" s="681"/>
      <c r="J165" s="265"/>
      <c r="K165" s="267"/>
      <c r="L165" s="16" t="str">
        <f t="shared" si="3"/>
        <v/>
      </c>
    </row>
    <row r="166" spans="3:12" hidden="1" outlineLevel="1" x14ac:dyDescent="0.3">
      <c r="C166" s="231">
        <v>87</v>
      </c>
      <c r="D166" s="692"/>
      <c r="E166" s="692"/>
      <c r="F166" s="692"/>
      <c r="G166" s="681"/>
      <c r="H166" s="681"/>
      <c r="I166" s="681"/>
      <c r="J166" s="265"/>
      <c r="K166" s="267"/>
      <c r="L166" s="16" t="str">
        <f t="shared" si="3"/>
        <v/>
      </c>
    </row>
    <row r="167" spans="3:12" hidden="1" outlineLevel="1" x14ac:dyDescent="0.3">
      <c r="C167" s="231">
        <v>88</v>
      </c>
      <c r="D167" s="692"/>
      <c r="E167" s="692"/>
      <c r="F167" s="692"/>
      <c r="G167" s="681"/>
      <c r="H167" s="681"/>
      <c r="I167" s="681"/>
      <c r="J167" s="265"/>
      <c r="K167" s="267"/>
      <c r="L167" s="16" t="str">
        <f t="shared" si="3"/>
        <v/>
      </c>
    </row>
    <row r="168" spans="3:12" hidden="1" outlineLevel="1" x14ac:dyDescent="0.3">
      <c r="C168" s="231">
        <v>89</v>
      </c>
      <c r="D168" s="692"/>
      <c r="E168" s="692"/>
      <c r="F168" s="692"/>
      <c r="G168" s="681"/>
      <c r="H168" s="681"/>
      <c r="I168" s="681"/>
      <c r="J168" s="265"/>
      <c r="K168" s="267"/>
      <c r="L168" s="16" t="str">
        <f t="shared" si="3"/>
        <v/>
      </c>
    </row>
    <row r="169" spans="3:12" hidden="1" outlineLevel="1" x14ac:dyDescent="0.3">
      <c r="C169" s="231">
        <v>90</v>
      </c>
      <c r="D169" s="692"/>
      <c r="E169" s="692"/>
      <c r="F169" s="692"/>
      <c r="G169" s="681"/>
      <c r="H169" s="681"/>
      <c r="I169" s="681"/>
      <c r="J169" s="265"/>
      <c r="K169" s="267"/>
      <c r="L169" s="16" t="str">
        <f t="shared" si="3"/>
        <v/>
      </c>
    </row>
    <row r="170" spans="3:12" hidden="1" outlineLevel="1" x14ac:dyDescent="0.3">
      <c r="C170" s="231">
        <v>91</v>
      </c>
      <c r="D170" s="692"/>
      <c r="E170" s="692"/>
      <c r="F170" s="692"/>
      <c r="G170" s="681"/>
      <c r="H170" s="681"/>
      <c r="I170" s="681"/>
      <c r="J170" s="265"/>
      <c r="K170" s="267"/>
      <c r="L170" s="16" t="str">
        <f t="shared" si="3"/>
        <v/>
      </c>
    </row>
    <row r="171" spans="3:12" hidden="1" outlineLevel="1" x14ac:dyDescent="0.3">
      <c r="C171" s="231">
        <v>92</v>
      </c>
      <c r="D171" s="692"/>
      <c r="E171" s="692"/>
      <c r="F171" s="692"/>
      <c r="G171" s="681"/>
      <c r="H171" s="681"/>
      <c r="I171" s="681"/>
      <c r="J171" s="265"/>
      <c r="K171" s="267"/>
      <c r="L171" s="16" t="str">
        <f t="shared" si="3"/>
        <v/>
      </c>
    </row>
    <row r="172" spans="3:12" hidden="1" outlineLevel="1" x14ac:dyDescent="0.3">
      <c r="C172" s="231">
        <v>93</v>
      </c>
      <c r="D172" s="692"/>
      <c r="E172" s="692"/>
      <c r="F172" s="692"/>
      <c r="G172" s="681"/>
      <c r="H172" s="681"/>
      <c r="I172" s="681"/>
      <c r="J172" s="265"/>
      <c r="K172" s="267"/>
      <c r="L172" s="16" t="str">
        <f t="shared" si="3"/>
        <v/>
      </c>
    </row>
    <row r="173" spans="3:12" hidden="1" outlineLevel="1" x14ac:dyDescent="0.3">
      <c r="C173" s="231">
        <v>94</v>
      </c>
      <c r="D173" s="692"/>
      <c r="E173" s="692"/>
      <c r="F173" s="692"/>
      <c r="G173" s="681"/>
      <c r="H173" s="681"/>
      <c r="I173" s="681"/>
      <c r="J173" s="265"/>
      <c r="K173" s="267"/>
      <c r="L173" s="16" t="str">
        <f t="shared" si="3"/>
        <v/>
      </c>
    </row>
    <row r="174" spans="3:12" hidden="1" outlineLevel="1" x14ac:dyDescent="0.3">
      <c r="C174" s="231">
        <v>95</v>
      </c>
      <c r="D174" s="692"/>
      <c r="E174" s="692"/>
      <c r="F174" s="692"/>
      <c r="G174" s="681"/>
      <c r="H174" s="681"/>
      <c r="I174" s="681"/>
      <c r="J174" s="265"/>
      <c r="K174" s="267"/>
      <c r="L174" s="16" t="str">
        <f t="shared" si="3"/>
        <v/>
      </c>
    </row>
    <row r="175" spans="3:12" hidden="1" outlineLevel="1" x14ac:dyDescent="0.3">
      <c r="C175" s="231">
        <v>96</v>
      </c>
      <c r="D175" s="692"/>
      <c r="E175" s="692"/>
      <c r="F175" s="692"/>
      <c r="G175" s="681"/>
      <c r="H175" s="681"/>
      <c r="I175" s="681"/>
      <c r="J175" s="265"/>
      <c r="K175" s="267"/>
      <c r="L175" s="16" t="str">
        <f t="shared" si="3"/>
        <v/>
      </c>
    </row>
    <row r="176" spans="3:12" hidden="1" outlineLevel="1" x14ac:dyDescent="0.3">
      <c r="C176" s="231">
        <v>97</v>
      </c>
      <c r="D176" s="692"/>
      <c r="E176" s="692"/>
      <c r="F176" s="692"/>
      <c r="G176" s="681"/>
      <c r="H176" s="681"/>
      <c r="I176" s="681"/>
      <c r="J176" s="265"/>
      <c r="K176" s="267"/>
      <c r="L176" s="16" t="str">
        <f t="shared" si="3"/>
        <v/>
      </c>
    </row>
    <row r="177" spans="3:17" hidden="1" outlineLevel="1" x14ac:dyDescent="0.3">
      <c r="C177" s="231">
        <v>98</v>
      </c>
      <c r="D177" s="692"/>
      <c r="E177" s="692"/>
      <c r="F177" s="692"/>
      <c r="G177" s="681"/>
      <c r="H177" s="681"/>
      <c r="I177" s="681"/>
      <c r="J177" s="265"/>
      <c r="K177" s="267"/>
      <c r="L177" s="16" t="str">
        <f t="shared" si="3"/>
        <v/>
      </c>
    </row>
    <row r="178" spans="3:17" hidden="1" outlineLevel="1" x14ac:dyDescent="0.3">
      <c r="C178" s="231">
        <v>99</v>
      </c>
      <c r="D178" s="692"/>
      <c r="E178" s="692"/>
      <c r="F178" s="692"/>
      <c r="G178" s="681"/>
      <c r="H178" s="681"/>
      <c r="I178" s="681"/>
      <c r="J178" s="265"/>
      <c r="K178" s="267"/>
      <c r="L178" s="16" t="str">
        <f t="shared" si="3"/>
        <v/>
      </c>
    </row>
    <row r="179" spans="3:17" ht="15" hidden="1" outlineLevel="1" thickBot="1" x14ac:dyDescent="0.35">
      <c r="C179" s="231">
        <v>100</v>
      </c>
      <c r="D179" s="692"/>
      <c r="E179" s="692"/>
      <c r="F179" s="692"/>
      <c r="G179" s="874"/>
      <c r="H179" s="874"/>
      <c r="I179" s="874"/>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81"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881"/>
      <c r="E181" s="881"/>
      <c r="F181" s="881"/>
      <c r="G181" s="881"/>
      <c r="H181" s="881"/>
      <c r="I181" s="881"/>
      <c r="J181" s="881"/>
      <c r="K181" s="882"/>
    </row>
    <row r="182" spans="3:17" x14ac:dyDescent="0.3">
      <c r="C182" s="532">
        <v>33</v>
      </c>
      <c r="D182" s="532"/>
      <c r="E182" s="532"/>
      <c r="F182" s="532"/>
      <c r="G182" s="532"/>
      <c r="H182" s="532"/>
      <c r="I182" s="532"/>
      <c r="J182" s="532"/>
      <c r="K182" s="899"/>
    </row>
    <row r="183" spans="3:17" x14ac:dyDescent="0.3">
      <c r="C183" s="647" t="s">
        <v>5649</v>
      </c>
      <c r="D183" s="647"/>
      <c r="E183" s="647"/>
      <c r="F183" s="647"/>
      <c r="G183" s="647"/>
      <c r="H183" s="647"/>
      <c r="I183" s="647"/>
      <c r="J183" s="647"/>
      <c r="K183" s="883"/>
    </row>
    <row r="184" spans="3:17" x14ac:dyDescent="0.3">
      <c r="C184" s="717" t="str">
        <f>template_label_does_the_undertaking_have_sites_that_are_located_in_or_near_biodiversity_sensitive_areas</f>
        <v>Does the undertaking have sites that are located in or near biodiversity sensitive areas?</v>
      </c>
      <c r="D184" s="718"/>
      <c r="E184" s="718"/>
      <c r="F184" s="718"/>
      <c r="G184" s="904" t="b">
        <v>0</v>
      </c>
      <c r="H184" s="905"/>
      <c r="I184" s="905"/>
      <c r="J184" s="905"/>
      <c r="K184" s="906"/>
    </row>
    <row r="185" spans="3:17" x14ac:dyDescent="0.3">
      <c r="C185" s="907" t="str">
        <f>template_label_please_select_the_unit_used_for_the_area</f>
        <v>Please select the unit used for the area (i.e. either hectares or m²):</v>
      </c>
      <c r="D185" s="908"/>
      <c r="E185" s="908"/>
      <c r="F185" s="908"/>
      <c r="G185" s="908"/>
      <c r="H185" s="908"/>
      <c r="I185" s="908"/>
      <c r="J185" s="908"/>
      <c r="K185" s="909"/>
    </row>
    <row r="186" spans="3:17" ht="15" thickBot="1" x14ac:dyDescent="0.35">
      <c r="C186" s="835"/>
      <c r="D186" s="836"/>
      <c r="E186" s="836"/>
      <c r="F186" s="836"/>
      <c r="G186" s="836"/>
      <c r="H186" s="836"/>
      <c r="I186" s="836"/>
      <c r="J186" s="836"/>
      <c r="K186" s="837"/>
      <c r="L186" s="17" t="str">
        <f>IF(AND(G184=TRUE,C186=""), template_label_missing_value, IF(AND(G184=TRUE,C186&lt;&gt;""), template_label_ok, ""))</f>
        <v/>
      </c>
    </row>
    <row r="187" spans="3:17" ht="57.6" customHeight="1" x14ac:dyDescent="0.3">
      <c r="C187" s="120" t="str">
        <f>template_label_related_site_id</f>
        <v>Related Site ID (select an ID from a site location reported in B1)</v>
      </c>
      <c r="D187" s="871" t="str">
        <f>template_label_site_location_in_near_a_biodiversity_area</f>
        <v>Site Location in near a biodiversity area - auto filled from B1</v>
      </c>
      <c r="E187" s="872"/>
      <c r="F187" s="873"/>
      <c r="G187" s="871" t="str">
        <f>template_label_area_hectares_or_m2</f>
        <v>Area (hectares or m² based on the selection above)</v>
      </c>
      <c r="H187" s="872"/>
      <c r="I187" s="873"/>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c r="D188" s="780"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781"/>
      <c r="F188" s="782"/>
      <c r="G188" s="678"/>
      <c r="H188" s="679"/>
      <c r="I188" s="679"/>
      <c r="J188" s="240" t="b">
        <v>0</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22"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23"/>
      <c r="F189" s="724"/>
      <c r="G189" s="678"/>
      <c r="H189" s="679"/>
      <c r="I189" s="679"/>
      <c r="J189" s="240" t="b">
        <v>0</v>
      </c>
      <c r="K189" s="238" t="b">
        <v>0</v>
      </c>
      <c r="L189" s="17" t="str">
        <f t="shared" si="4"/>
        <v/>
      </c>
    </row>
    <row r="190" spans="3:17" ht="15" thickBot="1" x14ac:dyDescent="0.35">
      <c r="C190" s="233"/>
      <c r="D190" s="800"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01"/>
      <c r="F190" s="802"/>
      <c r="G190" s="884"/>
      <c r="H190" s="884"/>
      <c r="I190" s="884"/>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719"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720"/>
      <c r="F191" s="721"/>
      <c r="G191" s="809"/>
      <c r="H191" s="810"/>
      <c r="I191" s="811"/>
      <c r="J191" s="242" t="b">
        <v>0</v>
      </c>
      <c r="K191" s="237" t="b">
        <v>0</v>
      </c>
      <c r="L191" s="17" t="str">
        <f t="shared" si="4"/>
        <v/>
      </c>
      <c r="M191" s="10"/>
      <c r="N191" s="10"/>
      <c r="O191" s="10"/>
      <c r="P191" s="10"/>
      <c r="Q191" s="10"/>
    </row>
    <row r="192" spans="3:17" hidden="1" outlineLevel="1" x14ac:dyDescent="0.3">
      <c r="C192" s="232"/>
      <c r="D192" s="722"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23"/>
      <c r="F192" s="724"/>
      <c r="G192" s="678"/>
      <c r="H192" s="679"/>
      <c r="I192" s="680"/>
      <c r="J192" s="243" t="b">
        <v>0</v>
      </c>
      <c r="K192" s="238" t="b">
        <v>0</v>
      </c>
      <c r="L192" s="17" t="str">
        <f t="shared" si="4"/>
        <v/>
      </c>
      <c r="M192" s="10"/>
      <c r="N192" s="10"/>
      <c r="O192" s="10"/>
      <c r="P192" s="10"/>
      <c r="Q192" s="10"/>
    </row>
    <row r="193" spans="3:17" hidden="1" outlineLevel="1" x14ac:dyDescent="0.3">
      <c r="C193" s="231"/>
      <c r="D193" s="722"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23"/>
      <c r="F193" s="724"/>
      <c r="G193" s="678"/>
      <c r="H193" s="679"/>
      <c r="I193" s="680"/>
      <c r="J193" s="243" t="b">
        <v>0</v>
      </c>
      <c r="K193" s="238" t="b">
        <v>0</v>
      </c>
      <c r="L193" s="17" t="str">
        <f t="shared" si="4"/>
        <v/>
      </c>
      <c r="M193" s="10"/>
      <c r="N193" s="10"/>
      <c r="O193" s="10"/>
      <c r="P193" s="10"/>
      <c r="Q193" s="10"/>
    </row>
    <row r="194" spans="3:17" hidden="1" outlineLevel="1" x14ac:dyDescent="0.3">
      <c r="C194" s="231"/>
      <c r="D194" s="722"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23"/>
      <c r="F194" s="724"/>
      <c r="G194" s="678"/>
      <c r="H194" s="679"/>
      <c r="I194" s="680"/>
      <c r="J194" s="243" t="b">
        <v>0</v>
      </c>
      <c r="K194" s="238" t="b">
        <v>0</v>
      </c>
      <c r="L194" s="17" t="str">
        <f t="shared" si="4"/>
        <v/>
      </c>
      <c r="M194" s="10"/>
      <c r="N194" s="10"/>
      <c r="O194" s="10"/>
      <c r="P194" s="10"/>
      <c r="Q194" s="10"/>
    </row>
    <row r="195" spans="3:17" hidden="1" outlineLevel="1" x14ac:dyDescent="0.3">
      <c r="C195" s="231"/>
      <c r="D195" s="722"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23"/>
      <c r="F195" s="724"/>
      <c r="G195" s="678"/>
      <c r="H195" s="679"/>
      <c r="I195" s="680"/>
      <c r="J195" s="243" t="b">
        <v>0</v>
      </c>
      <c r="K195" s="238" t="b">
        <v>0</v>
      </c>
      <c r="L195" s="17" t="str">
        <f t="shared" si="4"/>
        <v/>
      </c>
      <c r="M195" s="10"/>
      <c r="N195" s="10"/>
      <c r="O195" s="10"/>
      <c r="P195" s="10"/>
      <c r="Q195" s="10"/>
    </row>
    <row r="196" spans="3:17" hidden="1" outlineLevel="1" x14ac:dyDescent="0.3">
      <c r="C196" s="231"/>
      <c r="D196" s="722"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23"/>
      <c r="F196" s="724"/>
      <c r="G196" s="678"/>
      <c r="H196" s="679"/>
      <c r="I196" s="680"/>
      <c r="J196" s="243" t="b">
        <v>0</v>
      </c>
      <c r="K196" s="238" t="b">
        <v>0</v>
      </c>
      <c r="L196" s="17" t="str">
        <f t="shared" si="4"/>
        <v/>
      </c>
      <c r="M196" s="10"/>
      <c r="N196" s="10"/>
      <c r="O196" s="10"/>
      <c r="P196" s="10"/>
      <c r="Q196" s="10"/>
    </row>
    <row r="197" spans="3:17" hidden="1" outlineLevel="1" x14ac:dyDescent="0.3">
      <c r="C197" s="231"/>
      <c r="D197" s="722"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23"/>
      <c r="F197" s="724"/>
      <c r="G197" s="678"/>
      <c r="H197" s="679"/>
      <c r="I197" s="680"/>
      <c r="J197" s="243" t="b">
        <v>0</v>
      </c>
      <c r="K197" s="238" t="b">
        <v>0</v>
      </c>
      <c r="L197" s="17" t="str">
        <f t="shared" si="4"/>
        <v/>
      </c>
      <c r="M197" s="10"/>
      <c r="N197" s="10"/>
      <c r="O197" s="10"/>
      <c r="P197" s="10"/>
      <c r="Q197" s="10"/>
    </row>
    <row r="198" spans="3:17" hidden="1" outlineLevel="1" x14ac:dyDescent="0.3">
      <c r="C198" s="231"/>
      <c r="D198" s="722"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23"/>
      <c r="F198" s="724"/>
      <c r="G198" s="678"/>
      <c r="H198" s="679"/>
      <c r="I198" s="680"/>
      <c r="J198" s="243" t="b">
        <v>0</v>
      </c>
      <c r="K198" s="238" t="b">
        <v>0</v>
      </c>
      <c r="L198" s="17" t="str">
        <f t="shared" si="4"/>
        <v/>
      </c>
      <c r="M198" s="10"/>
      <c r="N198" s="10"/>
      <c r="O198" s="10"/>
      <c r="P198" s="10"/>
      <c r="Q198" s="10"/>
    </row>
    <row r="199" spans="3:17" hidden="1" outlineLevel="1" x14ac:dyDescent="0.3">
      <c r="C199" s="231"/>
      <c r="D199" s="722"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23"/>
      <c r="F199" s="724"/>
      <c r="G199" s="678"/>
      <c r="H199" s="679"/>
      <c r="I199" s="680"/>
      <c r="J199" s="243" t="b">
        <v>0</v>
      </c>
      <c r="K199" s="238" t="b">
        <v>0</v>
      </c>
      <c r="L199" s="17" t="str">
        <f t="shared" si="4"/>
        <v/>
      </c>
      <c r="M199" s="10"/>
      <c r="N199" s="10"/>
      <c r="O199" s="10"/>
      <c r="P199" s="10"/>
      <c r="Q199" s="10"/>
    </row>
    <row r="200" spans="3:17" hidden="1" outlineLevel="1" x14ac:dyDescent="0.3">
      <c r="C200" s="231"/>
      <c r="D200" s="722"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23"/>
      <c r="F200" s="724"/>
      <c r="G200" s="678"/>
      <c r="H200" s="679"/>
      <c r="I200" s="680"/>
      <c r="J200" s="243" t="b">
        <v>0</v>
      </c>
      <c r="K200" s="238" t="b">
        <v>0</v>
      </c>
      <c r="L200" s="17" t="str">
        <f t="shared" si="4"/>
        <v/>
      </c>
      <c r="M200" s="10"/>
      <c r="N200" s="10"/>
      <c r="O200" s="10"/>
      <c r="P200" s="10"/>
      <c r="Q200" s="10"/>
    </row>
    <row r="201" spans="3:17" hidden="1" outlineLevel="1" x14ac:dyDescent="0.3">
      <c r="C201" s="231"/>
      <c r="D201" s="722"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23"/>
      <c r="F201" s="724"/>
      <c r="G201" s="678"/>
      <c r="H201" s="679"/>
      <c r="I201" s="680"/>
      <c r="J201" s="243" t="b">
        <v>0</v>
      </c>
      <c r="K201" s="238" t="b">
        <v>0</v>
      </c>
      <c r="L201" s="17" t="str">
        <f t="shared" si="4"/>
        <v/>
      </c>
      <c r="M201" s="10"/>
      <c r="N201" s="10"/>
      <c r="O201" s="10"/>
      <c r="P201" s="10"/>
      <c r="Q201" s="10"/>
    </row>
    <row r="202" spans="3:17" hidden="1" outlineLevel="1" x14ac:dyDescent="0.3">
      <c r="C202" s="231"/>
      <c r="D202" s="722"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23"/>
      <c r="F202" s="724"/>
      <c r="G202" s="678"/>
      <c r="H202" s="679"/>
      <c r="I202" s="680"/>
      <c r="J202" s="243" t="b">
        <v>0</v>
      </c>
      <c r="K202" s="238" t="b">
        <v>0</v>
      </c>
      <c r="L202" s="17" t="str">
        <f t="shared" si="4"/>
        <v/>
      </c>
      <c r="M202" s="10"/>
      <c r="N202" s="10"/>
      <c r="O202" s="10"/>
      <c r="P202" s="10"/>
      <c r="Q202" s="10"/>
    </row>
    <row r="203" spans="3:17" hidden="1" outlineLevel="1" x14ac:dyDescent="0.3">
      <c r="C203" s="231"/>
      <c r="D203" s="722"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23"/>
      <c r="F203" s="724"/>
      <c r="G203" s="678"/>
      <c r="H203" s="679"/>
      <c r="I203" s="680"/>
      <c r="J203" s="243" t="b">
        <v>0</v>
      </c>
      <c r="K203" s="238" t="b">
        <v>0</v>
      </c>
      <c r="L203" s="17" t="str">
        <f t="shared" si="4"/>
        <v/>
      </c>
      <c r="M203" s="10"/>
      <c r="N203" s="10"/>
      <c r="O203" s="10"/>
      <c r="P203" s="10"/>
      <c r="Q203" s="10"/>
    </row>
    <row r="204" spans="3:17" hidden="1" outlineLevel="1" x14ac:dyDescent="0.3">
      <c r="C204" s="231"/>
      <c r="D204" s="722"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23"/>
      <c r="F204" s="724"/>
      <c r="G204" s="678"/>
      <c r="H204" s="679"/>
      <c r="I204" s="680"/>
      <c r="J204" s="243" t="b">
        <v>0</v>
      </c>
      <c r="K204" s="238" t="b">
        <v>0</v>
      </c>
      <c r="L204" s="17" t="str">
        <f t="shared" si="4"/>
        <v/>
      </c>
      <c r="M204" s="10"/>
      <c r="N204" s="10"/>
      <c r="O204" s="10"/>
      <c r="P204" s="10"/>
      <c r="Q204" s="10"/>
    </row>
    <row r="205" spans="3:17" hidden="1" outlineLevel="1" x14ac:dyDescent="0.3">
      <c r="C205" s="231"/>
      <c r="D205" s="722"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23"/>
      <c r="F205" s="724"/>
      <c r="G205" s="678"/>
      <c r="H205" s="679"/>
      <c r="I205" s="680"/>
      <c r="J205" s="243" t="b">
        <v>0</v>
      </c>
      <c r="K205" s="238" t="b">
        <v>0</v>
      </c>
      <c r="L205" s="17" t="str">
        <f t="shared" si="4"/>
        <v/>
      </c>
      <c r="M205" s="10"/>
      <c r="N205" s="10"/>
      <c r="O205" s="10"/>
      <c r="P205" s="10"/>
      <c r="Q205" s="10"/>
    </row>
    <row r="206" spans="3:17" hidden="1" outlineLevel="1" x14ac:dyDescent="0.3">
      <c r="C206" s="231"/>
      <c r="D206" s="722"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23"/>
      <c r="F206" s="724"/>
      <c r="G206" s="678"/>
      <c r="H206" s="679"/>
      <c r="I206" s="680"/>
      <c r="J206" s="243" t="b">
        <v>0</v>
      </c>
      <c r="K206" s="238" t="b">
        <v>0</v>
      </c>
      <c r="L206" s="17" t="str">
        <f t="shared" si="4"/>
        <v/>
      </c>
      <c r="M206" s="10"/>
      <c r="N206" s="10"/>
      <c r="O206" s="10"/>
      <c r="P206" s="10"/>
      <c r="Q206" s="10"/>
    </row>
    <row r="207" spans="3:17" hidden="1" outlineLevel="1" x14ac:dyDescent="0.3">
      <c r="C207" s="231"/>
      <c r="D207" s="722"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23"/>
      <c r="F207" s="724"/>
      <c r="G207" s="678"/>
      <c r="H207" s="679"/>
      <c r="I207" s="680"/>
      <c r="J207" s="243" t="b">
        <v>0</v>
      </c>
      <c r="K207" s="238" t="b">
        <v>0</v>
      </c>
      <c r="L207" s="17" t="str">
        <f t="shared" si="4"/>
        <v/>
      </c>
      <c r="M207" s="10"/>
      <c r="N207" s="10"/>
      <c r="O207" s="10"/>
      <c r="P207" s="10"/>
      <c r="Q207" s="10"/>
    </row>
    <row r="208" spans="3:17" hidden="1" outlineLevel="1" x14ac:dyDescent="0.3">
      <c r="C208" s="231"/>
      <c r="D208" s="722"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23"/>
      <c r="F208" s="724"/>
      <c r="G208" s="678"/>
      <c r="H208" s="679"/>
      <c r="I208" s="680"/>
      <c r="J208" s="243" t="b">
        <v>0</v>
      </c>
      <c r="K208" s="238" t="b">
        <v>0</v>
      </c>
      <c r="L208" s="17" t="str">
        <f t="shared" si="4"/>
        <v/>
      </c>
      <c r="M208" s="10"/>
      <c r="N208" s="10"/>
      <c r="O208" s="10"/>
      <c r="P208" s="10"/>
      <c r="Q208" s="10"/>
    </row>
    <row r="209" spans="3:17" hidden="1" outlineLevel="1" x14ac:dyDescent="0.3">
      <c r="C209" s="231"/>
      <c r="D209" s="722"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23"/>
      <c r="F209" s="724"/>
      <c r="G209" s="678"/>
      <c r="H209" s="679"/>
      <c r="I209" s="680"/>
      <c r="J209" s="243" t="b">
        <v>0</v>
      </c>
      <c r="K209" s="238" t="b">
        <v>0</v>
      </c>
      <c r="L209" s="17" t="str">
        <f t="shared" si="4"/>
        <v/>
      </c>
      <c r="M209" s="10"/>
      <c r="N209" s="10"/>
      <c r="O209" s="10"/>
      <c r="P209" s="10"/>
      <c r="Q209" s="10"/>
    </row>
    <row r="210" spans="3:17" hidden="1" outlineLevel="1" x14ac:dyDescent="0.3">
      <c r="C210" s="231"/>
      <c r="D210" s="722"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23"/>
      <c r="F210" s="724"/>
      <c r="G210" s="678"/>
      <c r="H210" s="679"/>
      <c r="I210" s="680"/>
      <c r="J210" s="243" t="b">
        <v>0</v>
      </c>
      <c r="K210" s="238" t="b">
        <v>0</v>
      </c>
      <c r="L210" s="17" t="str">
        <f t="shared" si="4"/>
        <v/>
      </c>
      <c r="M210" s="10"/>
      <c r="N210" s="10"/>
      <c r="O210" s="10"/>
      <c r="P210" s="10"/>
      <c r="Q210" s="10"/>
    </row>
    <row r="211" spans="3:17" hidden="1" outlineLevel="1" x14ac:dyDescent="0.3">
      <c r="C211" s="231"/>
      <c r="D211" s="722"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23"/>
      <c r="F211" s="724"/>
      <c r="G211" s="678"/>
      <c r="H211" s="679"/>
      <c r="I211" s="680"/>
      <c r="J211" s="243" t="b">
        <v>0</v>
      </c>
      <c r="K211" s="238" t="b">
        <v>0</v>
      </c>
      <c r="L211" s="17" t="str">
        <f t="shared" si="4"/>
        <v/>
      </c>
      <c r="M211" s="10"/>
      <c r="N211" s="10"/>
      <c r="O211" s="10"/>
      <c r="P211" s="10"/>
      <c r="Q211" s="10"/>
    </row>
    <row r="212" spans="3:17" hidden="1" outlineLevel="1" x14ac:dyDescent="0.3">
      <c r="C212" s="231"/>
      <c r="D212" s="722"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723"/>
      <c r="F212" s="724"/>
      <c r="G212" s="678"/>
      <c r="H212" s="679"/>
      <c r="I212" s="680"/>
      <c r="J212" s="243" t="b">
        <v>0</v>
      </c>
      <c r="K212" s="238" t="b">
        <v>0</v>
      </c>
      <c r="L212" s="17" t="str">
        <f t="shared" si="4"/>
        <v/>
      </c>
      <c r="M212" s="10"/>
      <c r="N212" s="10"/>
      <c r="O212" s="10"/>
      <c r="P212" s="10"/>
      <c r="Q212" s="10"/>
    </row>
    <row r="213" spans="3:17" hidden="1" outlineLevel="1" x14ac:dyDescent="0.3">
      <c r="C213" s="231"/>
      <c r="D213" s="722"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723"/>
      <c r="F213" s="724"/>
      <c r="G213" s="678"/>
      <c r="H213" s="679"/>
      <c r="I213" s="680"/>
      <c r="J213" s="243" t="b">
        <v>0</v>
      </c>
      <c r="K213" s="238" t="b">
        <v>0</v>
      </c>
      <c r="L213" s="17" t="str">
        <f t="shared" si="4"/>
        <v/>
      </c>
      <c r="M213" s="10"/>
      <c r="N213" s="10"/>
      <c r="O213" s="10"/>
      <c r="P213" s="10"/>
      <c r="Q213" s="10"/>
    </row>
    <row r="214" spans="3:17" hidden="1" outlineLevel="1" x14ac:dyDescent="0.3">
      <c r="C214" s="231"/>
      <c r="D214" s="722"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723"/>
      <c r="F214" s="724"/>
      <c r="G214" s="678"/>
      <c r="H214" s="679"/>
      <c r="I214" s="680"/>
      <c r="J214" s="243" t="b">
        <v>0</v>
      </c>
      <c r="K214" s="238" t="b">
        <v>0</v>
      </c>
      <c r="L214" s="17" t="str">
        <f t="shared" si="4"/>
        <v/>
      </c>
      <c r="M214" s="10"/>
      <c r="N214" s="10"/>
      <c r="O214" s="10"/>
      <c r="P214" s="10"/>
      <c r="Q214" s="10"/>
    </row>
    <row r="215" spans="3:17" hidden="1" outlineLevel="1" x14ac:dyDescent="0.3">
      <c r="C215" s="231"/>
      <c r="D215" s="722"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723"/>
      <c r="F215" s="724"/>
      <c r="G215" s="678"/>
      <c r="H215" s="679"/>
      <c r="I215" s="680"/>
      <c r="J215" s="243" t="b">
        <v>0</v>
      </c>
      <c r="K215" s="238" t="b">
        <v>0</v>
      </c>
      <c r="L215" s="17" t="str">
        <f t="shared" si="4"/>
        <v/>
      </c>
      <c r="M215" s="10"/>
      <c r="N215" s="10"/>
      <c r="O215" s="10"/>
      <c r="P215" s="10"/>
      <c r="Q215" s="10"/>
    </row>
    <row r="216" spans="3:17" hidden="1" outlineLevel="1" x14ac:dyDescent="0.3">
      <c r="C216" s="231"/>
      <c r="D216" s="722"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723"/>
      <c r="F216" s="724"/>
      <c r="G216" s="678"/>
      <c r="H216" s="679"/>
      <c r="I216" s="680"/>
      <c r="J216" s="243" t="b">
        <v>0</v>
      </c>
      <c r="K216" s="238" t="b">
        <v>0</v>
      </c>
      <c r="L216" s="17" t="str">
        <f t="shared" si="4"/>
        <v/>
      </c>
      <c r="M216" s="10"/>
      <c r="N216" s="10"/>
      <c r="O216" s="10"/>
      <c r="P216" s="10"/>
      <c r="Q216" s="10"/>
    </row>
    <row r="217" spans="3:17" hidden="1" outlineLevel="1" x14ac:dyDescent="0.3">
      <c r="C217" s="231"/>
      <c r="D217" s="722"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723"/>
      <c r="F217" s="724"/>
      <c r="G217" s="678"/>
      <c r="H217" s="679"/>
      <c r="I217" s="680"/>
      <c r="J217" s="243" t="b">
        <v>0</v>
      </c>
      <c r="K217" s="238" t="b">
        <v>0</v>
      </c>
      <c r="L217" s="17" t="str">
        <f t="shared" si="4"/>
        <v/>
      </c>
      <c r="M217" s="10"/>
      <c r="N217" s="10"/>
      <c r="O217" s="10"/>
      <c r="P217" s="10"/>
      <c r="Q217" s="10"/>
    </row>
    <row r="218" spans="3:17" hidden="1" outlineLevel="1" x14ac:dyDescent="0.3">
      <c r="C218" s="231"/>
      <c r="D218" s="722"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723"/>
      <c r="F218" s="724"/>
      <c r="G218" s="678"/>
      <c r="H218" s="679"/>
      <c r="I218" s="680"/>
      <c r="J218" s="243" t="b">
        <v>0</v>
      </c>
      <c r="K218" s="238" t="b">
        <v>0</v>
      </c>
      <c r="L218" s="17" t="str">
        <f t="shared" si="4"/>
        <v/>
      </c>
      <c r="M218" s="10"/>
      <c r="N218" s="10"/>
      <c r="O218" s="10"/>
      <c r="P218" s="10"/>
      <c r="Q218" s="10"/>
    </row>
    <row r="219" spans="3:17" hidden="1" outlineLevel="1" x14ac:dyDescent="0.3">
      <c r="C219" s="231"/>
      <c r="D219" s="722"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723"/>
      <c r="F219" s="724"/>
      <c r="G219" s="678"/>
      <c r="H219" s="679"/>
      <c r="I219" s="680"/>
      <c r="J219" s="243" t="b">
        <v>0</v>
      </c>
      <c r="K219" s="238" t="b">
        <v>0</v>
      </c>
      <c r="L219" s="17" t="str">
        <f t="shared" si="4"/>
        <v/>
      </c>
      <c r="M219" s="10"/>
      <c r="N219" s="10"/>
      <c r="O219" s="10"/>
      <c r="P219" s="10"/>
      <c r="Q219" s="10"/>
    </row>
    <row r="220" spans="3:17" hidden="1" outlineLevel="1" x14ac:dyDescent="0.3">
      <c r="C220" s="231"/>
      <c r="D220" s="722"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723"/>
      <c r="F220" s="724"/>
      <c r="G220" s="678"/>
      <c r="H220" s="679"/>
      <c r="I220" s="680"/>
      <c r="J220" s="243" t="b">
        <v>0</v>
      </c>
      <c r="K220" s="238" t="b">
        <v>0</v>
      </c>
      <c r="L220" s="17" t="str">
        <f t="shared" si="4"/>
        <v/>
      </c>
      <c r="M220" s="10"/>
      <c r="N220" s="10"/>
      <c r="O220" s="10"/>
      <c r="P220" s="10"/>
      <c r="Q220" s="10"/>
    </row>
    <row r="221" spans="3:17" hidden="1" outlineLevel="1" x14ac:dyDescent="0.3">
      <c r="C221" s="231"/>
      <c r="D221" s="722"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723"/>
      <c r="F221" s="724"/>
      <c r="G221" s="678"/>
      <c r="H221" s="679"/>
      <c r="I221" s="680"/>
      <c r="J221" s="243" t="b">
        <v>0</v>
      </c>
      <c r="K221" s="238" t="b">
        <v>0</v>
      </c>
      <c r="L221" s="17" t="str">
        <f t="shared" si="4"/>
        <v/>
      </c>
      <c r="M221" s="10"/>
      <c r="N221" s="10"/>
      <c r="O221" s="10"/>
      <c r="P221" s="10"/>
      <c r="Q221" s="10"/>
    </row>
    <row r="222" spans="3:17" hidden="1" outlineLevel="1" x14ac:dyDescent="0.3">
      <c r="C222" s="231"/>
      <c r="D222" s="722"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723"/>
      <c r="F222" s="724"/>
      <c r="G222" s="678"/>
      <c r="H222" s="679"/>
      <c r="I222" s="680"/>
      <c r="J222" s="243" t="b">
        <v>0</v>
      </c>
      <c r="K222" s="238" t="b">
        <v>0</v>
      </c>
      <c r="L222" s="17" t="str">
        <f t="shared" si="4"/>
        <v/>
      </c>
      <c r="M222" s="10"/>
      <c r="N222" s="10"/>
      <c r="O222" s="10"/>
      <c r="P222" s="10"/>
      <c r="Q222" s="10"/>
    </row>
    <row r="223" spans="3:17" hidden="1" outlineLevel="1" x14ac:dyDescent="0.3">
      <c r="C223" s="231"/>
      <c r="D223" s="722"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723"/>
      <c r="F223" s="724"/>
      <c r="G223" s="678"/>
      <c r="H223" s="679"/>
      <c r="I223" s="680"/>
      <c r="J223" s="243" t="b">
        <v>0</v>
      </c>
      <c r="K223" s="238" t="b">
        <v>0</v>
      </c>
      <c r="L223" s="17" t="str">
        <f t="shared" si="4"/>
        <v/>
      </c>
      <c r="M223" s="10"/>
      <c r="N223" s="10"/>
      <c r="O223" s="10"/>
      <c r="P223" s="10"/>
      <c r="Q223" s="10"/>
    </row>
    <row r="224" spans="3:17" hidden="1" outlineLevel="1" x14ac:dyDescent="0.3">
      <c r="C224" s="231"/>
      <c r="D224" s="722"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723"/>
      <c r="F224" s="724"/>
      <c r="G224" s="678"/>
      <c r="H224" s="679"/>
      <c r="I224" s="680"/>
      <c r="J224" s="243" t="b">
        <v>0</v>
      </c>
      <c r="K224" s="238" t="b">
        <v>0</v>
      </c>
      <c r="L224" s="17" t="str">
        <f t="shared" si="4"/>
        <v/>
      </c>
      <c r="M224" s="10"/>
      <c r="N224" s="10"/>
      <c r="O224" s="10"/>
      <c r="P224" s="10"/>
      <c r="Q224" s="10"/>
    </row>
    <row r="225" spans="3:17" hidden="1" outlineLevel="1" x14ac:dyDescent="0.3">
      <c r="C225" s="231"/>
      <c r="D225" s="722"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723"/>
      <c r="F225" s="724"/>
      <c r="G225" s="678"/>
      <c r="H225" s="679"/>
      <c r="I225" s="680"/>
      <c r="J225" s="243" t="b">
        <v>0</v>
      </c>
      <c r="K225" s="238" t="b">
        <v>0</v>
      </c>
      <c r="L225" s="17" t="str">
        <f t="shared" si="4"/>
        <v/>
      </c>
      <c r="M225" s="10"/>
      <c r="N225" s="10"/>
      <c r="O225" s="10"/>
      <c r="P225" s="10"/>
      <c r="Q225" s="10"/>
    </row>
    <row r="226" spans="3:17" hidden="1" outlineLevel="1" x14ac:dyDescent="0.3">
      <c r="C226" s="231"/>
      <c r="D226" s="722"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723"/>
      <c r="F226" s="724"/>
      <c r="G226" s="678"/>
      <c r="H226" s="679"/>
      <c r="I226" s="680"/>
      <c r="J226" s="243" t="b">
        <v>0</v>
      </c>
      <c r="K226" s="238" t="b">
        <v>0</v>
      </c>
      <c r="L226" s="17" t="str">
        <f t="shared" si="4"/>
        <v/>
      </c>
      <c r="M226" s="10"/>
      <c r="N226" s="10"/>
      <c r="O226" s="10"/>
      <c r="P226" s="10"/>
      <c r="Q226" s="10"/>
    </row>
    <row r="227" spans="3:17" hidden="1" outlineLevel="1" x14ac:dyDescent="0.3">
      <c r="C227" s="231"/>
      <c r="D227" s="722"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723"/>
      <c r="F227" s="724"/>
      <c r="G227" s="678"/>
      <c r="H227" s="679"/>
      <c r="I227" s="680"/>
      <c r="J227" s="243" t="b">
        <v>0</v>
      </c>
      <c r="K227" s="238" t="b">
        <v>0</v>
      </c>
      <c r="L227" s="17" t="str">
        <f t="shared" si="4"/>
        <v/>
      </c>
      <c r="M227" s="10"/>
      <c r="N227" s="10"/>
      <c r="O227" s="10"/>
      <c r="P227" s="10"/>
      <c r="Q227" s="10"/>
    </row>
    <row r="228" spans="3:17" hidden="1" outlineLevel="1" x14ac:dyDescent="0.3">
      <c r="C228" s="231"/>
      <c r="D228" s="722"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723"/>
      <c r="F228" s="724"/>
      <c r="G228" s="678"/>
      <c r="H228" s="679"/>
      <c r="I228" s="680"/>
      <c r="J228" s="243" t="b">
        <v>0</v>
      </c>
      <c r="K228" s="238" t="b">
        <v>0</v>
      </c>
      <c r="L228" s="17" t="str">
        <f t="shared" si="4"/>
        <v/>
      </c>
      <c r="M228" s="10"/>
      <c r="N228" s="10"/>
      <c r="O228" s="10"/>
      <c r="P228" s="10"/>
      <c r="Q228" s="10"/>
    </row>
    <row r="229" spans="3:17" hidden="1" outlineLevel="1" x14ac:dyDescent="0.3">
      <c r="C229" s="231"/>
      <c r="D229" s="722"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723"/>
      <c r="F229" s="724"/>
      <c r="G229" s="678"/>
      <c r="H229" s="679"/>
      <c r="I229" s="680"/>
      <c r="J229" s="243" t="b">
        <v>0</v>
      </c>
      <c r="K229" s="238" t="b">
        <v>0</v>
      </c>
      <c r="L229" s="17" t="str">
        <f t="shared" si="4"/>
        <v/>
      </c>
      <c r="M229" s="10"/>
      <c r="N229" s="10"/>
      <c r="O229" s="10"/>
      <c r="P229" s="10"/>
      <c r="Q229" s="10"/>
    </row>
    <row r="230" spans="3:17" hidden="1" outlineLevel="1" x14ac:dyDescent="0.3">
      <c r="C230" s="231"/>
      <c r="D230" s="722"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723"/>
      <c r="F230" s="724"/>
      <c r="G230" s="678"/>
      <c r="H230" s="679"/>
      <c r="I230" s="680"/>
      <c r="J230" s="243" t="b">
        <v>0</v>
      </c>
      <c r="K230" s="238" t="b">
        <v>0</v>
      </c>
      <c r="L230" s="17" t="str">
        <f t="shared" si="4"/>
        <v/>
      </c>
      <c r="M230" s="10"/>
      <c r="N230" s="10"/>
      <c r="O230" s="10"/>
      <c r="P230" s="10"/>
      <c r="Q230" s="10"/>
    </row>
    <row r="231" spans="3:17" hidden="1" outlineLevel="1" x14ac:dyDescent="0.3">
      <c r="C231" s="231"/>
      <c r="D231" s="722"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723"/>
      <c r="F231" s="724"/>
      <c r="G231" s="678"/>
      <c r="H231" s="679"/>
      <c r="I231" s="680"/>
      <c r="J231" s="243" t="b">
        <v>0</v>
      </c>
      <c r="K231" s="238" t="b">
        <v>0</v>
      </c>
      <c r="L231" s="17" t="str">
        <f t="shared" si="4"/>
        <v/>
      </c>
      <c r="M231" s="10"/>
      <c r="N231" s="10"/>
      <c r="O231" s="10"/>
      <c r="P231" s="10"/>
      <c r="Q231" s="10"/>
    </row>
    <row r="232" spans="3:17" hidden="1" outlineLevel="1" x14ac:dyDescent="0.3">
      <c r="C232" s="231"/>
      <c r="D232" s="722"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723"/>
      <c r="F232" s="724"/>
      <c r="G232" s="678"/>
      <c r="H232" s="679"/>
      <c r="I232" s="680"/>
      <c r="J232" s="243" t="b">
        <v>0</v>
      </c>
      <c r="K232" s="238" t="b">
        <v>0</v>
      </c>
      <c r="L232" s="17" t="str">
        <f t="shared" si="4"/>
        <v/>
      </c>
      <c r="M232" s="10"/>
      <c r="N232" s="10"/>
      <c r="O232" s="10"/>
      <c r="P232" s="10"/>
      <c r="Q232" s="10"/>
    </row>
    <row r="233" spans="3:17" hidden="1" outlineLevel="1" x14ac:dyDescent="0.3">
      <c r="C233" s="231"/>
      <c r="D233" s="722"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723"/>
      <c r="F233" s="724"/>
      <c r="G233" s="678"/>
      <c r="H233" s="679"/>
      <c r="I233" s="680"/>
      <c r="J233" s="243" t="b">
        <v>0</v>
      </c>
      <c r="K233" s="238" t="b">
        <v>0</v>
      </c>
      <c r="L233" s="17" t="str">
        <f t="shared" si="4"/>
        <v/>
      </c>
      <c r="M233" s="10"/>
      <c r="N233" s="10"/>
      <c r="O233" s="10"/>
      <c r="P233" s="10"/>
      <c r="Q233" s="10"/>
    </row>
    <row r="234" spans="3:17" hidden="1" outlineLevel="1" x14ac:dyDescent="0.3">
      <c r="C234" s="231"/>
      <c r="D234" s="722"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723"/>
      <c r="F234" s="724"/>
      <c r="G234" s="678"/>
      <c r="H234" s="679"/>
      <c r="I234" s="680"/>
      <c r="J234" s="243" t="b">
        <v>0</v>
      </c>
      <c r="K234" s="238" t="b">
        <v>0</v>
      </c>
      <c r="L234" s="17" t="str">
        <f t="shared" si="4"/>
        <v/>
      </c>
      <c r="M234" s="10"/>
      <c r="N234" s="10"/>
      <c r="O234" s="10"/>
      <c r="P234" s="10"/>
      <c r="Q234" s="10"/>
    </row>
    <row r="235" spans="3:17" hidden="1" outlineLevel="1" x14ac:dyDescent="0.3">
      <c r="C235" s="231"/>
      <c r="D235" s="722"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723"/>
      <c r="F235" s="724"/>
      <c r="G235" s="678"/>
      <c r="H235" s="679"/>
      <c r="I235" s="680"/>
      <c r="J235" s="243" t="b">
        <v>0</v>
      </c>
      <c r="K235" s="238" t="b">
        <v>0</v>
      </c>
      <c r="L235" s="17" t="str">
        <f t="shared" si="4"/>
        <v/>
      </c>
      <c r="M235" s="10"/>
      <c r="N235" s="10"/>
      <c r="O235" s="10"/>
      <c r="P235" s="10"/>
      <c r="Q235" s="10"/>
    </row>
    <row r="236" spans="3:17" hidden="1" outlineLevel="1" x14ac:dyDescent="0.3">
      <c r="C236" s="231"/>
      <c r="D236" s="722"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723"/>
      <c r="F236" s="724"/>
      <c r="G236" s="678"/>
      <c r="H236" s="679"/>
      <c r="I236" s="680"/>
      <c r="J236" s="243" t="b">
        <v>0</v>
      </c>
      <c r="K236" s="238" t="b">
        <v>0</v>
      </c>
      <c r="L236" s="17" t="str">
        <f t="shared" si="4"/>
        <v/>
      </c>
      <c r="M236" s="10"/>
      <c r="N236" s="10"/>
      <c r="O236" s="10"/>
      <c r="P236" s="10"/>
      <c r="Q236" s="10"/>
    </row>
    <row r="237" spans="3:17" hidden="1" outlineLevel="1" x14ac:dyDescent="0.3">
      <c r="C237" s="231"/>
      <c r="D237" s="722"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723"/>
      <c r="F237" s="724"/>
      <c r="G237" s="678"/>
      <c r="H237" s="679"/>
      <c r="I237" s="680"/>
      <c r="J237" s="243" t="b">
        <v>0</v>
      </c>
      <c r="K237" s="238" t="b">
        <v>0</v>
      </c>
      <c r="L237" s="17" t="str">
        <f t="shared" si="4"/>
        <v/>
      </c>
      <c r="M237" s="10"/>
      <c r="N237" s="10"/>
      <c r="O237" s="10"/>
      <c r="P237" s="10"/>
      <c r="Q237" s="10"/>
    </row>
    <row r="238" spans="3:17" hidden="1" outlineLevel="1" x14ac:dyDescent="0.3">
      <c r="C238" s="231"/>
      <c r="D238" s="722"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723"/>
      <c r="F238" s="724"/>
      <c r="G238" s="678"/>
      <c r="H238" s="679"/>
      <c r="I238" s="680"/>
      <c r="J238" s="243" t="b">
        <v>0</v>
      </c>
      <c r="K238" s="238" t="b">
        <v>0</v>
      </c>
      <c r="L238" s="17" t="str">
        <f t="shared" si="4"/>
        <v/>
      </c>
      <c r="M238" s="10"/>
      <c r="N238" s="10"/>
      <c r="O238" s="10"/>
      <c r="P238" s="10"/>
      <c r="Q238" s="10"/>
    </row>
    <row r="239" spans="3:17" hidden="1" outlineLevel="1" x14ac:dyDescent="0.3">
      <c r="C239" s="231"/>
      <c r="D239" s="722"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723"/>
      <c r="F239" s="724"/>
      <c r="G239" s="678"/>
      <c r="H239" s="679"/>
      <c r="I239" s="680"/>
      <c r="J239" s="243" t="b">
        <v>0</v>
      </c>
      <c r="K239" s="238" t="b">
        <v>0</v>
      </c>
      <c r="L239" s="17" t="str">
        <f t="shared" si="4"/>
        <v/>
      </c>
      <c r="M239" s="10"/>
      <c r="N239" s="10"/>
      <c r="O239" s="10"/>
      <c r="P239" s="10"/>
      <c r="Q239" s="10"/>
    </row>
    <row r="240" spans="3:17" hidden="1" outlineLevel="1" x14ac:dyDescent="0.3">
      <c r="C240" s="231"/>
      <c r="D240" s="722"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723"/>
      <c r="F240" s="724"/>
      <c r="G240" s="678"/>
      <c r="H240" s="679"/>
      <c r="I240" s="680"/>
      <c r="J240" s="243" t="b">
        <v>0</v>
      </c>
      <c r="K240" s="238" t="b">
        <v>0</v>
      </c>
      <c r="L240" s="17" t="str">
        <f t="shared" si="4"/>
        <v/>
      </c>
      <c r="M240" s="10"/>
      <c r="N240" s="10"/>
      <c r="O240" s="10"/>
      <c r="P240" s="10"/>
      <c r="Q240" s="10"/>
    </row>
    <row r="241" spans="3:17" hidden="1" outlineLevel="1" x14ac:dyDescent="0.3">
      <c r="C241" s="231"/>
      <c r="D241" s="722"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723"/>
      <c r="F241" s="724"/>
      <c r="G241" s="678"/>
      <c r="H241" s="679"/>
      <c r="I241" s="680"/>
      <c r="J241" s="243" t="b">
        <v>0</v>
      </c>
      <c r="K241" s="238" t="b">
        <v>0</v>
      </c>
      <c r="L241" s="17" t="str">
        <f t="shared" si="4"/>
        <v/>
      </c>
      <c r="M241" s="10"/>
      <c r="N241" s="10"/>
      <c r="O241" s="10"/>
      <c r="P241" s="10"/>
      <c r="Q241" s="10"/>
    </row>
    <row r="242" spans="3:17" hidden="1" outlineLevel="1" x14ac:dyDescent="0.3">
      <c r="C242" s="231"/>
      <c r="D242" s="722"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723"/>
      <c r="F242" s="724"/>
      <c r="G242" s="678"/>
      <c r="H242" s="679"/>
      <c r="I242" s="680"/>
      <c r="J242" s="243" t="b">
        <v>0</v>
      </c>
      <c r="K242" s="238" t="b">
        <v>0</v>
      </c>
      <c r="L242" s="17" t="str">
        <f t="shared" si="4"/>
        <v/>
      </c>
      <c r="M242" s="10"/>
      <c r="N242" s="10"/>
      <c r="O242" s="10"/>
      <c r="P242" s="10"/>
      <c r="Q242" s="10"/>
    </row>
    <row r="243" spans="3:17" hidden="1" outlineLevel="1" x14ac:dyDescent="0.3">
      <c r="C243" s="231"/>
      <c r="D243" s="722"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723"/>
      <c r="F243" s="724"/>
      <c r="G243" s="678"/>
      <c r="H243" s="679"/>
      <c r="I243" s="680"/>
      <c r="J243" s="243" t="b">
        <v>0</v>
      </c>
      <c r="K243" s="238" t="b">
        <v>0</v>
      </c>
      <c r="L243" s="17" t="str">
        <f t="shared" si="4"/>
        <v/>
      </c>
      <c r="M243" s="10"/>
      <c r="N243" s="10"/>
      <c r="O243" s="10"/>
      <c r="P243" s="10"/>
      <c r="Q243" s="10"/>
    </row>
    <row r="244" spans="3:17" hidden="1" outlineLevel="1" x14ac:dyDescent="0.3">
      <c r="C244" s="231"/>
      <c r="D244" s="722"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723"/>
      <c r="F244" s="724"/>
      <c r="G244" s="678"/>
      <c r="H244" s="679"/>
      <c r="I244" s="680"/>
      <c r="J244" s="243" t="b">
        <v>0</v>
      </c>
      <c r="K244" s="238" t="b">
        <v>0</v>
      </c>
      <c r="L244" s="17" t="str">
        <f t="shared" si="4"/>
        <v/>
      </c>
      <c r="M244" s="10"/>
      <c r="N244" s="10"/>
      <c r="O244" s="10"/>
      <c r="P244" s="10"/>
      <c r="Q244" s="10"/>
    </row>
    <row r="245" spans="3:17" hidden="1" outlineLevel="1" x14ac:dyDescent="0.3">
      <c r="C245" s="231"/>
      <c r="D245" s="722"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723"/>
      <c r="F245" s="724"/>
      <c r="G245" s="678"/>
      <c r="H245" s="679"/>
      <c r="I245" s="680"/>
      <c r="J245" s="243" t="b">
        <v>0</v>
      </c>
      <c r="K245" s="238" t="b">
        <v>0</v>
      </c>
      <c r="L245" s="17" t="str">
        <f t="shared" si="4"/>
        <v/>
      </c>
      <c r="M245" s="10"/>
      <c r="N245" s="10"/>
      <c r="O245" s="10"/>
      <c r="P245" s="10"/>
      <c r="Q245" s="10"/>
    </row>
    <row r="246" spans="3:17" hidden="1" outlineLevel="1" x14ac:dyDescent="0.3">
      <c r="C246" s="231"/>
      <c r="D246" s="722"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723"/>
      <c r="F246" s="724"/>
      <c r="G246" s="678"/>
      <c r="H246" s="679"/>
      <c r="I246" s="680"/>
      <c r="J246" s="243" t="b">
        <v>0</v>
      </c>
      <c r="K246" s="238" t="b">
        <v>0</v>
      </c>
      <c r="L246" s="17" t="str">
        <f t="shared" si="4"/>
        <v/>
      </c>
      <c r="M246" s="10"/>
      <c r="N246" s="10"/>
      <c r="O246" s="10"/>
      <c r="P246" s="10"/>
      <c r="Q246" s="10"/>
    </row>
    <row r="247" spans="3:17" hidden="1" outlineLevel="1" x14ac:dyDescent="0.3">
      <c r="C247" s="231"/>
      <c r="D247" s="722"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723"/>
      <c r="F247" s="724"/>
      <c r="G247" s="678"/>
      <c r="H247" s="679"/>
      <c r="I247" s="680"/>
      <c r="J247" s="243" t="b">
        <v>0</v>
      </c>
      <c r="K247" s="238" t="b">
        <v>0</v>
      </c>
      <c r="L247" s="17" t="str">
        <f t="shared" si="4"/>
        <v/>
      </c>
      <c r="M247" s="10"/>
      <c r="N247" s="10"/>
      <c r="O247" s="10"/>
      <c r="P247" s="10"/>
      <c r="Q247" s="10"/>
    </row>
    <row r="248" spans="3:17" hidden="1" outlineLevel="1" x14ac:dyDescent="0.3">
      <c r="C248" s="231"/>
      <c r="D248" s="722"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723"/>
      <c r="F248" s="724"/>
      <c r="G248" s="678"/>
      <c r="H248" s="679"/>
      <c r="I248" s="680"/>
      <c r="J248" s="243" t="b">
        <v>0</v>
      </c>
      <c r="K248" s="238" t="b">
        <v>0</v>
      </c>
      <c r="L248" s="17" t="str">
        <f t="shared" si="4"/>
        <v/>
      </c>
      <c r="M248" s="10"/>
      <c r="N248" s="10"/>
      <c r="O248" s="10"/>
      <c r="P248" s="10"/>
      <c r="Q248" s="10"/>
    </row>
    <row r="249" spans="3:17" hidden="1" outlineLevel="1" x14ac:dyDescent="0.3">
      <c r="C249" s="231"/>
      <c r="D249" s="722"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723"/>
      <c r="F249" s="724"/>
      <c r="G249" s="678"/>
      <c r="H249" s="679"/>
      <c r="I249" s="680"/>
      <c r="J249" s="243" t="b">
        <v>0</v>
      </c>
      <c r="K249" s="238" t="b">
        <v>0</v>
      </c>
      <c r="L249" s="17" t="str">
        <f t="shared" si="4"/>
        <v/>
      </c>
      <c r="M249" s="10"/>
      <c r="N249" s="10"/>
      <c r="O249" s="10"/>
      <c r="P249" s="10"/>
      <c r="Q249" s="10"/>
    </row>
    <row r="250" spans="3:17" hidden="1" outlineLevel="1" x14ac:dyDescent="0.3">
      <c r="C250" s="231"/>
      <c r="D250" s="722"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723"/>
      <c r="F250" s="724"/>
      <c r="G250" s="678"/>
      <c r="H250" s="679"/>
      <c r="I250" s="680"/>
      <c r="J250" s="243" t="b">
        <v>0</v>
      </c>
      <c r="K250" s="238" t="b">
        <v>0</v>
      </c>
      <c r="L250" s="17" t="str">
        <f t="shared" si="4"/>
        <v/>
      </c>
      <c r="M250" s="10"/>
      <c r="N250" s="10"/>
      <c r="O250" s="10"/>
      <c r="P250" s="10"/>
      <c r="Q250" s="10"/>
    </row>
    <row r="251" spans="3:17" hidden="1" outlineLevel="1" x14ac:dyDescent="0.3">
      <c r="C251" s="231"/>
      <c r="D251" s="722"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723"/>
      <c r="F251" s="724"/>
      <c r="G251" s="678"/>
      <c r="H251" s="679"/>
      <c r="I251" s="680"/>
      <c r="J251" s="243" t="b">
        <v>0</v>
      </c>
      <c r="K251" s="238" t="b">
        <v>0</v>
      </c>
      <c r="L251" s="17" t="str">
        <f t="shared" si="4"/>
        <v/>
      </c>
      <c r="M251" s="10"/>
      <c r="N251" s="10"/>
      <c r="O251" s="10"/>
      <c r="P251" s="10"/>
      <c r="Q251" s="10"/>
    </row>
    <row r="252" spans="3:17" hidden="1" outlineLevel="1" x14ac:dyDescent="0.3">
      <c r="C252" s="231"/>
      <c r="D252" s="722"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723"/>
      <c r="F252" s="724"/>
      <c r="G252" s="678"/>
      <c r="H252" s="679"/>
      <c r="I252" s="680"/>
      <c r="J252" s="243" t="b">
        <v>0</v>
      </c>
      <c r="K252" s="238" t="b">
        <v>0</v>
      </c>
      <c r="L252" s="17" t="str">
        <f t="shared" si="4"/>
        <v/>
      </c>
      <c r="M252" s="10"/>
      <c r="N252" s="10"/>
      <c r="O252" s="10"/>
      <c r="P252" s="10"/>
      <c r="Q252" s="10"/>
    </row>
    <row r="253" spans="3:17" hidden="1" outlineLevel="1" x14ac:dyDescent="0.3">
      <c r="C253" s="231"/>
      <c r="D253" s="722"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723"/>
      <c r="F253" s="724"/>
      <c r="G253" s="678"/>
      <c r="H253" s="679"/>
      <c r="I253" s="680"/>
      <c r="J253" s="243" t="b">
        <v>0</v>
      </c>
      <c r="K253" s="238" t="b">
        <v>0</v>
      </c>
      <c r="L253" s="17" t="str">
        <f t="shared" si="4"/>
        <v/>
      </c>
      <c r="M253" s="10"/>
      <c r="N253" s="10"/>
      <c r="O253" s="10"/>
      <c r="P253" s="10"/>
      <c r="Q253" s="10"/>
    </row>
    <row r="254" spans="3:17" hidden="1" outlineLevel="1" x14ac:dyDescent="0.3">
      <c r="C254" s="231"/>
      <c r="D254" s="722"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723"/>
      <c r="F254" s="724"/>
      <c r="G254" s="678"/>
      <c r="H254" s="679"/>
      <c r="I254" s="680"/>
      <c r="J254" s="243" t="b">
        <v>0</v>
      </c>
      <c r="K254" s="238" t="b">
        <v>0</v>
      </c>
      <c r="L254" s="17" t="str">
        <f t="shared" si="4"/>
        <v/>
      </c>
      <c r="M254" s="10"/>
      <c r="N254" s="10"/>
      <c r="O254" s="10"/>
      <c r="P254" s="10"/>
      <c r="Q254" s="10"/>
    </row>
    <row r="255" spans="3:17" hidden="1" outlineLevel="1" x14ac:dyDescent="0.3">
      <c r="C255" s="231"/>
      <c r="D255" s="722"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723"/>
      <c r="F255" s="724"/>
      <c r="G255" s="678"/>
      <c r="H255" s="679"/>
      <c r="I255" s="680"/>
      <c r="J255" s="243" t="b">
        <v>0</v>
      </c>
      <c r="K255" s="238" t="b">
        <v>0</v>
      </c>
      <c r="L255" s="17" t="str">
        <f t="shared" si="4"/>
        <v/>
      </c>
      <c r="M255" s="10"/>
      <c r="N255" s="10"/>
      <c r="O255" s="10"/>
      <c r="P255" s="10"/>
      <c r="Q255" s="10"/>
    </row>
    <row r="256" spans="3:17" hidden="1" outlineLevel="1" x14ac:dyDescent="0.3">
      <c r="C256" s="231"/>
      <c r="D256" s="722"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723"/>
      <c r="F256" s="724"/>
      <c r="G256" s="678"/>
      <c r="H256" s="679"/>
      <c r="I256" s="680"/>
      <c r="J256" s="243" t="b">
        <v>0</v>
      </c>
      <c r="K256" s="238" t="b">
        <v>0</v>
      </c>
      <c r="L256" s="17" t="str">
        <f t="shared" si="4"/>
        <v/>
      </c>
      <c r="M256" s="10"/>
      <c r="N256" s="10"/>
      <c r="O256" s="10"/>
      <c r="P256" s="10"/>
      <c r="Q256" s="10"/>
    </row>
    <row r="257" spans="3:17" hidden="1" outlineLevel="1" x14ac:dyDescent="0.3">
      <c r="C257" s="231"/>
      <c r="D257" s="722"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723"/>
      <c r="F257" s="724"/>
      <c r="G257" s="678"/>
      <c r="H257" s="679"/>
      <c r="I257" s="680"/>
      <c r="J257" s="243" t="b">
        <v>0</v>
      </c>
      <c r="K257" s="238" t="b">
        <v>0</v>
      </c>
      <c r="L257" s="17" t="str">
        <f t="shared" si="4"/>
        <v/>
      </c>
      <c r="M257" s="10"/>
      <c r="N257" s="10"/>
      <c r="O257" s="10"/>
      <c r="P257" s="10"/>
      <c r="Q257" s="10"/>
    </row>
    <row r="258" spans="3:17" hidden="1" outlineLevel="1" x14ac:dyDescent="0.3">
      <c r="C258" s="231"/>
      <c r="D258" s="722"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723"/>
      <c r="F258" s="724"/>
      <c r="G258" s="678"/>
      <c r="H258" s="679"/>
      <c r="I258" s="680"/>
      <c r="J258" s="243" t="b">
        <v>0</v>
      </c>
      <c r="K258" s="238" t="b">
        <v>0</v>
      </c>
      <c r="L258" s="17" t="str">
        <f t="shared" si="4"/>
        <v/>
      </c>
      <c r="M258" s="10"/>
      <c r="N258" s="10"/>
      <c r="O258" s="10"/>
      <c r="P258" s="10"/>
      <c r="Q258" s="10"/>
    </row>
    <row r="259" spans="3:17" hidden="1" outlineLevel="1" x14ac:dyDescent="0.3">
      <c r="C259" s="231"/>
      <c r="D259" s="722"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723"/>
      <c r="F259" s="724"/>
      <c r="G259" s="678"/>
      <c r="H259" s="679"/>
      <c r="I259" s="680"/>
      <c r="J259" s="243" t="b">
        <v>0</v>
      </c>
      <c r="K259" s="238" t="b">
        <v>0</v>
      </c>
      <c r="L259" s="17" t="str">
        <f t="shared" si="4"/>
        <v/>
      </c>
      <c r="M259" s="10"/>
      <c r="N259" s="10"/>
      <c r="O259" s="10"/>
      <c r="P259" s="10"/>
      <c r="Q259" s="10"/>
    </row>
    <row r="260" spans="3:17" hidden="1" outlineLevel="1" x14ac:dyDescent="0.3">
      <c r="C260" s="231"/>
      <c r="D260" s="722"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723"/>
      <c r="F260" s="724"/>
      <c r="G260" s="678"/>
      <c r="H260" s="679"/>
      <c r="I260" s="680"/>
      <c r="J260" s="243" t="b">
        <v>0</v>
      </c>
      <c r="K260" s="238" t="b">
        <v>0</v>
      </c>
      <c r="L260" s="17" t="str">
        <f t="shared" si="4"/>
        <v/>
      </c>
      <c r="M260" s="10"/>
      <c r="N260" s="10"/>
      <c r="O260" s="10"/>
      <c r="P260" s="10"/>
      <c r="Q260" s="10"/>
    </row>
    <row r="261" spans="3:17" hidden="1" outlineLevel="1" x14ac:dyDescent="0.3">
      <c r="C261" s="231"/>
      <c r="D261" s="722"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723"/>
      <c r="F261" s="724"/>
      <c r="G261" s="678"/>
      <c r="H261" s="679"/>
      <c r="I261" s="680"/>
      <c r="J261" s="243" t="b">
        <v>0</v>
      </c>
      <c r="K261" s="238" t="b">
        <v>0</v>
      </c>
      <c r="L261" s="17" t="str">
        <f t="shared" si="4"/>
        <v/>
      </c>
      <c r="M261" s="10"/>
      <c r="N261" s="10"/>
      <c r="O261" s="10"/>
      <c r="P261" s="10"/>
      <c r="Q261" s="10"/>
    </row>
    <row r="262" spans="3:17" hidden="1" outlineLevel="1" x14ac:dyDescent="0.3">
      <c r="C262" s="231"/>
      <c r="D262" s="722"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723"/>
      <c r="F262" s="724"/>
      <c r="G262" s="678"/>
      <c r="H262" s="679"/>
      <c r="I262" s="680"/>
      <c r="J262" s="243" t="b">
        <v>0</v>
      </c>
      <c r="K262" s="238" t="b">
        <v>0</v>
      </c>
      <c r="L262" s="17" t="str">
        <f t="shared" si="4"/>
        <v/>
      </c>
      <c r="M262" s="10"/>
      <c r="N262" s="10"/>
      <c r="O262" s="10"/>
      <c r="P262" s="10"/>
      <c r="Q262" s="10"/>
    </row>
    <row r="263" spans="3:17" hidden="1" outlineLevel="1" x14ac:dyDescent="0.3">
      <c r="C263" s="231"/>
      <c r="D263" s="722"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723"/>
      <c r="F263" s="724"/>
      <c r="G263" s="678"/>
      <c r="H263" s="679"/>
      <c r="I263" s="680"/>
      <c r="J263" s="243" t="b">
        <v>0</v>
      </c>
      <c r="K263" s="238" t="b">
        <v>0</v>
      </c>
      <c r="L263" s="17" t="str">
        <f t="shared" si="4"/>
        <v/>
      </c>
      <c r="M263" s="10"/>
      <c r="N263" s="10"/>
      <c r="O263" s="10"/>
      <c r="P263" s="10"/>
      <c r="Q263" s="10"/>
    </row>
    <row r="264" spans="3:17" hidden="1" outlineLevel="1" x14ac:dyDescent="0.3">
      <c r="C264" s="231"/>
      <c r="D264" s="722"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723"/>
      <c r="F264" s="724"/>
      <c r="G264" s="678"/>
      <c r="H264" s="679"/>
      <c r="I264" s="680"/>
      <c r="J264" s="243" t="b">
        <v>0</v>
      </c>
      <c r="K264" s="238" t="b">
        <v>0</v>
      </c>
      <c r="L264" s="17" t="str">
        <f t="shared" si="4"/>
        <v/>
      </c>
      <c r="M264" s="10"/>
      <c r="N264" s="10"/>
      <c r="O264" s="10"/>
      <c r="P264" s="10"/>
      <c r="Q264" s="10"/>
    </row>
    <row r="265" spans="3:17" hidden="1" outlineLevel="1" x14ac:dyDescent="0.3">
      <c r="C265" s="231"/>
      <c r="D265" s="722"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723"/>
      <c r="F265" s="724"/>
      <c r="G265" s="678"/>
      <c r="H265" s="679"/>
      <c r="I265" s="680"/>
      <c r="J265" s="243" t="b">
        <v>0</v>
      </c>
      <c r="K265" s="238" t="b">
        <v>0</v>
      </c>
      <c r="L265" s="17" t="str">
        <f t="shared" si="4"/>
        <v/>
      </c>
      <c r="M265" s="10"/>
      <c r="N265" s="10"/>
      <c r="O265" s="10"/>
      <c r="P265" s="10"/>
      <c r="Q265" s="10"/>
    </row>
    <row r="266" spans="3:17" hidden="1" outlineLevel="1" x14ac:dyDescent="0.3">
      <c r="C266" s="231"/>
      <c r="D266" s="722"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723"/>
      <c r="F266" s="724"/>
      <c r="G266" s="678"/>
      <c r="H266" s="679"/>
      <c r="I266" s="680"/>
      <c r="J266" s="243" t="b">
        <v>0</v>
      </c>
      <c r="K266" s="238" t="b">
        <v>0</v>
      </c>
      <c r="L266" s="17" t="str">
        <f t="shared" si="4"/>
        <v/>
      </c>
      <c r="M266" s="10"/>
      <c r="N266" s="10"/>
      <c r="O266" s="10"/>
      <c r="P266" s="10"/>
      <c r="Q266" s="10"/>
    </row>
    <row r="267" spans="3:17" hidden="1" outlineLevel="1" x14ac:dyDescent="0.3">
      <c r="C267" s="231"/>
      <c r="D267" s="722"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723"/>
      <c r="F267" s="724"/>
      <c r="G267" s="678"/>
      <c r="H267" s="679"/>
      <c r="I267" s="680"/>
      <c r="J267" s="243" t="b">
        <v>0</v>
      </c>
      <c r="K267" s="238" t="b">
        <v>0</v>
      </c>
      <c r="L267" s="17" t="str">
        <f t="shared" si="4"/>
        <v/>
      </c>
      <c r="M267" s="10"/>
      <c r="N267" s="10"/>
      <c r="O267" s="10"/>
      <c r="P267" s="10"/>
      <c r="Q267" s="10"/>
    </row>
    <row r="268" spans="3:17" hidden="1" outlineLevel="1" x14ac:dyDescent="0.3">
      <c r="C268" s="231"/>
      <c r="D268" s="722"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723"/>
      <c r="F268" s="724"/>
      <c r="G268" s="678"/>
      <c r="H268" s="679"/>
      <c r="I268" s="680"/>
      <c r="J268" s="243" t="b">
        <v>0</v>
      </c>
      <c r="K268" s="238" t="b">
        <v>0</v>
      </c>
      <c r="L268" s="17" t="str">
        <f t="shared" si="4"/>
        <v/>
      </c>
      <c r="M268" s="10"/>
      <c r="N268" s="10"/>
      <c r="O268" s="10"/>
      <c r="P268" s="10"/>
      <c r="Q268" s="10"/>
    </row>
    <row r="269" spans="3:17" hidden="1" outlineLevel="1" x14ac:dyDescent="0.3">
      <c r="C269" s="231"/>
      <c r="D269" s="722"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723"/>
      <c r="F269" s="724"/>
      <c r="G269" s="678"/>
      <c r="H269" s="679"/>
      <c r="I269" s="680"/>
      <c r="J269" s="243" t="b">
        <v>0</v>
      </c>
      <c r="K269" s="238" t="b">
        <v>0</v>
      </c>
      <c r="L269" s="17" t="str">
        <f t="shared" si="4"/>
        <v/>
      </c>
      <c r="M269" s="10"/>
      <c r="N269" s="10"/>
      <c r="O269" s="10"/>
      <c r="P269" s="10"/>
      <c r="Q269" s="10"/>
    </row>
    <row r="270" spans="3:17" hidden="1" outlineLevel="1" x14ac:dyDescent="0.3">
      <c r="C270" s="231"/>
      <c r="D270" s="722"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723"/>
      <c r="F270" s="724"/>
      <c r="G270" s="678"/>
      <c r="H270" s="679"/>
      <c r="I270" s="680"/>
      <c r="J270" s="243" t="b">
        <v>0</v>
      </c>
      <c r="K270" s="238" t="b">
        <v>0</v>
      </c>
      <c r="L270" s="17" t="str">
        <f t="shared" si="4"/>
        <v/>
      </c>
      <c r="M270" s="10"/>
      <c r="N270" s="10"/>
      <c r="O270" s="10"/>
      <c r="P270" s="10"/>
      <c r="Q270" s="10"/>
    </row>
    <row r="271" spans="3:17" hidden="1" outlineLevel="1" x14ac:dyDescent="0.3">
      <c r="C271" s="231"/>
      <c r="D271" s="722"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723"/>
      <c r="F271" s="724"/>
      <c r="G271" s="678"/>
      <c r="H271" s="679"/>
      <c r="I271" s="680"/>
      <c r="J271" s="243" t="b">
        <v>0</v>
      </c>
      <c r="K271" s="238" t="b">
        <v>0</v>
      </c>
      <c r="L271" s="17" t="str">
        <f t="shared" si="4"/>
        <v/>
      </c>
      <c r="M271" s="10"/>
      <c r="N271" s="10"/>
      <c r="O271" s="10"/>
      <c r="P271" s="10"/>
      <c r="Q271" s="10"/>
    </row>
    <row r="272" spans="3:17" hidden="1" outlineLevel="1" x14ac:dyDescent="0.3">
      <c r="C272" s="231"/>
      <c r="D272" s="722"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723"/>
      <c r="F272" s="724"/>
      <c r="G272" s="678"/>
      <c r="H272" s="679"/>
      <c r="I272" s="680"/>
      <c r="J272" s="243" t="b">
        <v>0</v>
      </c>
      <c r="K272" s="238" t="b">
        <v>0</v>
      </c>
      <c r="L272" s="17" t="str">
        <f t="shared" si="4"/>
        <v/>
      </c>
      <c r="M272" s="10"/>
      <c r="N272" s="10"/>
      <c r="O272" s="10"/>
      <c r="P272" s="10"/>
      <c r="Q272" s="10"/>
    </row>
    <row r="273" spans="3:17" hidden="1" outlineLevel="1" x14ac:dyDescent="0.3">
      <c r="C273" s="231"/>
      <c r="D273" s="722"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723"/>
      <c r="F273" s="724"/>
      <c r="G273" s="678"/>
      <c r="H273" s="679"/>
      <c r="I273" s="680"/>
      <c r="J273" s="243" t="b">
        <v>0</v>
      </c>
      <c r="K273" s="238" t="b">
        <v>0</v>
      </c>
      <c r="L273" s="17" t="str">
        <f t="shared" si="4"/>
        <v/>
      </c>
      <c r="M273" s="10"/>
      <c r="N273" s="10"/>
      <c r="O273" s="10"/>
      <c r="P273" s="10"/>
      <c r="Q273" s="10"/>
    </row>
    <row r="274" spans="3:17" hidden="1" outlineLevel="1" x14ac:dyDescent="0.3">
      <c r="C274" s="231"/>
      <c r="D274" s="722"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723"/>
      <c r="F274" s="724"/>
      <c r="G274" s="678"/>
      <c r="H274" s="679"/>
      <c r="I274" s="680"/>
      <c r="J274" s="243" t="b">
        <v>0</v>
      </c>
      <c r="K274" s="238" t="b">
        <v>0</v>
      </c>
      <c r="L274" s="17" t="str">
        <f t="shared" si="4"/>
        <v/>
      </c>
      <c r="M274" s="10"/>
      <c r="N274" s="10"/>
      <c r="O274" s="10"/>
      <c r="P274" s="10"/>
      <c r="Q274" s="10"/>
    </row>
    <row r="275" spans="3:17" hidden="1" outlineLevel="1" x14ac:dyDescent="0.3">
      <c r="C275" s="231"/>
      <c r="D275" s="722"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723"/>
      <c r="F275" s="724"/>
      <c r="G275" s="678"/>
      <c r="H275" s="679"/>
      <c r="I275" s="680"/>
      <c r="J275" s="243" t="b">
        <v>0</v>
      </c>
      <c r="K275" s="238" t="b">
        <v>0</v>
      </c>
      <c r="L275" s="17" t="str">
        <f t="shared" si="4"/>
        <v/>
      </c>
      <c r="M275" s="10"/>
      <c r="N275" s="10"/>
      <c r="O275" s="10"/>
      <c r="P275" s="10"/>
      <c r="Q275" s="10"/>
    </row>
    <row r="276" spans="3:17" hidden="1" outlineLevel="1" x14ac:dyDescent="0.3">
      <c r="C276" s="231"/>
      <c r="D276" s="722"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723"/>
      <c r="F276" s="724"/>
      <c r="G276" s="678"/>
      <c r="H276" s="679"/>
      <c r="I276" s="680"/>
      <c r="J276" s="243" t="b">
        <v>0</v>
      </c>
      <c r="K276" s="238" t="b">
        <v>0</v>
      </c>
      <c r="L276" s="17" t="str">
        <f t="shared" si="4"/>
        <v/>
      </c>
      <c r="M276" s="10"/>
      <c r="N276" s="10"/>
      <c r="O276" s="10"/>
      <c r="P276" s="10"/>
      <c r="Q276" s="10"/>
    </row>
    <row r="277" spans="3:17" hidden="1" outlineLevel="1" x14ac:dyDescent="0.3">
      <c r="C277" s="231"/>
      <c r="D277" s="722"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723"/>
      <c r="F277" s="724"/>
      <c r="G277" s="678"/>
      <c r="H277" s="679"/>
      <c r="I277" s="680"/>
      <c r="J277" s="243" t="b">
        <v>0</v>
      </c>
      <c r="K277" s="238" t="b">
        <v>0</v>
      </c>
      <c r="L277" s="17" t="str">
        <f t="shared" si="4"/>
        <v/>
      </c>
      <c r="M277" s="10"/>
      <c r="N277" s="10"/>
      <c r="O277" s="10"/>
      <c r="P277" s="10"/>
      <c r="Q277" s="10"/>
    </row>
    <row r="278" spans="3:17" hidden="1" outlineLevel="1" x14ac:dyDescent="0.3">
      <c r="C278" s="231"/>
      <c r="D278" s="722"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723"/>
      <c r="F278" s="724"/>
      <c r="G278" s="678"/>
      <c r="H278" s="679"/>
      <c r="I278" s="680"/>
      <c r="J278" s="243" t="b">
        <v>0</v>
      </c>
      <c r="K278" s="238" t="b">
        <v>0</v>
      </c>
      <c r="L278" s="17" t="str">
        <f t="shared" si="4"/>
        <v/>
      </c>
      <c r="M278" s="10"/>
      <c r="N278" s="10"/>
      <c r="O278" s="10"/>
      <c r="P278" s="10"/>
      <c r="Q278" s="10"/>
    </row>
    <row r="279" spans="3:17" hidden="1" outlineLevel="1" x14ac:dyDescent="0.3">
      <c r="C279" s="231"/>
      <c r="D279" s="722"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723"/>
      <c r="F279" s="724"/>
      <c r="G279" s="678"/>
      <c r="H279" s="679"/>
      <c r="I279" s="680"/>
      <c r="J279" s="243" t="b">
        <v>0</v>
      </c>
      <c r="K279" s="238" t="b">
        <v>0</v>
      </c>
      <c r="L279" s="17" t="str">
        <f t="shared" si="4"/>
        <v/>
      </c>
      <c r="M279" s="10"/>
      <c r="N279" s="10"/>
      <c r="O279" s="10"/>
      <c r="P279" s="10"/>
      <c r="Q279" s="10"/>
    </row>
    <row r="280" spans="3:17" hidden="1" outlineLevel="1" x14ac:dyDescent="0.3">
      <c r="C280" s="231"/>
      <c r="D280" s="722"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723"/>
      <c r="F280" s="724"/>
      <c r="G280" s="678"/>
      <c r="H280" s="679"/>
      <c r="I280" s="680"/>
      <c r="J280" s="243" t="b">
        <v>0</v>
      </c>
      <c r="K280" s="238" t="b">
        <v>0</v>
      </c>
      <c r="L280" s="17" t="str">
        <f t="shared" si="4"/>
        <v/>
      </c>
      <c r="M280" s="10"/>
      <c r="N280" s="10"/>
      <c r="O280" s="10"/>
      <c r="P280" s="10"/>
      <c r="Q280" s="10"/>
    </row>
    <row r="281" spans="3:17" hidden="1" outlineLevel="1" x14ac:dyDescent="0.3">
      <c r="C281" s="231"/>
      <c r="D281" s="722"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723"/>
      <c r="F281" s="724"/>
      <c r="G281" s="678"/>
      <c r="H281" s="679"/>
      <c r="I281" s="680"/>
      <c r="J281" s="243" t="b">
        <v>0</v>
      </c>
      <c r="K281" s="238" t="b">
        <v>0</v>
      </c>
      <c r="L281" s="17" t="str">
        <f t="shared" si="4"/>
        <v/>
      </c>
      <c r="M281" s="10"/>
      <c r="N281" s="10"/>
      <c r="O281" s="10"/>
      <c r="P281" s="10"/>
      <c r="Q281" s="10"/>
    </row>
    <row r="282" spans="3:17" hidden="1" outlineLevel="1" x14ac:dyDescent="0.3">
      <c r="C282" s="231"/>
      <c r="D282" s="722"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723"/>
      <c r="F282" s="724"/>
      <c r="G282" s="678"/>
      <c r="H282" s="679"/>
      <c r="I282" s="680"/>
      <c r="J282" s="243" t="b">
        <v>0</v>
      </c>
      <c r="K282" s="238" t="b">
        <v>0</v>
      </c>
      <c r="L282" s="17" t="str">
        <f t="shared" si="4"/>
        <v/>
      </c>
      <c r="M282" s="10"/>
      <c r="N282" s="10"/>
      <c r="O282" s="10"/>
      <c r="P282" s="10"/>
      <c r="Q282" s="10"/>
    </row>
    <row r="283" spans="3:17" hidden="1" outlineLevel="1" x14ac:dyDescent="0.3">
      <c r="C283" s="231"/>
      <c r="D283" s="722"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723"/>
      <c r="F283" s="724"/>
      <c r="G283" s="678"/>
      <c r="H283" s="679"/>
      <c r="I283" s="680"/>
      <c r="J283" s="243" t="b">
        <v>0</v>
      </c>
      <c r="K283" s="238" t="b">
        <v>0</v>
      </c>
      <c r="L283" s="17" t="str">
        <f t="shared" si="4"/>
        <v/>
      </c>
      <c r="M283" s="10"/>
      <c r="N283" s="10"/>
      <c r="O283" s="10"/>
      <c r="P283" s="10"/>
      <c r="Q283" s="10"/>
    </row>
    <row r="284" spans="3:17" hidden="1" outlineLevel="1" x14ac:dyDescent="0.3">
      <c r="C284" s="231"/>
      <c r="D284" s="722"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723"/>
      <c r="F284" s="724"/>
      <c r="G284" s="678"/>
      <c r="H284" s="679"/>
      <c r="I284" s="680"/>
      <c r="J284" s="243" t="b">
        <v>0</v>
      </c>
      <c r="K284" s="238" t="b">
        <v>0</v>
      </c>
      <c r="L284" s="17" t="str">
        <f t="shared" si="4"/>
        <v/>
      </c>
      <c r="M284" s="10"/>
      <c r="N284" s="10"/>
      <c r="O284" s="10"/>
      <c r="P284" s="10"/>
      <c r="Q284" s="10"/>
    </row>
    <row r="285" spans="3:17" hidden="1" outlineLevel="1" x14ac:dyDescent="0.3">
      <c r="C285" s="231"/>
      <c r="D285" s="722"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723"/>
      <c r="F285" s="724"/>
      <c r="G285" s="678"/>
      <c r="H285" s="679"/>
      <c r="I285" s="680"/>
      <c r="J285" s="243" t="b">
        <v>0</v>
      </c>
      <c r="K285" s="238" t="b">
        <v>0</v>
      </c>
      <c r="L285" s="17" t="str">
        <f t="shared" si="4"/>
        <v/>
      </c>
      <c r="M285" s="10"/>
      <c r="N285" s="10"/>
      <c r="O285" s="10"/>
      <c r="P285" s="10"/>
      <c r="Q285" s="10"/>
    </row>
    <row r="286" spans="3:17" hidden="1" outlineLevel="1" x14ac:dyDescent="0.3">
      <c r="C286" s="231"/>
      <c r="D286" s="722"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23"/>
      <c r="F286" s="724"/>
      <c r="G286" s="933"/>
      <c r="H286" s="679"/>
      <c r="I286" s="680"/>
      <c r="J286" s="243" t="b">
        <v>0</v>
      </c>
      <c r="K286" s="238" t="b">
        <v>0</v>
      </c>
      <c r="L286" s="17" t="str">
        <f t="shared" si="4"/>
        <v/>
      </c>
      <c r="M286" s="10"/>
      <c r="N286" s="10"/>
      <c r="O286" s="10"/>
      <c r="P286" s="10"/>
      <c r="Q286" s="10"/>
    </row>
    <row r="287" spans="3:17" ht="15" hidden="1" outlineLevel="1" thickBot="1" x14ac:dyDescent="0.35">
      <c r="C287" s="234"/>
      <c r="D287" s="722"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23"/>
      <c r="F287" s="724"/>
      <c r="G287" s="931"/>
      <c r="H287" s="884"/>
      <c r="I287" s="932"/>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47" t="str">
        <f>template_label_b5_biodiversity_land_use&amp;" "&amp;template_label_from&amp;" "&amp;template_starting_date_display&amp;" "&amp;template_label_to&amp;" "&amp;template_ending_date_display&amp;" " &amp; template_label_may</f>
        <v>B5 - Biodiversity - Land-use from - to - [May (optional)]</v>
      </c>
      <c r="D289" s="748"/>
      <c r="E289" s="748"/>
      <c r="F289" s="749"/>
    </row>
    <row r="290" spans="3:12" x14ac:dyDescent="0.3">
      <c r="C290" s="750">
        <v>34</v>
      </c>
      <c r="D290" s="751"/>
      <c r="E290" s="751"/>
      <c r="F290" s="752"/>
    </row>
    <row r="291" spans="3:12" x14ac:dyDescent="0.3">
      <c r="C291" s="775" t="s">
        <v>5650</v>
      </c>
      <c r="D291" s="776"/>
      <c r="E291" s="776"/>
      <c r="F291" s="843"/>
    </row>
    <row r="292" spans="3:12" ht="16.95" customHeight="1" x14ac:dyDescent="0.3">
      <c r="C292" s="929" t="str">
        <f>template_label_please_select_the_unit_used_for_the_area</f>
        <v>Please select the unit used for the area (i.e. either hectares or m²):</v>
      </c>
      <c r="D292" s="804"/>
      <c r="E292" s="804"/>
      <c r="F292" s="915"/>
    </row>
    <row r="293" spans="3:12" x14ac:dyDescent="0.3">
      <c r="C293" s="930"/>
      <c r="D293" s="633"/>
      <c r="E293" s="633"/>
      <c r="F293" s="634"/>
      <c r="G293" s="16" t="str">
        <f>IF(C293&lt;&gt;"", template_label_ok, IF(AND(OR(D295&lt;&gt;"", D296&lt;&gt;"", D297&lt;&gt;"", D298&lt;&gt;""), C293=""), template_label_missing_value, ""))</f>
        <v/>
      </c>
      <c r="H293" s="122"/>
      <c r="K293" s="16"/>
    </row>
    <row r="294" spans="3:12" x14ac:dyDescent="0.3">
      <c r="C294" s="123" t="str">
        <f>template_label_land_use_type</f>
        <v>Land-use type</v>
      </c>
      <c r="D294" s="804" t="str">
        <f>template_label_area</f>
        <v>Area</v>
      </c>
      <c r="E294" s="804"/>
      <c r="F294" s="915"/>
      <c r="G294" s="16"/>
      <c r="H294" s="122"/>
      <c r="K294" s="16"/>
    </row>
    <row r="295" spans="3:12" x14ac:dyDescent="0.3">
      <c r="C295" s="126" t="str">
        <f>template_label_total_sealed_area</f>
        <v>Total sealed area</v>
      </c>
      <c r="D295" s="879"/>
      <c r="E295" s="879"/>
      <c r="F295" s="880"/>
      <c r="G295" s="713"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879"/>
      <c r="E296" s="879"/>
      <c r="F296" s="880"/>
      <c r="G296" s="713"/>
      <c r="H296" s="125"/>
      <c r="K296" s="16"/>
    </row>
    <row r="297" spans="3:12" x14ac:dyDescent="0.3">
      <c r="C297" s="126" t="str">
        <f>template_label_total_nature_oriented_area_off_site</f>
        <v>Total nature-oriented area off-site</v>
      </c>
      <c r="D297" s="879"/>
      <c r="E297" s="879"/>
      <c r="F297" s="880"/>
      <c r="G297" s="713"/>
      <c r="H297" s="125"/>
      <c r="K297" s="16"/>
    </row>
    <row r="298" spans="3:12" ht="15" thickBot="1" x14ac:dyDescent="0.35">
      <c r="C298" s="113" t="str">
        <f>template_label_total_use_of_land</f>
        <v>Total use of land</v>
      </c>
      <c r="D298" s="923"/>
      <c r="E298" s="923"/>
      <c r="F298" s="924"/>
      <c r="G298" s="713"/>
      <c r="H298" s="125"/>
      <c r="K298" s="16"/>
    </row>
    <row r="299" spans="3:12" ht="15" thickBot="1" x14ac:dyDescent="0.35"/>
    <row r="300" spans="3:12" x14ac:dyDescent="0.3">
      <c r="C300" s="544" t="str">
        <f>template_label_b6_water_withdrawal&amp;" "&amp;template_label_from&amp;" "&amp;template_starting_date_display&amp;" "&amp;template_label_to&amp;" "&amp;template_ending_date_display&amp;" "&amp;template_label_always_to_be_reported</f>
        <v>B6 - Water Withdrawal from - to - [Always to be reported]</v>
      </c>
      <c r="D300" s="937"/>
      <c r="E300" s="15"/>
      <c r="F300" s="15"/>
      <c r="G300" s="16"/>
      <c r="H300" s="16"/>
      <c r="I300" s="16"/>
      <c r="K300" s="16"/>
    </row>
    <row r="301" spans="3:12" x14ac:dyDescent="0.3">
      <c r="C301" s="532">
        <v>35</v>
      </c>
      <c r="D301" s="899"/>
      <c r="E301" s="127"/>
      <c r="F301" s="127"/>
      <c r="G301" s="16"/>
      <c r="H301" s="16"/>
      <c r="I301" s="16"/>
    </row>
    <row r="302" spans="3:12" x14ac:dyDescent="0.3">
      <c r="C302" s="647" t="s">
        <v>5651</v>
      </c>
      <c r="D302" s="883"/>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c r="E303" s="942" t="str">
        <f>IF(
    AND(
        OR(
            'General Information'!E122="Option A (Basic Module only)",
            'General Information'!E122="Option B (Basic Module and Comprehensive Module)"
        ),
        TotalAmountOfWaterWithdrawnFromAllSites=""
    ),
    template_label_missing_value,
    IF('General Information'!E122="", "", template_label_ok)
)</f>
        <v/>
      </c>
      <c r="F303" s="943"/>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c r="E304" s="925" t="str">
        <f>IF(
    AND(
        OR(
            'General Information'!E122="Option A (Basic Module only)",
            'General Information'!E122="Option B (Basic Module and Comprehensive Module)"
        ),
        AmountOfWaterWithdrawnAtSitesLocatedInAreasOfHighWaterStress=""
    ),
    template_label_missing_value,
    IF('General Information'!E122="", "", template_label_ok)
)</f>
        <v/>
      </c>
      <c r="F304" s="926"/>
      <c r="G304" s="16"/>
      <c r="H304" s="16"/>
      <c r="I304" s="16"/>
    </row>
    <row r="305" spans="3:12" ht="15" thickBot="1" x14ac:dyDescent="0.35">
      <c r="K305" s="38"/>
    </row>
    <row r="306" spans="3:12" x14ac:dyDescent="0.3">
      <c r="C306" s="544" t="str">
        <f>template_label_b6_water_consumption&amp;" "&amp;template_label_from&amp;" "&amp;template_starting_date_display&amp;" "&amp;template_label_to&amp;" "&amp;template_ending_date_display&amp;" "&amp;template_label_if_applicable</f>
        <v>B6 - Water Consumption from - to - [If applicable]</v>
      </c>
      <c r="D306" s="937"/>
      <c r="E306" s="15"/>
      <c r="F306" s="15"/>
    </row>
    <row r="307" spans="3:12" x14ac:dyDescent="0.3">
      <c r="C307" s="750">
        <v>36</v>
      </c>
      <c r="D307" s="752"/>
      <c r="E307" s="127"/>
      <c r="F307" s="127"/>
    </row>
    <row r="308" spans="3:12" x14ac:dyDescent="0.3">
      <c r="C308" s="647" t="s">
        <v>5652</v>
      </c>
      <c r="D308" s="649"/>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0</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c r="E310" s="926" t="str">
        <f>IF(
    AND(D309=TRUE, D310=""),
    template_label_missing_value,
    IF(AND(D309=TRUE, D310&lt;&gt;""),
        template_label_ok,
        ""
    )
)</f>
        <v/>
      </c>
      <c r="F310" s="926"/>
      <c r="G310" s="16"/>
      <c r="H310" s="16"/>
      <c r="I310" s="16"/>
    </row>
    <row r="311" spans="3:12" ht="21" customHeight="1" thickBot="1" x14ac:dyDescent="0.35">
      <c r="C311" s="132" t="str">
        <f>template_label_total_water_consumption</f>
        <v>Total water consumption (m³)</v>
      </c>
      <c r="D311" s="291" t="str">
        <f>IF(D310&lt;&gt;"",$D$303-$D$310,"-")</f>
        <v>-</v>
      </c>
      <c r="E311" s="133"/>
      <c r="F311" s="133"/>
    </row>
    <row r="312" spans="3:12" ht="15" thickBot="1" x14ac:dyDescent="0.35"/>
    <row r="313" spans="3:12" x14ac:dyDescent="0.3">
      <c r="C313" s="747"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748"/>
      <c r="E313" s="935"/>
      <c r="F313" s="935"/>
      <c r="G313" s="749"/>
      <c r="H313" s="16"/>
      <c r="I313" s="16"/>
    </row>
    <row r="314" spans="3:12" x14ac:dyDescent="0.3">
      <c r="C314" s="750">
        <v>37</v>
      </c>
      <c r="D314" s="751"/>
      <c r="E314" s="936"/>
      <c r="F314" s="936"/>
      <c r="G314" s="752"/>
      <c r="H314" s="134"/>
      <c r="I314" s="134"/>
    </row>
    <row r="315" spans="3:12" x14ac:dyDescent="0.3">
      <c r="C315" s="775">
        <v>94</v>
      </c>
      <c r="D315" s="776"/>
      <c r="E315" s="591"/>
      <c r="F315" s="591"/>
      <c r="G315" s="843"/>
      <c r="H315" s="135"/>
      <c r="I315" s="135"/>
    </row>
    <row r="316" spans="3:12" x14ac:dyDescent="0.3">
      <c r="C316" s="97" t="str">
        <f>template_label_undertaking_applies_circular_economy_principles</f>
        <v>Undertaking applies circular economy principles</v>
      </c>
      <c r="D316" s="876"/>
      <c r="E316" s="877"/>
      <c r="F316" s="877"/>
      <c r="G316" s="878"/>
      <c r="H316" s="875" t="str">
        <f>IF(
    AND(
        OR(
            'General Information'!E122="Option A (Basic Module only)",
            'General Information'!E122="Option B (Basic Module and Comprehensive Module)"
        ),
        UndertakingAppliesCircularEconomyPrinciples=""
    ),
    template_label_missing_value,
    IF('General Information'!E122="", "", template_label_ok)
)</f>
        <v/>
      </c>
      <c r="I316" s="547"/>
      <c r="J316" s="16"/>
    </row>
    <row r="317" spans="3:12" ht="15" thickBot="1" x14ac:dyDescent="0.35">
      <c r="C317" s="116" t="str">
        <f>template_label_description_of_how_it_applies_these_principles</f>
        <v>Description of how it applies these principles</v>
      </c>
      <c r="D317" s="566"/>
      <c r="E317" s="541"/>
      <c r="F317" s="541"/>
      <c r="G317" s="567"/>
      <c r="H317" s="875" t="str">
        <f>IF(
    AND(D316="YES", D317=""),
    template_label_missing_value,
    IF(
        AND(D316="YES", D317&lt;&gt;""),
        template_label_ok,
        IF(
            AND(D316="NO", D317&lt;&gt;""),
            template_label_value_inconsistency,
            ""
        )
    )
)</f>
        <v/>
      </c>
      <c r="I317" s="547"/>
      <c r="J317" s="16"/>
    </row>
    <row r="318" spans="3:12" ht="15" thickBot="1" x14ac:dyDescent="0.35"/>
    <row r="319" spans="3:12" x14ac:dyDescent="0.3">
      <c r="C319" s="747" t="str">
        <f>template_label_b7_waste_generated&amp;" "&amp;template_label_from&amp;" "&amp;template_starting_date_display&amp;" "&amp;template_label_to&amp;" "&amp;template_ending_date_display&amp;" "&amp;template_label_always_to_be_reported</f>
        <v>B7 - Waste generated from - to - [Always to be reported]</v>
      </c>
      <c r="D319" s="748"/>
      <c r="E319" s="748"/>
      <c r="F319" s="748"/>
      <c r="G319" s="748"/>
      <c r="H319" s="748"/>
      <c r="I319" s="748"/>
      <c r="J319" s="748"/>
      <c r="K319" s="748"/>
      <c r="L319" s="749"/>
    </row>
    <row r="320" spans="3:12" x14ac:dyDescent="0.3">
      <c r="C320" s="750" t="s">
        <v>3726</v>
      </c>
      <c r="D320" s="751"/>
      <c r="E320" s="751"/>
      <c r="F320" s="751"/>
      <c r="G320" s="751"/>
      <c r="H320" s="751"/>
      <c r="I320" s="751"/>
      <c r="J320" s="751"/>
      <c r="K320" s="751"/>
      <c r="L320" s="752"/>
    </row>
    <row r="321" spans="3:14" x14ac:dyDescent="0.3">
      <c r="C321" s="775" t="s">
        <v>5653</v>
      </c>
      <c r="D321" s="776"/>
      <c r="E321" s="776"/>
      <c r="F321" s="776"/>
      <c r="G321" s="776"/>
      <c r="H321" s="776"/>
      <c r="I321" s="776"/>
      <c r="J321" s="776"/>
      <c r="K321" s="776"/>
      <c r="L321" s="843"/>
    </row>
    <row r="322" spans="3:14" ht="49.2" customHeight="1" x14ac:dyDescent="0.3">
      <c r="C322" s="136" t="str">
        <f>template_label_row_id</f>
        <v>Row ID</v>
      </c>
      <c r="D322" s="888" t="str">
        <f>template_label_type_of_waste</f>
        <v>Type of waste</v>
      </c>
      <c r="E322" s="888"/>
      <c r="F322" s="888"/>
      <c r="G322" s="890" t="str">
        <f>template_label_unit_of_measurement</f>
        <v>Unit of measurement</v>
      </c>
      <c r="H322" s="890"/>
      <c r="I322" s="890"/>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691"/>
      <c r="E323" s="691"/>
      <c r="F323" s="691"/>
      <c r="G323" s="685"/>
      <c r="H323" s="685"/>
      <c r="I323" s="685"/>
      <c r="J323" s="275"/>
      <c r="K323" s="276"/>
      <c r="L323" s="277" t="str">
        <f>IF(AND(D323="",J323="",K323=""),"-",SUM(J323:K323))</f>
        <v>-</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t="str">
        <f>template_label_type_of_waste_warning</f>
        <v>ℹ️  Please select a Type of waste (Hazardous or Non-Hazardous) rather than a category else an ERROR message will appear.</v>
      </c>
    </row>
    <row r="324" spans="3:14" x14ac:dyDescent="0.3">
      <c r="C324" s="383">
        <v>2</v>
      </c>
      <c r="D324" s="691"/>
      <c r="E324" s="691"/>
      <c r="F324" s="691"/>
      <c r="G324" s="685"/>
      <c r="H324" s="685"/>
      <c r="I324" s="685"/>
      <c r="J324" s="278"/>
      <c r="K324" s="278"/>
      <c r="L324" s="279"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384">
        <v>3</v>
      </c>
      <c r="D325" s="886"/>
      <c r="E325" s="886"/>
      <c r="F325" s="886"/>
      <c r="G325" s="887"/>
      <c r="H325" s="887"/>
      <c r="I325" s="887"/>
      <c r="J325" s="280"/>
      <c r="K325" s="280"/>
      <c r="L325" s="281"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889"/>
      <c r="E326" s="889"/>
      <c r="F326" s="889"/>
      <c r="G326" s="934"/>
      <c r="H326" s="934"/>
      <c r="I326" s="934"/>
      <c r="J326" s="282"/>
      <c r="K326" s="282"/>
      <c r="L326" s="283" t="str">
        <f t="shared" si="5"/>
        <v>-</v>
      </c>
      <c r="M326" s="16" t="str">
        <f t="shared" si="6"/>
        <v/>
      </c>
    </row>
    <row r="327" spans="3:14" hidden="1" outlineLevel="1" x14ac:dyDescent="0.3">
      <c r="C327" s="383">
        <v>5</v>
      </c>
      <c r="D327" s="691"/>
      <c r="E327" s="691"/>
      <c r="F327" s="691"/>
      <c r="G327" s="685"/>
      <c r="H327" s="685"/>
      <c r="I327" s="685"/>
      <c r="J327" s="278"/>
      <c r="K327" s="278"/>
      <c r="L327" s="279" t="str">
        <f t="shared" si="5"/>
        <v>-</v>
      </c>
      <c r="M327" s="16" t="str">
        <f t="shared" si="6"/>
        <v/>
      </c>
    </row>
    <row r="328" spans="3:14" hidden="1" outlineLevel="1" x14ac:dyDescent="0.3">
      <c r="C328" s="383">
        <v>6</v>
      </c>
      <c r="D328" s="691"/>
      <c r="E328" s="691"/>
      <c r="F328" s="691"/>
      <c r="G328" s="685"/>
      <c r="H328" s="685"/>
      <c r="I328" s="685"/>
      <c r="J328" s="278"/>
      <c r="K328" s="278"/>
      <c r="L328" s="279" t="str">
        <f>IF(AND(D328="",J328="",K328=""),"-",SUM(J328:K328))</f>
        <v>-</v>
      </c>
      <c r="M328" s="16" t="str">
        <f t="shared" si="6"/>
        <v/>
      </c>
    </row>
    <row r="329" spans="3:14" hidden="1" outlineLevel="1" x14ac:dyDescent="0.3">
      <c r="C329" s="383">
        <v>7</v>
      </c>
      <c r="D329" s="691"/>
      <c r="E329" s="691"/>
      <c r="F329" s="691"/>
      <c r="G329" s="685"/>
      <c r="H329" s="685"/>
      <c r="I329" s="685"/>
      <c r="J329" s="278"/>
      <c r="K329" s="278"/>
      <c r="L329" s="279" t="str">
        <f>IF(AND(D329="",J329="",K329=""),"-",SUM(J329:K329))</f>
        <v>-</v>
      </c>
      <c r="M329" s="16" t="str">
        <f t="shared" si="6"/>
        <v/>
      </c>
    </row>
    <row r="330" spans="3:14" hidden="1" outlineLevel="1" x14ac:dyDescent="0.3">
      <c r="C330" s="383">
        <v>8</v>
      </c>
      <c r="D330" s="691"/>
      <c r="E330" s="691"/>
      <c r="F330" s="691"/>
      <c r="G330" s="685"/>
      <c r="H330" s="685"/>
      <c r="I330" s="685"/>
      <c r="J330" s="278"/>
      <c r="K330" s="278"/>
      <c r="L330" s="279" t="str">
        <f t="shared" si="5"/>
        <v>-</v>
      </c>
      <c r="M330" s="16" t="str">
        <f t="shared" si="6"/>
        <v/>
      </c>
    </row>
    <row r="331" spans="3:14" hidden="1" outlineLevel="1" x14ac:dyDescent="0.3">
      <c r="C331" s="383">
        <v>9</v>
      </c>
      <c r="D331" s="691"/>
      <c r="E331" s="691"/>
      <c r="F331" s="691"/>
      <c r="G331" s="685"/>
      <c r="H331" s="685"/>
      <c r="I331" s="685"/>
      <c r="J331" s="278"/>
      <c r="K331" s="278"/>
      <c r="L331" s="279" t="str">
        <f t="shared" si="5"/>
        <v>-</v>
      </c>
      <c r="M331" s="16" t="str">
        <f t="shared" si="6"/>
        <v/>
      </c>
    </row>
    <row r="332" spans="3:14" hidden="1" outlineLevel="1" x14ac:dyDescent="0.3">
      <c r="C332" s="383">
        <v>10</v>
      </c>
      <c r="D332" s="691"/>
      <c r="E332" s="691"/>
      <c r="F332" s="691"/>
      <c r="G332" s="685"/>
      <c r="H332" s="685"/>
      <c r="I332" s="685"/>
      <c r="J332" s="278"/>
      <c r="K332" s="278"/>
      <c r="L332" s="279" t="str">
        <f t="shared" si="5"/>
        <v>-</v>
      </c>
      <c r="M332" s="16" t="str">
        <f t="shared" si="6"/>
        <v/>
      </c>
    </row>
    <row r="333" spans="3:14" hidden="1" outlineLevel="1" x14ac:dyDescent="0.3">
      <c r="C333" s="383">
        <v>11</v>
      </c>
      <c r="D333" s="691"/>
      <c r="E333" s="691"/>
      <c r="F333" s="691"/>
      <c r="G333" s="685"/>
      <c r="H333" s="685"/>
      <c r="I333" s="685"/>
      <c r="J333" s="278"/>
      <c r="K333" s="278"/>
      <c r="L333" s="279" t="str">
        <f t="shared" si="5"/>
        <v>-</v>
      </c>
      <c r="M333" s="16" t="str">
        <f t="shared" si="6"/>
        <v/>
      </c>
    </row>
    <row r="334" spans="3:14" hidden="1" outlineLevel="1" x14ac:dyDescent="0.3">
      <c r="C334" s="383">
        <v>12</v>
      </c>
      <c r="D334" s="691"/>
      <c r="E334" s="691"/>
      <c r="F334" s="691"/>
      <c r="G334" s="685"/>
      <c r="H334" s="685"/>
      <c r="I334" s="685"/>
      <c r="J334" s="278"/>
      <c r="K334" s="278"/>
      <c r="L334" s="279" t="str">
        <f t="shared" si="5"/>
        <v>-</v>
      </c>
      <c r="M334" s="16" t="str">
        <f t="shared" si="6"/>
        <v/>
      </c>
    </row>
    <row r="335" spans="3:14" hidden="1" outlineLevel="1" x14ac:dyDescent="0.3">
      <c r="C335" s="383">
        <v>13</v>
      </c>
      <c r="D335" s="691"/>
      <c r="E335" s="691"/>
      <c r="F335" s="691"/>
      <c r="G335" s="685"/>
      <c r="H335" s="685"/>
      <c r="I335" s="685"/>
      <c r="J335" s="278"/>
      <c r="K335" s="278"/>
      <c r="L335" s="279" t="str">
        <f t="shared" si="5"/>
        <v>-</v>
      </c>
      <c r="M335" s="16" t="str">
        <f t="shared" si="6"/>
        <v/>
      </c>
    </row>
    <row r="336" spans="3:14" hidden="1" outlineLevel="1" x14ac:dyDescent="0.3">
      <c r="C336" s="383">
        <v>14</v>
      </c>
      <c r="D336" s="691"/>
      <c r="E336" s="691"/>
      <c r="F336" s="691"/>
      <c r="G336" s="685"/>
      <c r="H336" s="685"/>
      <c r="I336" s="685"/>
      <c r="J336" s="278"/>
      <c r="K336" s="278"/>
      <c r="L336" s="279" t="str">
        <f t="shared" si="5"/>
        <v>-</v>
      </c>
      <c r="M336" s="16" t="str">
        <f t="shared" si="6"/>
        <v/>
      </c>
    </row>
    <row r="337" spans="3:13" hidden="1" outlineLevel="1" x14ac:dyDescent="0.3">
      <c r="C337" s="383">
        <v>15</v>
      </c>
      <c r="D337" s="691"/>
      <c r="E337" s="691"/>
      <c r="F337" s="691"/>
      <c r="G337" s="685"/>
      <c r="H337" s="685"/>
      <c r="I337" s="685"/>
      <c r="J337" s="488"/>
      <c r="K337" s="488"/>
      <c r="L337" s="279" t="str">
        <f t="shared" si="5"/>
        <v>-</v>
      </c>
      <c r="M337" s="16" t="str">
        <f t="shared" si="6"/>
        <v/>
      </c>
    </row>
    <row r="338" spans="3:13" hidden="1" outlineLevel="1" x14ac:dyDescent="0.3">
      <c r="C338" s="383">
        <v>16</v>
      </c>
      <c r="D338" s="691"/>
      <c r="E338" s="691"/>
      <c r="F338" s="691"/>
      <c r="G338" s="685"/>
      <c r="H338" s="685"/>
      <c r="I338" s="685"/>
      <c r="J338" s="488"/>
      <c r="K338" s="488"/>
      <c r="L338" s="279" t="str">
        <f t="shared" si="5"/>
        <v>-</v>
      </c>
      <c r="M338" s="16" t="str">
        <f t="shared" si="6"/>
        <v/>
      </c>
    </row>
    <row r="339" spans="3:13" hidden="1" outlineLevel="1" x14ac:dyDescent="0.3">
      <c r="C339" s="383">
        <v>17</v>
      </c>
      <c r="D339" s="691"/>
      <c r="E339" s="691"/>
      <c r="F339" s="691"/>
      <c r="G339" s="685"/>
      <c r="H339" s="685"/>
      <c r="I339" s="685"/>
      <c r="J339" s="488"/>
      <c r="K339" s="488"/>
      <c r="L339" s="279" t="str">
        <f t="shared" si="5"/>
        <v>-</v>
      </c>
      <c r="M339" s="16" t="str">
        <f t="shared" si="6"/>
        <v/>
      </c>
    </row>
    <row r="340" spans="3:13" hidden="1" outlineLevel="1" x14ac:dyDescent="0.3">
      <c r="C340" s="383">
        <v>18</v>
      </c>
      <c r="D340" s="691"/>
      <c r="E340" s="691"/>
      <c r="F340" s="691"/>
      <c r="G340" s="685"/>
      <c r="H340" s="685"/>
      <c r="I340" s="685"/>
      <c r="J340" s="488"/>
      <c r="K340" s="488"/>
      <c r="L340" s="279" t="str">
        <f t="shared" si="5"/>
        <v>-</v>
      </c>
      <c r="M340" s="16" t="str">
        <f t="shared" si="6"/>
        <v/>
      </c>
    </row>
    <row r="341" spans="3:13" hidden="1" outlineLevel="1" x14ac:dyDescent="0.3">
      <c r="C341" s="383">
        <v>19</v>
      </c>
      <c r="D341" s="691"/>
      <c r="E341" s="691"/>
      <c r="F341" s="691"/>
      <c r="G341" s="685"/>
      <c r="H341" s="685"/>
      <c r="I341" s="685"/>
      <c r="J341" s="488"/>
      <c r="K341" s="488"/>
      <c r="L341" s="279" t="str">
        <f t="shared" si="5"/>
        <v>-</v>
      </c>
      <c r="M341" s="16" t="str">
        <f t="shared" si="6"/>
        <v/>
      </c>
    </row>
    <row r="342" spans="3:13" hidden="1" outlineLevel="1" x14ac:dyDescent="0.3">
      <c r="C342" s="383">
        <v>20</v>
      </c>
      <c r="D342" s="691"/>
      <c r="E342" s="691"/>
      <c r="F342" s="691"/>
      <c r="G342" s="685"/>
      <c r="H342" s="685"/>
      <c r="I342" s="685"/>
      <c r="J342" s="488"/>
      <c r="K342" s="488"/>
      <c r="L342" s="279" t="str">
        <f t="shared" si="5"/>
        <v>-</v>
      </c>
      <c r="M342" s="16" t="str">
        <f t="shared" si="6"/>
        <v/>
      </c>
    </row>
    <row r="343" spans="3:13" hidden="1" outlineLevel="1" x14ac:dyDescent="0.3">
      <c r="C343" s="383">
        <v>21</v>
      </c>
      <c r="D343" s="691"/>
      <c r="E343" s="691"/>
      <c r="F343" s="691"/>
      <c r="G343" s="685"/>
      <c r="H343" s="685"/>
      <c r="I343" s="685"/>
      <c r="J343" s="488"/>
      <c r="K343" s="488"/>
      <c r="L343" s="279" t="str">
        <f t="shared" si="5"/>
        <v>-</v>
      </c>
      <c r="M343" s="16" t="str">
        <f t="shared" si="6"/>
        <v/>
      </c>
    </row>
    <row r="344" spans="3:13" hidden="1" outlineLevel="1" x14ac:dyDescent="0.3">
      <c r="C344" s="383">
        <v>22</v>
      </c>
      <c r="D344" s="691"/>
      <c r="E344" s="691"/>
      <c r="F344" s="691"/>
      <c r="G344" s="685"/>
      <c r="H344" s="685"/>
      <c r="I344" s="685"/>
      <c r="J344" s="488"/>
      <c r="K344" s="488"/>
      <c r="L344" s="279" t="str">
        <f t="shared" si="5"/>
        <v>-</v>
      </c>
      <c r="M344" s="16" t="str">
        <f t="shared" si="6"/>
        <v/>
      </c>
    </row>
    <row r="345" spans="3:13" hidden="1" outlineLevel="1" x14ac:dyDescent="0.3">
      <c r="C345" s="383">
        <v>23</v>
      </c>
      <c r="D345" s="691"/>
      <c r="E345" s="691"/>
      <c r="F345" s="691"/>
      <c r="G345" s="685"/>
      <c r="H345" s="685"/>
      <c r="I345" s="685"/>
      <c r="J345" s="488"/>
      <c r="K345" s="488"/>
      <c r="L345" s="279" t="str">
        <f t="shared" si="5"/>
        <v>-</v>
      </c>
      <c r="M345" s="16" t="str">
        <f t="shared" si="6"/>
        <v/>
      </c>
    </row>
    <row r="346" spans="3:13" hidden="1" outlineLevel="1" x14ac:dyDescent="0.3">
      <c r="C346" s="383">
        <v>24</v>
      </c>
      <c r="D346" s="691"/>
      <c r="E346" s="691"/>
      <c r="F346" s="691"/>
      <c r="G346" s="685"/>
      <c r="H346" s="685"/>
      <c r="I346" s="685"/>
      <c r="J346" s="488"/>
      <c r="K346" s="488"/>
      <c r="L346" s="279" t="str">
        <f t="shared" si="5"/>
        <v>-</v>
      </c>
      <c r="M346" s="16" t="str">
        <f t="shared" si="6"/>
        <v/>
      </c>
    </row>
    <row r="347" spans="3:13" hidden="1" outlineLevel="1" x14ac:dyDescent="0.3">
      <c r="C347" s="383">
        <v>25</v>
      </c>
      <c r="D347" s="691"/>
      <c r="E347" s="691"/>
      <c r="F347" s="691"/>
      <c r="G347" s="685"/>
      <c r="H347" s="685"/>
      <c r="I347" s="685"/>
      <c r="J347" s="488"/>
      <c r="K347" s="488"/>
      <c r="L347" s="279" t="str">
        <f t="shared" si="5"/>
        <v>-</v>
      </c>
      <c r="M347" s="16" t="str">
        <f t="shared" si="6"/>
        <v/>
      </c>
    </row>
    <row r="348" spans="3:13" hidden="1" outlineLevel="1" x14ac:dyDescent="0.3">
      <c r="C348" s="383">
        <v>26</v>
      </c>
      <c r="D348" s="691"/>
      <c r="E348" s="691"/>
      <c r="F348" s="691"/>
      <c r="G348" s="685"/>
      <c r="H348" s="685"/>
      <c r="I348" s="685"/>
      <c r="J348" s="488"/>
      <c r="K348" s="488"/>
      <c r="L348" s="279" t="str">
        <f t="shared" si="5"/>
        <v>-</v>
      </c>
      <c r="M348" s="16" t="str">
        <f t="shared" si="6"/>
        <v/>
      </c>
    </row>
    <row r="349" spans="3:13" hidden="1" outlineLevel="1" x14ac:dyDescent="0.3">
      <c r="C349" s="383">
        <v>27</v>
      </c>
      <c r="D349" s="691"/>
      <c r="E349" s="691"/>
      <c r="F349" s="691"/>
      <c r="G349" s="685"/>
      <c r="H349" s="685"/>
      <c r="I349" s="685"/>
      <c r="J349" s="488"/>
      <c r="K349" s="488"/>
      <c r="L349" s="279" t="str">
        <f t="shared" si="5"/>
        <v>-</v>
      </c>
      <c r="M349" s="16" t="str">
        <f t="shared" si="6"/>
        <v/>
      </c>
    </row>
    <row r="350" spans="3:13" hidden="1" outlineLevel="1" x14ac:dyDescent="0.3">
      <c r="C350" s="383">
        <v>28</v>
      </c>
      <c r="D350" s="691"/>
      <c r="E350" s="691"/>
      <c r="F350" s="691"/>
      <c r="G350" s="685"/>
      <c r="H350" s="685"/>
      <c r="I350" s="685"/>
      <c r="J350" s="488"/>
      <c r="K350" s="488"/>
      <c r="L350" s="279" t="str">
        <f t="shared" si="5"/>
        <v>-</v>
      </c>
      <c r="M350" s="16" t="str">
        <f t="shared" si="6"/>
        <v/>
      </c>
    </row>
    <row r="351" spans="3:13" hidden="1" outlineLevel="1" x14ac:dyDescent="0.3">
      <c r="C351" s="383">
        <v>29</v>
      </c>
      <c r="D351" s="691"/>
      <c r="E351" s="691"/>
      <c r="F351" s="691"/>
      <c r="G351" s="685"/>
      <c r="H351" s="685"/>
      <c r="I351" s="685"/>
      <c r="J351" s="488"/>
      <c r="K351" s="488"/>
      <c r="L351" s="279" t="str">
        <f t="shared" si="5"/>
        <v>-</v>
      </c>
      <c r="M351" s="16" t="str">
        <f t="shared" si="6"/>
        <v/>
      </c>
    </row>
    <row r="352" spans="3:13" hidden="1" outlineLevel="1" x14ac:dyDescent="0.3">
      <c r="C352" s="383">
        <v>30</v>
      </c>
      <c r="D352" s="691"/>
      <c r="E352" s="691"/>
      <c r="F352" s="691"/>
      <c r="G352" s="685"/>
      <c r="H352" s="685"/>
      <c r="I352" s="685"/>
      <c r="J352" s="488"/>
      <c r="K352" s="488"/>
      <c r="L352" s="279" t="str">
        <f t="shared" si="5"/>
        <v>-</v>
      </c>
      <c r="M352" s="16" t="str">
        <f t="shared" si="6"/>
        <v/>
      </c>
    </row>
    <row r="353" spans="3:13" hidden="1" outlineLevel="1" x14ac:dyDescent="0.3">
      <c r="C353" s="383">
        <v>31</v>
      </c>
      <c r="D353" s="691"/>
      <c r="E353" s="691"/>
      <c r="F353" s="691"/>
      <c r="G353" s="685"/>
      <c r="H353" s="685"/>
      <c r="I353" s="685"/>
      <c r="J353" s="488"/>
      <c r="K353" s="488"/>
      <c r="L353" s="279" t="str">
        <f t="shared" si="5"/>
        <v>-</v>
      </c>
      <c r="M353" s="16" t="str">
        <f t="shared" si="6"/>
        <v/>
      </c>
    </row>
    <row r="354" spans="3:13" hidden="1" outlineLevel="1" x14ac:dyDescent="0.3">
      <c r="C354" s="383">
        <v>32</v>
      </c>
      <c r="D354" s="691"/>
      <c r="E354" s="691"/>
      <c r="F354" s="691"/>
      <c r="G354" s="685"/>
      <c r="H354" s="685"/>
      <c r="I354" s="685"/>
      <c r="J354" s="488"/>
      <c r="K354" s="488"/>
      <c r="L354" s="279" t="str">
        <f t="shared" si="5"/>
        <v>-</v>
      </c>
      <c r="M354" s="16" t="str">
        <f t="shared" si="6"/>
        <v/>
      </c>
    </row>
    <row r="355" spans="3:13" hidden="1" outlineLevel="1" x14ac:dyDescent="0.3">
      <c r="C355" s="383">
        <v>33</v>
      </c>
      <c r="D355" s="691"/>
      <c r="E355" s="691"/>
      <c r="F355" s="691"/>
      <c r="G355" s="685"/>
      <c r="H355" s="685"/>
      <c r="I355" s="685"/>
      <c r="J355" s="488"/>
      <c r="K355" s="488"/>
      <c r="L355" s="279" t="str">
        <f t="shared" si="5"/>
        <v>-</v>
      </c>
      <c r="M355" s="16" t="str">
        <f t="shared" si="6"/>
        <v/>
      </c>
    </row>
    <row r="356" spans="3:13" hidden="1" outlineLevel="1" x14ac:dyDescent="0.3">
      <c r="C356" s="383">
        <v>34</v>
      </c>
      <c r="D356" s="691"/>
      <c r="E356" s="691"/>
      <c r="F356" s="691"/>
      <c r="G356" s="685"/>
      <c r="H356" s="685"/>
      <c r="I356" s="685"/>
      <c r="J356" s="488"/>
      <c r="K356" s="488"/>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691"/>
      <c r="E357" s="691"/>
      <c r="F357" s="691"/>
      <c r="G357" s="685"/>
      <c r="H357" s="685"/>
      <c r="I357" s="685"/>
      <c r="J357" s="488"/>
      <c r="K357" s="488"/>
      <c r="L357" s="279" t="str">
        <f t="shared" si="5"/>
        <v>-</v>
      </c>
      <c r="M357" s="16" t="str">
        <f t="shared" si="7"/>
        <v/>
      </c>
    </row>
    <row r="358" spans="3:13" hidden="1" outlineLevel="1" x14ac:dyDescent="0.3">
      <c r="C358" s="383">
        <v>36</v>
      </c>
      <c r="D358" s="691"/>
      <c r="E358" s="691"/>
      <c r="F358" s="691"/>
      <c r="G358" s="685"/>
      <c r="H358" s="685"/>
      <c r="I358" s="685"/>
      <c r="J358" s="488"/>
      <c r="K358" s="488"/>
      <c r="L358" s="279" t="str">
        <f t="shared" si="5"/>
        <v>-</v>
      </c>
      <c r="M358" s="16" t="str">
        <f t="shared" si="7"/>
        <v/>
      </c>
    </row>
    <row r="359" spans="3:13" hidden="1" outlineLevel="1" x14ac:dyDescent="0.3">
      <c r="C359" s="383">
        <v>37</v>
      </c>
      <c r="D359" s="691"/>
      <c r="E359" s="691"/>
      <c r="F359" s="691"/>
      <c r="G359" s="685"/>
      <c r="H359" s="685"/>
      <c r="I359" s="685"/>
      <c r="J359" s="488"/>
      <c r="K359" s="488"/>
      <c r="L359" s="279" t="str">
        <f t="shared" si="5"/>
        <v>-</v>
      </c>
      <c r="M359" s="16" t="str">
        <f t="shared" si="7"/>
        <v/>
      </c>
    </row>
    <row r="360" spans="3:13" hidden="1" outlineLevel="1" x14ac:dyDescent="0.3">
      <c r="C360" s="383">
        <v>38</v>
      </c>
      <c r="D360" s="691"/>
      <c r="E360" s="691"/>
      <c r="F360" s="691"/>
      <c r="G360" s="685"/>
      <c r="H360" s="685"/>
      <c r="I360" s="685"/>
      <c r="J360" s="488"/>
      <c r="K360" s="488"/>
      <c r="L360" s="279" t="str">
        <f t="shared" si="5"/>
        <v>-</v>
      </c>
      <c r="M360" s="16" t="str">
        <f t="shared" si="7"/>
        <v/>
      </c>
    </row>
    <row r="361" spans="3:13" hidden="1" outlineLevel="1" x14ac:dyDescent="0.3">
      <c r="C361" s="383">
        <v>39</v>
      </c>
      <c r="D361" s="691"/>
      <c r="E361" s="691"/>
      <c r="F361" s="691"/>
      <c r="G361" s="685"/>
      <c r="H361" s="685"/>
      <c r="I361" s="685"/>
      <c r="J361" s="488"/>
      <c r="K361" s="488"/>
      <c r="L361" s="279" t="str">
        <f t="shared" si="5"/>
        <v>-</v>
      </c>
      <c r="M361" s="16" t="str">
        <f t="shared" si="7"/>
        <v/>
      </c>
    </row>
    <row r="362" spans="3:13" hidden="1" outlineLevel="1" x14ac:dyDescent="0.3">
      <c r="C362" s="383">
        <v>40</v>
      </c>
      <c r="D362" s="691"/>
      <c r="E362" s="691"/>
      <c r="F362" s="691"/>
      <c r="G362" s="685"/>
      <c r="H362" s="685"/>
      <c r="I362" s="685"/>
      <c r="J362" s="488"/>
      <c r="K362" s="488"/>
      <c r="L362" s="279" t="str">
        <f t="shared" si="5"/>
        <v>-</v>
      </c>
      <c r="M362" s="16" t="str">
        <f t="shared" si="7"/>
        <v/>
      </c>
    </row>
    <row r="363" spans="3:13" hidden="1" outlineLevel="1" x14ac:dyDescent="0.3">
      <c r="C363" s="383">
        <v>41</v>
      </c>
      <c r="D363" s="691"/>
      <c r="E363" s="691"/>
      <c r="F363" s="691"/>
      <c r="G363" s="685"/>
      <c r="H363" s="685"/>
      <c r="I363" s="685"/>
      <c r="J363" s="488"/>
      <c r="K363" s="488"/>
      <c r="L363" s="279" t="str">
        <f t="shared" si="5"/>
        <v>-</v>
      </c>
      <c r="M363" s="16" t="str">
        <f t="shared" si="7"/>
        <v/>
      </c>
    </row>
    <row r="364" spans="3:13" hidden="1" outlineLevel="1" x14ac:dyDescent="0.3">
      <c r="C364" s="383">
        <v>42</v>
      </c>
      <c r="D364" s="691"/>
      <c r="E364" s="691"/>
      <c r="F364" s="691"/>
      <c r="G364" s="685"/>
      <c r="H364" s="685"/>
      <c r="I364" s="685"/>
      <c r="J364" s="488"/>
      <c r="K364" s="488"/>
      <c r="L364" s="279" t="str">
        <f t="shared" si="5"/>
        <v>-</v>
      </c>
      <c r="M364" s="16" t="str">
        <f t="shared" si="7"/>
        <v/>
      </c>
    </row>
    <row r="365" spans="3:13" hidden="1" outlineLevel="1" x14ac:dyDescent="0.3">
      <c r="C365" s="383">
        <v>43</v>
      </c>
      <c r="D365" s="691"/>
      <c r="E365" s="691"/>
      <c r="F365" s="691"/>
      <c r="G365" s="685"/>
      <c r="H365" s="685"/>
      <c r="I365" s="685"/>
      <c r="J365" s="488"/>
      <c r="K365" s="488"/>
      <c r="L365" s="279" t="str">
        <f t="shared" si="5"/>
        <v>-</v>
      </c>
      <c r="M365" s="16" t="str">
        <f t="shared" si="7"/>
        <v/>
      </c>
    </row>
    <row r="366" spans="3:13" hidden="1" outlineLevel="1" x14ac:dyDescent="0.3">
      <c r="C366" s="383">
        <v>44</v>
      </c>
      <c r="D366" s="691"/>
      <c r="E366" s="691"/>
      <c r="F366" s="691"/>
      <c r="G366" s="685"/>
      <c r="H366" s="685"/>
      <c r="I366" s="685"/>
      <c r="J366" s="488"/>
      <c r="K366" s="488"/>
      <c r="L366" s="279" t="str">
        <f t="shared" si="5"/>
        <v>-</v>
      </c>
      <c r="M366" s="16" t="str">
        <f t="shared" si="7"/>
        <v/>
      </c>
    </row>
    <row r="367" spans="3:13" hidden="1" outlineLevel="1" x14ac:dyDescent="0.3">
      <c r="C367" s="383">
        <v>45</v>
      </c>
      <c r="D367" s="691"/>
      <c r="E367" s="691"/>
      <c r="F367" s="691"/>
      <c r="G367" s="685"/>
      <c r="H367" s="685"/>
      <c r="I367" s="685"/>
      <c r="J367" s="488"/>
      <c r="K367" s="488"/>
      <c r="L367" s="279" t="str">
        <f t="shared" si="5"/>
        <v>-</v>
      </c>
      <c r="M367" s="16" t="str">
        <f t="shared" si="7"/>
        <v/>
      </c>
    </row>
    <row r="368" spans="3:13" hidden="1" outlineLevel="1" x14ac:dyDescent="0.3">
      <c r="C368" s="383">
        <v>46</v>
      </c>
      <c r="D368" s="691"/>
      <c r="E368" s="691"/>
      <c r="F368" s="691"/>
      <c r="G368" s="685"/>
      <c r="H368" s="685"/>
      <c r="I368" s="685"/>
      <c r="J368" s="488"/>
      <c r="K368" s="488"/>
      <c r="L368" s="279" t="str">
        <f t="shared" si="5"/>
        <v>-</v>
      </c>
      <c r="M368" s="16" t="str">
        <f t="shared" si="7"/>
        <v/>
      </c>
    </row>
    <row r="369" spans="3:13" hidden="1" outlineLevel="1" x14ac:dyDescent="0.3">
      <c r="C369" s="383">
        <v>47</v>
      </c>
      <c r="D369" s="691"/>
      <c r="E369" s="691"/>
      <c r="F369" s="691"/>
      <c r="G369" s="685"/>
      <c r="H369" s="685"/>
      <c r="I369" s="685"/>
      <c r="J369" s="488"/>
      <c r="K369" s="488"/>
      <c r="L369" s="279" t="str">
        <f t="shared" si="5"/>
        <v>-</v>
      </c>
      <c r="M369" s="16" t="str">
        <f t="shared" si="7"/>
        <v/>
      </c>
    </row>
    <row r="370" spans="3:13" hidden="1" outlineLevel="1" x14ac:dyDescent="0.3">
      <c r="C370" s="383">
        <v>48</v>
      </c>
      <c r="D370" s="691"/>
      <c r="E370" s="691"/>
      <c r="F370" s="691"/>
      <c r="G370" s="685"/>
      <c r="H370" s="685"/>
      <c r="I370" s="685"/>
      <c r="J370" s="488"/>
      <c r="K370" s="488"/>
      <c r="L370" s="279" t="str">
        <f t="shared" si="5"/>
        <v>-</v>
      </c>
      <c r="M370" s="16" t="str">
        <f t="shared" si="7"/>
        <v/>
      </c>
    </row>
    <row r="371" spans="3:13" hidden="1" outlineLevel="1" x14ac:dyDescent="0.3">
      <c r="C371" s="383">
        <v>49</v>
      </c>
      <c r="D371" s="691"/>
      <c r="E371" s="691"/>
      <c r="F371" s="691"/>
      <c r="G371" s="685"/>
      <c r="H371" s="685"/>
      <c r="I371" s="685"/>
      <c r="J371" s="488"/>
      <c r="K371" s="488"/>
      <c r="L371" s="279" t="str">
        <f t="shared" si="5"/>
        <v>-</v>
      </c>
      <c r="M371" s="16" t="str">
        <f t="shared" si="7"/>
        <v/>
      </c>
    </row>
    <row r="372" spans="3:13" hidden="1" outlineLevel="1" x14ac:dyDescent="0.3">
      <c r="C372" s="383">
        <v>50</v>
      </c>
      <c r="D372" s="691"/>
      <c r="E372" s="691"/>
      <c r="F372" s="691"/>
      <c r="G372" s="685"/>
      <c r="H372" s="685"/>
      <c r="I372" s="685"/>
      <c r="J372" s="488"/>
      <c r="K372" s="488"/>
      <c r="L372" s="279" t="str">
        <f t="shared" si="5"/>
        <v>-</v>
      </c>
      <c r="M372" s="16" t="str">
        <f t="shared" si="7"/>
        <v/>
      </c>
    </row>
    <row r="373" spans="3:13" hidden="1" outlineLevel="1" x14ac:dyDescent="0.3">
      <c r="C373" s="383">
        <v>51</v>
      </c>
      <c r="D373" s="691"/>
      <c r="E373" s="691"/>
      <c r="F373" s="691"/>
      <c r="G373" s="685"/>
      <c r="H373" s="685"/>
      <c r="I373" s="685"/>
      <c r="J373" s="488"/>
      <c r="K373" s="488"/>
      <c r="L373" s="279" t="str">
        <f t="shared" si="5"/>
        <v>-</v>
      </c>
      <c r="M373" s="16" t="str">
        <f t="shared" si="7"/>
        <v/>
      </c>
    </row>
    <row r="374" spans="3:13" hidden="1" outlineLevel="1" x14ac:dyDescent="0.3">
      <c r="C374" s="383">
        <v>52</v>
      </c>
      <c r="D374" s="691"/>
      <c r="E374" s="691"/>
      <c r="F374" s="691"/>
      <c r="G374" s="685"/>
      <c r="H374" s="685"/>
      <c r="I374" s="685"/>
      <c r="J374" s="488"/>
      <c r="K374" s="488"/>
      <c r="L374" s="279" t="str">
        <f t="shared" si="5"/>
        <v>-</v>
      </c>
      <c r="M374" s="16" t="str">
        <f t="shared" si="7"/>
        <v/>
      </c>
    </row>
    <row r="375" spans="3:13" hidden="1" outlineLevel="1" x14ac:dyDescent="0.3">
      <c r="C375" s="383">
        <v>53</v>
      </c>
      <c r="D375" s="691"/>
      <c r="E375" s="691"/>
      <c r="F375" s="691"/>
      <c r="G375" s="685"/>
      <c r="H375" s="685"/>
      <c r="I375" s="685"/>
      <c r="J375" s="488"/>
      <c r="K375" s="488"/>
      <c r="L375" s="279" t="str">
        <f t="shared" si="5"/>
        <v>-</v>
      </c>
      <c r="M375" s="16" t="str">
        <f t="shared" si="7"/>
        <v/>
      </c>
    </row>
    <row r="376" spans="3:13" hidden="1" outlineLevel="1" x14ac:dyDescent="0.3">
      <c r="C376" s="383">
        <v>54</v>
      </c>
      <c r="D376" s="691"/>
      <c r="E376" s="691"/>
      <c r="F376" s="691"/>
      <c r="G376" s="685"/>
      <c r="H376" s="685"/>
      <c r="I376" s="685"/>
      <c r="J376" s="488"/>
      <c r="K376" s="488"/>
      <c r="L376" s="279" t="str">
        <f t="shared" si="5"/>
        <v>-</v>
      </c>
      <c r="M376" s="16" t="str">
        <f t="shared" si="7"/>
        <v/>
      </c>
    </row>
    <row r="377" spans="3:13" hidden="1" outlineLevel="1" x14ac:dyDescent="0.3">
      <c r="C377" s="383">
        <v>55</v>
      </c>
      <c r="D377" s="691"/>
      <c r="E377" s="691"/>
      <c r="F377" s="691"/>
      <c r="G377" s="685"/>
      <c r="H377" s="685"/>
      <c r="I377" s="685"/>
      <c r="J377" s="488"/>
      <c r="K377" s="488"/>
      <c r="L377" s="279" t="str">
        <f t="shared" si="5"/>
        <v>-</v>
      </c>
      <c r="M377" s="16" t="str">
        <f t="shared" si="7"/>
        <v/>
      </c>
    </row>
    <row r="378" spans="3:13" hidden="1" outlineLevel="1" x14ac:dyDescent="0.3">
      <c r="C378" s="383">
        <v>56</v>
      </c>
      <c r="D378" s="691"/>
      <c r="E378" s="691"/>
      <c r="F378" s="691"/>
      <c r="G378" s="685"/>
      <c r="H378" s="685"/>
      <c r="I378" s="685"/>
      <c r="J378" s="488"/>
      <c r="K378" s="488"/>
      <c r="L378" s="279" t="str">
        <f t="shared" si="5"/>
        <v>-</v>
      </c>
      <c r="M378" s="16" t="str">
        <f t="shared" si="7"/>
        <v/>
      </c>
    </row>
    <row r="379" spans="3:13" hidden="1" outlineLevel="1" x14ac:dyDescent="0.3">
      <c r="C379" s="383">
        <v>57</v>
      </c>
      <c r="D379" s="691"/>
      <c r="E379" s="691"/>
      <c r="F379" s="691"/>
      <c r="G379" s="685"/>
      <c r="H379" s="685"/>
      <c r="I379" s="685"/>
      <c r="J379" s="488"/>
      <c r="K379" s="488"/>
      <c r="L379" s="279" t="str">
        <f t="shared" si="5"/>
        <v>-</v>
      </c>
      <c r="M379" s="16" t="str">
        <f t="shared" si="7"/>
        <v/>
      </c>
    </row>
    <row r="380" spans="3:13" hidden="1" outlineLevel="1" x14ac:dyDescent="0.3">
      <c r="C380" s="383">
        <v>58</v>
      </c>
      <c r="D380" s="691"/>
      <c r="E380" s="691"/>
      <c r="F380" s="691"/>
      <c r="G380" s="685"/>
      <c r="H380" s="685"/>
      <c r="I380" s="685"/>
      <c r="J380" s="488"/>
      <c r="K380" s="488"/>
      <c r="L380" s="279" t="str">
        <f t="shared" si="5"/>
        <v>-</v>
      </c>
      <c r="M380" s="16" t="str">
        <f t="shared" si="7"/>
        <v/>
      </c>
    </row>
    <row r="381" spans="3:13" hidden="1" outlineLevel="1" x14ac:dyDescent="0.3">
      <c r="C381" s="383">
        <v>59</v>
      </c>
      <c r="D381" s="691"/>
      <c r="E381" s="691"/>
      <c r="F381" s="691"/>
      <c r="G381" s="685"/>
      <c r="H381" s="685"/>
      <c r="I381" s="685"/>
      <c r="J381" s="488"/>
      <c r="K381" s="488"/>
      <c r="L381" s="279" t="str">
        <f t="shared" si="5"/>
        <v>-</v>
      </c>
      <c r="M381" s="16" t="str">
        <f t="shared" si="7"/>
        <v/>
      </c>
    </row>
    <row r="382" spans="3:13" hidden="1" outlineLevel="1" x14ac:dyDescent="0.3">
      <c r="C382" s="383">
        <v>60</v>
      </c>
      <c r="D382" s="691"/>
      <c r="E382" s="691"/>
      <c r="F382" s="691"/>
      <c r="G382" s="685"/>
      <c r="H382" s="685"/>
      <c r="I382" s="685"/>
      <c r="J382" s="488"/>
      <c r="K382" s="488"/>
      <c r="L382" s="279" t="str">
        <f t="shared" si="5"/>
        <v>-</v>
      </c>
      <c r="M382" s="16" t="str">
        <f t="shared" si="7"/>
        <v/>
      </c>
    </row>
    <row r="383" spans="3:13" hidden="1" outlineLevel="1" x14ac:dyDescent="0.3">
      <c r="C383" s="383">
        <v>61</v>
      </c>
      <c r="D383" s="691"/>
      <c r="E383" s="691"/>
      <c r="F383" s="691"/>
      <c r="G383" s="685"/>
      <c r="H383" s="685"/>
      <c r="I383" s="685"/>
      <c r="J383" s="488"/>
      <c r="K383" s="488"/>
      <c r="L383" s="279" t="str">
        <f t="shared" si="5"/>
        <v>-</v>
      </c>
      <c r="M383" s="16" t="str">
        <f t="shared" si="7"/>
        <v/>
      </c>
    </row>
    <row r="384" spans="3:13" hidden="1" outlineLevel="1" x14ac:dyDescent="0.3">
      <c r="C384" s="383">
        <v>62</v>
      </c>
      <c r="D384" s="691"/>
      <c r="E384" s="691"/>
      <c r="F384" s="691"/>
      <c r="G384" s="685"/>
      <c r="H384" s="685"/>
      <c r="I384" s="685"/>
      <c r="J384" s="488"/>
      <c r="K384" s="488"/>
      <c r="L384" s="279" t="str">
        <f t="shared" si="5"/>
        <v>-</v>
      </c>
      <c r="M384" s="16" t="str">
        <f t="shared" si="7"/>
        <v/>
      </c>
    </row>
    <row r="385" spans="3:13" hidden="1" outlineLevel="1" x14ac:dyDescent="0.3">
      <c r="C385" s="383">
        <v>63</v>
      </c>
      <c r="D385" s="691"/>
      <c r="E385" s="691"/>
      <c r="F385" s="691"/>
      <c r="G385" s="685"/>
      <c r="H385" s="685"/>
      <c r="I385" s="685"/>
      <c r="J385" s="488"/>
      <c r="K385" s="488"/>
      <c r="L385" s="279" t="str">
        <f t="shared" si="5"/>
        <v>-</v>
      </c>
      <c r="M385" s="16" t="str">
        <f t="shared" si="7"/>
        <v/>
      </c>
    </row>
    <row r="386" spans="3:13" hidden="1" outlineLevel="1" x14ac:dyDescent="0.3">
      <c r="C386" s="383">
        <v>64</v>
      </c>
      <c r="D386" s="691"/>
      <c r="E386" s="691"/>
      <c r="F386" s="691"/>
      <c r="G386" s="685"/>
      <c r="H386" s="685"/>
      <c r="I386" s="685"/>
      <c r="J386" s="488"/>
      <c r="K386" s="488"/>
      <c r="L386" s="279" t="str">
        <f t="shared" si="5"/>
        <v>-</v>
      </c>
      <c r="M386" s="16" t="str">
        <f t="shared" si="7"/>
        <v/>
      </c>
    </row>
    <row r="387" spans="3:13" hidden="1" outlineLevel="1" x14ac:dyDescent="0.3">
      <c r="C387" s="383">
        <v>65</v>
      </c>
      <c r="D387" s="691"/>
      <c r="E387" s="691"/>
      <c r="F387" s="691"/>
      <c r="G387" s="685"/>
      <c r="H387" s="685"/>
      <c r="I387" s="685"/>
      <c r="J387" s="488"/>
      <c r="K387" s="488"/>
      <c r="L387" s="279" t="str">
        <f t="shared" si="5"/>
        <v>-</v>
      </c>
      <c r="M387" s="16" t="str">
        <f t="shared" si="7"/>
        <v/>
      </c>
    </row>
    <row r="388" spans="3:13" hidden="1" outlineLevel="1" x14ac:dyDescent="0.3">
      <c r="C388" s="383">
        <v>66</v>
      </c>
      <c r="D388" s="691"/>
      <c r="E388" s="691"/>
      <c r="F388" s="691"/>
      <c r="G388" s="685"/>
      <c r="H388" s="685"/>
      <c r="I388" s="685"/>
      <c r="J388" s="488"/>
      <c r="K388" s="488"/>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691"/>
      <c r="E389" s="691"/>
      <c r="F389" s="691"/>
      <c r="G389" s="685"/>
      <c r="H389" s="685"/>
      <c r="I389" s="685"/>
      <c r="J389" s="488"/>
      <c r="K389" s="488"/>
      <c r="L389" s="279" t="str">
        <f t="shared" si="5"/>
        <v>-</v>
      </c>
      <c r="M389" s="16" t="str">
        <f t="shared" si="8"/>
        <v/>
      </c>
    </row>
    <row r="390" spans="3:13" hidden="1" outlineLevel="1" x14ac:dyDescent="0.3">
      <c r="C390" s="383">
        <v>68</v>
      </c>
      <c r="D390" s="691"/>
      <c r="E390" s="691"/>
      <c r="F390" s="691"/>
      <c r="G390" s="685"/>
      <c r="H390" s="685"/>
      <c r="I390" s="685"/>
      <c r="J390" s="488"/>
      <c r="K390" s="488"/>
      <c r="L390" s="279" t="str">
        <f t="shared" si="5"/>
        <v>-</v>
      </c>
      <c r="M390" s="16" t="str">
        <f t="shared" si="8"/>
        <v/>
      </c>
    </row>
    <row r="391" spans="3:13" hidden="1" outlineLevel="1" x14ac:dyDescent="0.3">
      <c r="C391" s="383">
        <v>69</v>
      </c>
      <c r="D391" s="691"/>
      <c r="E391" s="691"/>
      <c r="F391" s="691"/>
      <c r="G391" s="685"/>
      <c r="H391" s="685"/>
      <c r="I391" s="685"/>
      <c r="J391" s="488"/>
      <c r="K391" s="488"/>
      <c r="L391" s="279" t="str">
        <f t="shared" si="5"/>
        <v>-</v>
      </c>
      <c r="M391" s="16" t="str">
        <f t="shared" si="8"/>
        <v/>
      </c>
    </row>
    <row r="392" spans="3:13" hidden="1" outlineLevel="1" x14ac:dyDescent="0.3">
      <c r="C392" s="383">
        <v>70</v>
      </c>
      <c r="D392" s="691"/>
      <c r="E392" s="691"/>
      <c r="F392" s="691"/>
      <c r="G392" s="685"/>
      <c r="H392" s="685"/>
      <c r="I392" s="685"/>
      <c r="J392" s="488"/>
      <c r="K392" s="488"/>
      <c r="L392" s="279" t="str">
        <f t="shared" si="5"/>
        <v>-</v>
      </c>
      <c r="M392" s="16" t="str">
        <f t="shared" si="8"/>
        <v/>
      </c>
    </row>
    <row r="393" spans="3:13" hidden="1" outlineLevel="1" x14ac:dyDescent="0.3">
      <c r="C393" s="383">
        <v>71</v>
      </c>
      <c r="D393" s="691"/>
      <c r="E393" s="691"/>
      <c r="F393" s="691"/>
      <c r="G393" s="685"/>
      <c r="H393" s="685"/>
      <c r="I393" s="685"/>
      <c r="J393" s="488"/>
      <c r="K393" s="488"/>
      <c r="L393" s="279" t="str">
        <f t="shared" si="5"/>
        <v>-</v>
      </c>
      <c r="M393" s="16" t="str">
        <f t="shared" si="8"/>
        <v/>
      </c>
    </row>
    <row r="394" spans="3:13" hidden="1" outlineLevel="1" x14ac:dyDescent="0.3">
      <c r="C394" s="383">
        <v>72</v>
      </c>
      <c r="D394" s="691"/>
      <c r="E394" s="691"/>
      <c r="F394" s="691"/>
      <c r="G394" s="685"/>
      <c r="H394" s="685"/>
      <c r="I394" s="685"/>
      <c r="J394" s="488"/>
      <c r="K394" s="488"/>
      <c r="L394" s="279" t="str">
        <f t="shared" si="5"/>
        <v>-</v>
      </c>
      <c r="M394" s="16" t="str">
        <f t="shared" si="8"/>
        <v/>
      </c>
    </row>
    <row r="395" spans="3:13" hidden="1" outlineLevel="1" x14ac:dyDescent="0.3">
      <c r="C395" s="383">
        <v>73</v>
      </c>
      <c r="D395" s="691"/>
      <c r="E395" s="691"/>
      <c r="F395" s="691"/>
      <c r="G395" s="685"/>
      <c r="H395" s="685"/>
      <c r="I395" s="685"/>
      <c r="J395" s="488"/>
      <c r="K395" s="488"/>
      <c r="L395" s="279" t="str">
        <f t="shared" si="5"/>
        <v>-</v>
      </c>
      <c r="M395" s="16" t="str">
        <f t="shared" si="8"/>
        <v/>
      </c>
    </row>
    <row r="396" spans="3:13" hidden="1" outlineLevel="1" x14ac:dyDescent="0.3">
      <c r="C396" s="383">
        <v>74</v>
      </c>
      <c r="D396" s="691"/>
      <c r="E396" s="691"/>
      <c r="F396" s="691"/>
      <c r="G396" s="685"/>
      <c r="H396" s="685"/>
      <c r="I396" s="685"/>
      <c r="J396" s="488"/>
      <c r="K396" s="488"/>
      <c r="L396" s="279" t="str">
        <f t="shared" si="5"/>
        <v>-</v>
      </c>
      <c r="M396" s="16" t="str">
        <f t="shared" si="8"/>
        <v/>
      </c>
    </row>
    <row r="397" spans="3:13" hidden="1" outlineLevel="1" x14ac:dyDescent="0.3">
      <c r="C397" s="383">
        <v>75</v>
      </c>
      <c r="D397" s="691"/>
      <c r="E397" s="691"/>
      <c r="F397" s="691"/>
      <c r="G397" s="685"/>
      <c r="H397" s="685"/>
      <c r="I397" s="685"/>
      <c r="J397" s="488"/>
      <c r="K397" s="488"/>
      <c r="L397" s="279" t="str">
        <f t="shared" si="5"/>
        <v>-</v>
      </c>
      <c r="M397" s="16" t="str">
        <f t="shared" si="8"/>
        <v/>
      </c>
    </row>
    <row r="398" spans="3:13" hidden="1" outlineLevel="1" x14ac:dyDescent="0.3">
      <c r="C398" s="383">
        <v>76</v>
      </c>
      <c r="D398" s="691"/>
      <c r="E398" s="691"/>
      <c r="F398" s="691"/>
      <c r="G398" s="685"/>
      <c r="H398" s="685"/>
      <c r="I398" s="685"/>
      <c r="J398" s="488"/>
      <c r="K398" s="488"/>
      <c r="L398" s="279" t="str">
        <f t="shared" si="5"/>
        <v>-</v>
      </c>
      <c r="M398" s="16" t="str">
        <f t="shared" si="8"/>
        <v/>
      </c>
    </row>
    <row r="399" spans="3:13" hidden="1" outlineLevel="1" x14ac:dyDescent="0.3">
      <c r="C399" s="383">
        <v>77</v>
      </c>
      <c r="D399" s="691"/>
      <c r="E399" s="691"/>
      <c r="F399" s="691"/>
      <c r="G399" s="685"/>
      <c r="H399" s="685"/>
      <c r="I399" s="685"/>
      <c r="J399" s="488"/>
      <c r="K399" s="488"/>
      <c r="L399" s="279" t="str">
        <f t="shared" si="5"/>
        <v>-</v>
      </c>
      <c r="M399" s="16" t="str">
        <f t="shared" si="8"/>
        <v/>
      </c>
    </row>
    <row r="400" spans="3:13" hidden="1" outlineLevel="1" x14ac:dyDescent="0.3">
      <c r="C400" s="383">
        <v>78</v>
      </c>
      <c r="D400" s="691"/>
      <c r="E400" s="691"/>
      <c r="F400" s="691"/>
      <c r="G400" s="685"/>
      <c r="H400" s="685"/>
      <c r="I400" s="685"/>
      <c r="J400" s="488"/>
      <c r="K400" s="488"/>
      <c r="L400" s="279" t="str">
        <f t="shared" si="5"/>
        <v>-</v>
      </c>
      <c r="M400" s="16" t="str">
        <f t="shared" si="8"/>
        <v/>
      </c>
    </row>
    <row r="401" spans="3:13" hidden="1" outlineLevel="1" x14ac:dyDescent="0.3">
      <c r="C401" s="383">
        <v>79</v>
      </c>
      <c r="D401" s="691"/>
      <c r="E401" s="691"/>
      <c r="F401" s="691"/>
      <c r="G401" s="685"/>
      <c r="H401" s="685"/>
      <c r="I401" s="685"/>
      <c r="J401" s="488"/>
      <c r="K401" s="488"/>
      <c r="L401" s="279" t="str">
        <f t="shared" si="5"/>
        <v>-</v>
      </c>
      <c r="M401" s="16" t="str">
        <f t="shared" si="8"/>
        <v/>
      </c>
    </row>
    <row r="402" spans="3:13" hidden="1" outlineLevel="1" x14ac:dyDescent="0.3">
      <c r="C402" s="383">
        <v>80</v>
      </c>
      <c r="D402" s="691"/>
      <c r="E402" s="691"/>
      <c r="F402" s="691"/>
      <c r="G402" s="685"/>
      <c r="H402" s="685"/>
      <c r="I402" s="685"/>
      <c r="J402" s="488"/>
      <c r="K402" s="488"/>
      <c r="L402" s="279" t="str">
        <f t="shared" si="5"/>
        <v>-</v>
      </c>
      <c r="M402" s="16" t="str">
        <f t="shared" si="8"/>
        <v/>
      </c>
    </row>
    <row r="403" spans="3:13" hidden="1" outlineLevel="1" x14ac:dyDescent="0.3">
      <c r="C403" s="383">
        <v>81</v>
      </c>
      <c r="D403" s="691"/>
      <c r="E403" s="691"/>
      <c r="F403" s="691"/>
      <c r="G403" s="685"/>
      <c r="H403" s="685"/>
      <c r="I403" s="685"/>
      <c r="J403" s="488"/>
      <c r="K403" s="488"/>
      <c r="L403" s="279" t="str">
        <f t="shared" si="5"/>
        <v>-</v>
      </c>
      <c r="M403" s="16" t="str">
        <f t="shared" si="8"/>
        <v/>
      </c>
    </row>
    <row r="404" spans="3:13" hidden="1" outlineLevel="1" x14ac:dyDescent="0.3">
      <c r="C404" s="383">
        <v>82</v>
      </c>
      <c r="D404" s="691"/>
      <c r="E404" s="691"/>
      <c r="F404" s="691"/>
      <c r="G404" s="685"/>
      <c r="H404" s="685"/>
      <c r="I404" s="685"/>
      <c r="J404" s="488"/>
      <c r="K404" s="488"/>
      <c r="L404" s="279" t="str">
        <f t="shared" si="5"/>
        <v>-</v>
      </c>
      <c r="M404" s="16" t="str">
        <f t="shared" si="8"/>
        <v/>
      </c>
    </row>
    <row r="405" spans="3:13" hidden="1" outlineLevel="1" x14ac:dyDescent="0.3">
      <c r="C405" s="383">
        <v>83</v>
      </c>
      <c r="D405" s="691"/>
      <c r="E405" s="691"/>
      <c r="F405" s="691"/>
      <c r="G405" s="685"/>
      <c r="H405" s="685"/>
      <c r="I405" s="685"/>
      <c r="J405" s="488"/>
      <c r="K405" s="488"/>
      <c r="L405" s="279" t="str">
        <f t="shared" si="5"/>
        <v>-</v>
      </c>
      <c r="M405" s="16" t="str">
        <f t="shared" si="8"/>
        <v/>
      </c>
    </row>
    <row r="406" spans="3:13" hidden="1" outlineLevel="1" x14ac:dyDescent="0.3">
      <c r="C406" s="383">
        <v>84</v>
      </c>
      <c r="D406" s="691"/>
      <c r="E406" s="691"/>
      <c r="F406" s="691"/>
      <c r="G406" s="685"/>
      <c r="H406" s="685"/>
      <c r="I406" s="685"/>
      <c r="J406" s="488"/>
      <c r="K406" s="488"/>
      <c r="L406" s="279" t="str">
        <f t="shared" si="5"/>
        <v>-</v>
      </c>
      <c r="M406" s="16" t="str">
        <f t="shared" si="8"/>
        <v/>
      </c>
    </row>
    <row r="407" spans="3:13" hidden="1" outlineLevel="1" x14ac:dyDescent="0.3">
      <c r="C407" s="383">
        <v>85</v>
      </c>
      <c r="D407" s="691"/>
      <c r="E407" s="691"/>
      <c r="F407" s="691"/>
      <c r="G407" s="685"/>
      <c r="H407" s="685"/>
      <c r="I407" s="685"/>
      <c r="J407" s="488"/>
      <c r="K407" s="488"/>
      <c r="L407" s="279" t="str">
        <f t="shared" si="5"/>
        <v>-</v>
      </c>
      <c r="M407" s="16" t="str">
        <f t="shared" si="8"/>
        <v/>
      </c>
    </row>
    <row r="408" spans="3:13" hidden="1" outlineLevel="1" x14ac:dyDescent="0.3">
      <c r="C408" s="383">
        <v>86</v>
      </c>
      <c r="D408" s="691"/>
      <c r="E408" s="691"/>
      <c r="F408" s="691"/>
      <c r="G408" s="685"/>
      <c r="H408" s="685"/>
      <c r="I408" s="685"/>
      <c r="J408" s="488"/>
      <c r="K408" s="488"/>
      <c r="L408" s="279" t="str">
        <f t="shared" si="5"/>
        <v>-</v>
      </c>
      <c r="M408" s="16" t="str">
        <f t="shared" si="8"/>
        <v/>
      </c>
    </row>
    <row r="409" spans="3:13" hidden="1" outlineLevel="1" x14ac:dyDescent="0.3">
      <c r="C409" s="383">
        <v>87</v>
      </c>
      <c r="D409" s="691"/>
      <c r="E409" s="691"/>
      <c r="F409" s="691"/>
      <c r="G409" s="685"/>
      <c r="H409" s="685"/>
      <c r="I409" s="685"/>
      <c r="J409" s="488"/>
      <c r="K409" s="488"/>
      <c r="L409" s="279" t="str">
        <f t="shared" si="5"/>
        <v>-</v>
      </c>
      <c r="M409" s="16" t="str">
        <f t="shared" si="8"/>
        <v/>
      </c>
    </row>
    <row r="410" spans="3:13" hidden="1" outlineLevel="1" x14ac:dyDescent="0.3">
      <c r="C410" s="383">
        <v>88</v>
      </c>
      <c r="D410" s="691"/>
      <c r="E410" s="691"/>
      <c r="F410" s="691"/>
      <c r="G410" s="685"/>
      <c r="H410" s="685"/>
      <c r="I410" s="685"/>
      <c r="J410" s="488"/>
      <c r="K410" s="488"/>
      <c r="L410" s="279" t="str">
        <f t="shared" si="5"/>
        <v>-</v>
      </c>
      <c r="M410" s="16" t="str">
        <f t="shared" si="8"/>
        <v/>
      </c>
    </row>
    <row r="411" spans="3:13" hidden="1" outlineLevel="1" x14ac:dyDescent="0.3">
      <c r="C411" s="383">
        <v>89</v>
      </c>
      <c r="D411" s="691"/>
      <c r="E411" s="691"/>
      <c r="F411" s="691"/>
      <c r="G411" s="685"/>
      <c r="H411" s="685"/>
      <c r="I411" s="685"/>
      <c r="J411" s="488"/>
      <c r="K411" s="488"/>
      <c r="L411" s="279" t="str">
        <f t="shared" si="5"/>
        <v>-</v>
      </c>
      <c r="M411" s="16" t="str">
        <f t="shared" si="8"/>
        <v/>
      </c>
    </row>
    <row r="412" spans="3:13" hidden="1" outlineLevel="1" x14ac:dyDescent="0.3">
      <c r="C412" s="383">
        <v>90</v>
      </c>
      <c r="D412" s="691"/>
      <c r="E412" s="691"/>
      <c r="F412" s="691"/>
      <c r="G412" s="685"/>
      <c r="H412" s="685"/>
      <c r="I412" s="685"/>
      <c r="J412" s="488"/>
      <c r="K412" s="488"/>
      <c r="L412" s="279" t="str">
        <f t="shared" si="5"/>
        <v>-</v>
      </c>
      <c r="M412" s="16" t="str">
        <f t="shared" si="8"/>
        <v/>
      </c>
    </row>
    <row r="413" spans="3:13" hidden="1" outlineLevel="1" x14ac:dyDescent="0.3">
      <c r="C413" s="383">
        <v>91</v>
      </c>
      <c r="D413" s="691"/>
      <c r="E413" s="691"/>
      <c r="F413" s="691"/>
      <c r="G413" s="685"/>
      <c r="H413" s="685"/>
      <c r="I413" s="685"/>
      <c r="J413" s="488"/>
      <c r="K413" s="488"/>
      <c r="L413" s="279" t="str">
        <f t="shared" si="5"/>
        <v>-</v>
      </c>
      <c r="M413" s="16" t="str">
        <f t="shared" si="8"/>
        <v/>
      </c>
    </row>
    <row r="414" spans="3:13" hidden="1" outlineLevel="1" x14ac:dyDescent="0.3">
      <c r="C414" s="383">
        <v>92</v>
      </c>
      <c r="D414" s="691"/>
      <c r="E414" s="691"/>
      <c r="F414" s="691"/>
      <c r="G414" s="685"/>
      <c r="H414" s="685"/>
      <c r="I414" s="685"/>
      <c r="J414" s="488"/>
      <c r="K414" s="488"/>
      <c r="L414" s="279" t="str">
        <f t="shared" si="5"/>
        <v>-</v>
      </c>
      <c r="M414" s="16" t="str">
        <f t="shared" si="8"/>
        <v/>
      </c>
    </row>
    <row r="415" spans="3:13" hidden="1" outlineLevel="1" x14ac:dyDescent="0.3">
      <c r="C415" s="383">
        <v>93</v>
      </c>
      <c r="D415" s="691"/>
      <c r="E415" s="691"/>
      <c r="F415" s="691"/>
      <c r="G415" s="685"/>
      <c r="H415" s="685"/>
      <c r="I415" s="685"/>
      <c r="J415" s="488"/>
      <c r="K415" s="488"/>
      <c r="L415" s="279" t="str">
        <f t="shared" si="5"/>
        <v>-</v>
      </c>
      <c r="M415" s="16" t="str">
        <f t="shared" si="8"/>
        <v/>
      </c>
    </row>
    <row r="416" spans="3:13" hidden="1" outlineLevel="1" x14ac:dyDescent="0.3">
      <c r="C416" s="383">
        <v>94</v>
      </c>
      <c r="D416" s="691"/>
      <c r="E416" s="691"/>
      <c r="F416" s="691"/>
      <c r="G416" s="685"/>
      <c r="H416" s="685"/>
      <c r="I416" s="685"/>
      <c r="J416" s="488"/>
      <c r="K416" s="488"/>
      <c r="L416" s="279" t="str">
        <f t="shared" si="5"/>
        <v>-</v>
      </c>
      <c r="M416" s="16" t="str">
        <f t="shared" si="8"/>
        <v/>
      </c>
    </row>
    <row r="417" spans="3:13" hidden="1" outlineLevel="1" x14ac:dyDescent="0.3">
      <c r="C417" s="383">
        <v>95</v>
      </c>
      <c r="D417" s="691"/>
      <c r="E417" s="691"/>
      <c r="F417" s="691"/>
      <c r="G417" s="685"/>
      <c r="H417" s="685"/>
      <c r="I417" s="685"/>
      <c r="J417" s="488"/>
      <c r="K417" s="488"/>
      <c r="L417" s="279" t="str">
        <f t="shared" si="5"/>
        <v>-</v>
      </c>
      <c r="M417" s="16" t="str">
        <f t="shared" si="8"/>
        <v/>
      </c>
    </row>
    <row r="418" spans="3:13" hidden="1" outlineLevel="1" x14ac:dyDescent="0.3">
      <c r="C418" s="383">
        <v>96</v>
      </c>
      <c r="D418" s="691"/>
      <c r="E418" s="691"/>
      <c r="F418" s="691"/>
      <c r="G418" s="685"/>
      <c r="H418" s="685"/>
      <c r="I418" s="685"/>
      <c r="J418" s="488"/>
      <c r="K418" s="488"/>
      <c r="L418" s="279" t="str">
        <f t="shared" si="5"/>
        <v>-</v>
      </c>
      <c r="M418" s="16" t="str">
        <f t="shared" si="8"/>
        <v/>
      </c>
    </row>
    <row r="419" spans="3:13" hidden="1" outlineLevel="1" x14ac:dyDescent="0.3">
      <c r="C419" s="383">
        <v>97</v>
      </c>
      <c r="D419" s="691"/>
      <c r="E419" s="691"/>
      <c r="F419" s="691"/>
      <c r="G419" s="685"/>
      <c r="H419" s="685"/>
      <c r="I419" s="685"/>
      <c r="J419" s="488"/>
      <c r="K419" s="488"/>
      <c r="L419" s="279" t="str">
        <f t="shared" si="5"/>
        <v>-</v>
      </c>
      <c r="M419" s="16" t="str">
        <f t="shared" si="8"/>
        <v/>
      </c>
    </row>
    <row r="420" spans="3:13" hidden="1" outlineLevel="1" x14ac:dyDescent="0.3">
      <c r="C420" s="383">
        <v>98</v>
      </c>
      <c r="D420" s="691"/>
      <c r="E420" s="691"/>
      <c r="F420" s="691"/>
      <c r="G420" s="685"/>
      <c r="H420" s="685"/>
      <c r="I420" s="685"/>
      <c r="J420" s="488"/>
      <c r="K420" s="488"/>
      <c r="L420" s="279" t="str">
        <f t="shared" si="5"/>
        <v>-</v>
      </c>
      <c r="M420" s="16" t="str">
        <f t="shared" si="8"/>
        <v/>
      </c>
    </row>
    <row r="421" spans="3:13" hidden="1" outlineLevel="1" x14ac:dyDescent="0.3">
      <c r="C421" s="383">
        <v>99</v>
      </c>
      <c r="D421" s="691"/>
      <c r="E421" s="691"/>
      <c r="F421" s="691"/>
      <c r="G421" s="685"/>
      <c r="H421" s="685"/>
      <c r="I421" s="685"/>
      <c r="J421" s="488"/>
      <c r="K421" s="488"/>
      <c r="L421" s="279" t="str">
        <f t="shared" si="5"/>
        <v>-</v>
      </c>
      <c r="M421" s="16" t="str">
        <f t="shared" si="8"/>
        <v/>
      </c>
    </row>
    <row r="422" spans="3:13" ht="15" hidden="1" outlineLevel="1" thickBot="1" x14ac:dyDescent="0.35">
      <c r="C422" s="383">
        <v>100</v>
      </c>
      <c r="D422" s="885"/>
      <c r="E422" s="885"/>
      <c r="F422" s="885"/>
      <c r="G422" s="887"/>
      <c r="H422" s="887"/>
      <c r="I422" s="887"/>
      <c r="J422" s="284"/>
      <c r="K422" s="284"/>
      <c r="L422" s="281" t="str">
        <f t="shared" si="5"/>
        <v>-</v>
      </c>
      <c r="M422" s="16" t="str">
        <f t="shared" si="8"/>
        <v/>
      </c>
    </row>
    <row r="423" spans="3:13" collapsed="1" x14ac:dyDescent="0.3">
      <c r="C423" s="868" t="str">
        <f>template_label_total_amount_of_waste_generated</f>
        <v>Total amount of waste generated</v>
      </c>
      <c r="D423" s="921" t="str">
        <f>template_label_total_hazardous_waste_generated_mass</f>
        <v>Total Hazardous waste generated (mass)</v>
      </c>
      <c r="E423" s="921"/>
      <c r="F423" s="922"/>
      <c r="G423" s="917"/>
      <c r="H423" s="917"/>
      <c r="I423" s="918"/>
      <c r="J423" s="940" t="str">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v>
      </c>
      <c r="K423" s="940"/>
      <c r="L423" s="941"/>
      <c r="M423" s="16" t="str" cm="1">
        <f t="array" ref="M423">IF(G423="",
    IF(SUMPRODUCT(--((G323:G422="metric tonnes (t)")+(G323:G422="kilograms (kg)")))&gt;0,
        template_label_missing_value,
        ""
    ),
    IF(SUMPRODUCT(--((G323:G422="metric tonnes (t)")+(G323:G422="kilograms (kg)")))&gt;0,
        template_label_ok,
        ""
    )
)</f>
        <v/>
      </c>
    </row>
    <row r="424" spans="3:13" x14ac:dyDescent="0.3">
      <c r="C424" s="869"/>
      <c r="D424" s="688" t="str">
        <f>template_label_total_non_hazardous_waste_generated_mass</f>
        <v>Total Non-Hazardous waste generated (mass)</v>
      </c>
      <c r="E424" s="688"/>
      <c r="F424" s="689"/>
      <c r="G424" s="912" t="str">
        <f>IF($G$423="", "-", $G$423)</f>
        <v>-</v>
      </c>
      <c r="H424" s="912"/>
      <c r="I424" s="914"/>
      <c r="J424" s="803" t="str">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v>
      </c>
      <c r="K424" s="803"/>
      <c r="L424" s="911"/>
    </row>
    <row r="425" spans="3:13" ht="15" thickBot="1" x14ac:dyDescent="0.35">
      <c r="C425" s="869"/>
      <c r="D425" s="919" t="str">
        <f>template_label_total_waste_generated_mass</f>
        <v>Total waste generated (mass)</v>
      </c>
      <c r="E425" s="919"/>
      <c r="F425" s="920"/>
      <c r="G425" s="912" t="str">
        <f>IF($G$423="", "-", $G$423)</f>
        <v>-</v>
      </c>
      <c r="H425" s="913"/>
      <c r="I425" s="916"/>
      <c r="J425" s="715" t="str">
        <f>IF(AND(J423="-",J424="-"),"-",SUM(J423:L424))</f>
        <v>-</v>
      </c>
      <c r="K425" s="715"/>
      <c r="L425" s="910"/>
    </row>
    <row r="426" spans="3:13" x14ac:dyDescent="0.3">
      <c r="C426" s="869"/>
      <c r="D426" s="686" t="str">
        <f>template_label_total_hazardous_waste_generated_volume</f>
        <v>Total Hazardous waste generated (volume)</v>
      </c>
      <c r="E426" s="686"/>
      <c r="F426" s="687"/>
      <c r="G426" s="690" t="str">
        <f>template_label_cubic_meters</f>
        <v>cubic meters (m³)</v>
      </c>
      <c r="H426" s="690"/>
      <c r="I426" s="690"/>
      <c r="J426" s="927" t="str">
        <f>IF(
    AND(
        COUNTA(D323:D422)=0,
        COUNTA(J323:J422)=0,
        COUNTA(K323:K422)=0
    ),
    "-",
    SUMIFS(L323:L422, D323:D422,"* Hazardous *", G323:G422,"*cubic meters (m3)*")
)</f>
        <v>-</v>
      </c>
      <c r="K426" s="927"/>
      <c r="L426" s="928"/>
    </row>
    <row r="427" spans="3:13" x14ac:dyDescent="0.3">
      <c r="C427" s="869"/>
      <c r="D427" s="688" t="str">
        <f>template_label_total_non_hazardous_waste_generated_volume</f>
        <v>Total Non-Hazardous waste generated (volume)</v>
      </c>
      <c r="E427" s="688"/>
      <c r="F427" s="689"/>
      <c r="G427" s="912" t="str">
        <f>template_label_cubic_meters</f>
        <v>cubic meters (m³)</v>
      </c>
      <c r="H427" s="912"/>
      <c r="I427" s="912"/>
      <c r="J427" s="803" t="str">
        <f>IF(
    AND(
        COUNTA(D323:D422)=0,
        COUNTA(J323:J422)=0,
        COUNTA(K323:K422)=0
    ),
    "-",
    SUMIFS(L323:L422, D323:D422,"*Non-Hazardous*", G323:G422,"*cubic meters (m3)*")
)</f>
        <v>-</v>
      </c>
      <c r="K427" s="803"/>
      <c r="L427" s="911"/>
    </row>
    <row r="428" spans="3:13" ht="15" thickBot="1" x14ac:dyDescent="0.35">
      <c r="C428" s="870"/>
      <c r="D428" s="919" t="str">
        <f>template_label_total_waste_generated_volume</f>
        <v>Total waste generated (volume)</v>
      </c>
      <c r="E428" s="919"/>
      <c r="F428" s="920"/>
      <c r="G428" s="913" t="str">
        <f>template_label_cubic_meters</f>
        <v>cubic meters (m³)</v>
      </c>
      <c r="H428" s="913"/>
      <c r="I428" s="913"/>
      <c r="J428" s="715" t="str">
        <f>IF(AND(J426="-",J427="-"),"-",SUM(J426:L427))</f>
        <v>-</v>
      </c>
      <c r="K428" s="715"/>
      <c r="L428" s="910"/>
    </row>
    <row r="429" spans="3:13" ht="15" thickBot="1" x14ac:dyDescent="0.35"/>
    <row r="430" spans="3:13" x14ac:dyDescent="0.3">
      <c r="C430" s="747"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748"/>
      <c r="E430" s="748"/>
      <c r="F430" s="748"/>
      <c r="G430" s="748"/>
      <c r="H430" s="748"/>
      <c r="I430" s="748"/>
      <c r="J430" s="749"/>
    </row>
    <row r="431" spans="3:13" x14ac:dyDescent="0.3">
      <c r="C431" s="750" t="s">
        <v>3749</v>
      </c>
      <c r="D431" s="751"/>
      <c r="E431" s="751"/>
      <c r="F431" s="751"/>
      <c r="G431" s="751"/>
      <c r="H431" s="751"/>
      <c r="I431" s="751"/>
      <c r="J431" s="752"/>
    </row>
    <row r="432" spans="3:13" x14ac:dyDescent="0.3">
      <c r="C432" s="775" t="s">
        <v>5654</v>
      </c>
      <c r="D432" s="776"/>
      <c r="E432" s="776"/>
      <c r="F432" s="776"/>
      <c r="G432" s="776"/>
      <c r="H432" s="776"/>
      <c r="I432" s="776"/>
      <c r="J432" s="843"/>
      <c r="K432" s="11"/>
      <c r="L432" s="11"/>
    </row>
    <row r="433" spans="3:12" ht="30" customHeight="1" x14ac:dyDescent="0.3">
      <c r="C433" s="654" t="str">
        <f>template_label_does_the_undertaking_operate_in_a_sector_using_significant_material_flows</f>
        <v>Does the undertaking the undertaking operate in a sector using significant material flows (for example manufacturing construction packaging or others)?</v>
      </c>
      <c r="D433" s="938"/>
      <c r="E433" s="938"/>
      <c r="F433" s="939"/>
      <c r="G433" s="656" t="b">
        <v>1</v>
      </c>
      <c r="H433" s="657"/>
      <c r="I433" s="657"/>
      <c r="J433" s="658"/>
    </row>
    <row r="434" spans="3:12" ht="43.5" customHeight="1" x14ac:dyDescent="0.3">
      <c r="C434" s="142" t="str">
        <f>template_label_row_id</f>
        <v>Row ID</v>
      </c>
      <c r="D434" s="804" t="str">
        <f>template_label_name_of_the_key_material</f>
        <v>Name of the key material</v>
      </c>
      <c r="E434" s="804"/>
      <c r="F434" s="804"/>
      <c r="G434" s="804" t="str">
        <f>template_label_mass_volume</f>
        <v>Mass / Volume</v>
      </c>
      <c r="H434" s="804"/>
      <c r="I434" s="804"/>
      <c r="J434" s="107" t="str">
        <f>template_label_unit_of_measurement</f>
        <v>Unit of measurement</v>
      </c>
    </row>
    <row r="435" spans="3:12" x14ac:dyDescent="0.3">
      <c r="C435" s="231">
        <v>1</v>
      </c>
      <c r="D435" s="692"/>
      <c r="E435" s="692"/>
      <c r="F435" s="692"/>
      <c r="G435" s="681"/>
      <c r="H435" s="681"/>
      <c r="I435" s="681"/>
      <c r="J435" s="145"/>
      <c r="K435" s="17" t="str">
        <f>IF(AND(G433=TRUE,D435&lt;&gt;"",G435&lt;&gt;"",J435&lt;&gt;""),
    template_label_ok,
    IF(AND(G433=TRUE,OR(D435="",G435="",J435="")),
        template_label_missing_value,
        ""
    )
)</f>
        <v>MISSING VALUE</v>
      </c>
    </row>
    <row r="436" spans="3:12" x14ac:dyDescent="0.3">
      <c r="C436" s="231">
        <v>2</v>
      </c>
      <c r="D436" s="812"/>
      <c r="E436" s="812"/>
      <c r="F436" s="812"/>
      <c r="G436" s="681"/>
      <c r="H436" s="681"/>
      <c r="I436" s="681"/>
      <c r="J436" s="145"/>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231">
        <v>3</v>
      </c>
      <c r="D437" s="812"/>
      <c r="E437" s="812"/>
      <c r="F437" s="812"/>
      <c r="G437" s="681"/>
      <c r="H437" s="681"/>
      <c r="I437" s="681"/>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812"/>
      <c r="E438" s="812"/>
      <c r="F438" s="812"/>
      <c r="G438" s="681"/>
      <c r="H438" s="681"/>
      <c r="I438" s="681"/>
      <c r="J438" s="145"/>
      <c r="K438" s="17" t="str">
        <f t="shared" si="9"/>
        <v/>
      </c>
    </row>
    <row r="439" spans="3:12" hidden="1" outlineLevel="2" x14ac:dyDescent="0.3">
      <c r="C439" s="231">
        <v>5</v>
      </c>
      <c r="D439" s="812"/>
      <c r="E439" s="812"/>
      <c r="F439" s="812"/>
      <c r="G439" s="681"/>
      <c r="H439" s="681"/>
      <c r="I439" s="681"/>
      <c r="J439" s="145"/>
      <c r="K439" s="17" t="str">
        <f t="shared" si="9"/>
        <v/>
      </c>
    </row>
    <row r="440" spans="3:12" hidden="1" outlineLevel="2" x14ac:dyDescent="0.3">
      <c r="C440" s="231">
        <v>6</v>
      </c>
      <c r="D440" s="692"/>
      <c r="E440" s="692"/>
      <c r="F440" s="692"/>
      <c r="G440" s="681"/>
      <c r="H440" s="681"/>
      <c r="I440" s="681"/>
      <c r="J440" s="145"/>
      <c r="K440" s="17" t="str">
        <f t="shared" si="9"/>
        <v/>
      </c>
    </row>
    <row r="441" spans="3:12" hidden="1" outlineLevel="2" x14ac:dyDescent="0.3">
      <c r="C441" s="231">
        <v>7</v>
      </c>
      <c r="D441" s="692"/>
      <c r="E441" s="692"/>
      <c r="F441" s="692"/>
      <c r="G441" s="681"/>
      <c r="H441" s="681"/>
      <c r="I441" s="681"/>
      <c r="J441" s="145"/>
      <c r="K441" s="17" t="str">
        <f t="shared" si="9"/>
        <v/>
      </c>
    </row>
    <row r="442" spans="3:12" hidden="1" outlineLevel="2" x14ac:dyDescent="0.3">
      <c r="C442" s="231">
        <v>8</v>
      </c>
      <c r="D442" s="692"/>
      <c r="E442" s="692"/>
      <c r="F442" s="692"/>
      <c r="G442" s="681"/>
      <c r="H442" s="681"/>
      <c r="I442" s="681"/>
      <c r="J442" s="145"/>
      <c r="K442" s="17" t="str">
        <f t="shared" si="9"/>
        <v/>
      </c>
    </row>
    <row r="443" spans="3:12" hidden="1" outlineLevel="2" x14ac:dyDescent="0.3">
      <c r="C443" s="231">
        <v>9</v>
      </c>
      <c r="D443" s="692"/>
      <c r="E443" s="692"/>
      <c r="F443" s="692"/>
      <c r="G443" s="681"/>
      <c r="H443" s="681"/>
      <c r="I443" s="681"/>
      <c r="J443" s="145"/>
      <c r="K443" s="17" t="str">
        <f t="shared" si="9"/>
        <v/>
      </c>
    </row>
    <row r="444" spans="3:12" hidden="1" outlineLevel="2" x14ac:dyDescent="0.3">
      <c r="C444" s="231">
        <v>10</v>
      </c>
      <c r="D444" s="692"/>
      <c r="E444" s="692"/>
      <c r="F444" s="692"/>
      <c r="G444" s="681"/>
      <c r="H444" s="681"/>
      <c r="I444" s="681"/>
      <c r="J444" s="145"/>
      <c r="K444" s="17" t="str">
        <f t="shared" si="9"/>
        <v/>
      </c>
    </row>
    <row r="445" spans="3:12" hidden="1" outlineLevel="2" x14ac:dyDescent="0.3">
      <c r="C445" s="231">
        <v>11</v>
      </c>
      <c r="D445" s="682"/>
      <c r="E445" s="683"/>
      <c r="F445" s="684"/>
      <c r="G445" s="681"/>
      <c r="H445" s="681"/>
      <c r="I445" s="681"/>
      <c r="J445" s="145"/>
      <c r="K445" s="17" t="str">
        <f t="shared" si="9"/>
        <v/>
      </c>
    </row>
    <row r="446" spans="3:12" hidden="1" outlineLevel="2" x14ac:dyDescent="0.3">
      <c r="C446" s="231">
        <v>12</v>
      </c>
      <c r="D446" s="682"/>
      <c r="E446" s="683"/>
      <c r="F446" s="684"/>
      <c r="G446" s="681"/>
      <c r="H446" s="681"/>
      <c r="I446" s="681"/>
      <c r="J446" s="145"/>
      <c r="K446" s="17" t="str">
        <f t="shared" si="9"/>
        <v/>
      </c>
    </row>
    <row r="447" spans="3:12" hidden="1" outlineLevel="2" x14ac:dyDescent="0.3">
      <c r="C447" s="231">
        <v>13</v>
      </c>
      <c r="D447" s="682"/>
      <c r="E447" s="683"/>
      <c r="F447" s="684"/>
      <c r="G447" s="681"/>
      <c r="H447" s="681"/>
      <c r="I447" s="681"/>
      <c r="J447" s="145"/>
      <c r="K447" s="17" t="str">
        <f t="shared" si="9"/>
        <v/>
      </c>
    </row>
    <row r="448" spans="3:12" hidden="1" outlineLevel="2" x14ac:dyDescent="0.3">
      <c r="C448" s="231">
        <v>14</v>
      </c>
      <c r="D448" s="682"/>
      <c r="E448" s="683"/>
      <c r="F448" s="684"/>
      <c r="G448" s="681"/>
      <c r="H448" s="681"/>
      <c r="I448" s="681"/>
      <c r="J448" s="145"/>
      <c r="K448" s="17" t="str">
        <f t="shared" si="9"/>
        <v/>
      </c>
    </row>
    <row r="449" spans="3:11" hidden="1" outlineLevel="2" x14ac:dyDescent="0.3">
      <c r="C449" s="231">
        <v>15</v>
      </c>
      <c r="D449" s="682"/>
      <c r="E449" s="683"/>
      <c r="F449" s="684"/>
      <c r="G449" s="681"/>
      <c r="H449" s="681"/>
      <c r="I449" s="681"/>
      <c r="J449" s="145"/>
      <c r="K449" s="17" t="str">
        <f t="shared" si="9"/>
        <v/>
      </c>
    </row>
    <row r="450" spans="3:11" hidden="1" outlineLevel="2" x14ac:dyDescent="0.3">
      <c r="C450" s="231">
        <v>16</v>
      </c>
      <c r="D450" s="682"/>
      <c r="E450" s="683"/>
      <c r="F450" s="684"/>
      <c r="G450" s="681"/>
      <c r="H450" s="681"/>
      <c r="I450" s="681"/>
      <c r="J450" s="145"/>
      <c r="K450" s="17" t="str">
        <f t="shared" si="9"/>
        <v/>
      </c>
    </row>
    <row r="451" spans="3:11" hidden="1" outlineLevel="2" x14ac:dyDescent="0.3">
      <c r="C451" s="231">
        <v>17</v>
      </c>
      <c r="D451" s="682"/>
      <c r="E451" s="683"/>
      <c r="F451" s="684"/>
      <c r="G451" s="681"/>
      <c r="H451" s="681"/>
      <c r="I451" s="681"/>
      <c r="J451" s="145"/>
      <c r="K451" s="17" t="str">
        <f t="shared" si="9"/>
        <v/>
      </c>
    </row>
    <row r="452" spans="3:11" hidden="1" outlineLevel="2" x14ac:dyDescent="0.3">
      <c r="C452" s="231">
        <v>18</v>
      </c>
      <c r="D452" s="682"/>
      <c r="E452" s="683"/>
      <c r="F452" s="684"/>
      <c r="G452" s="681"/>
      <c r="H452" s="681"/>
      <c r="I452" s="681"/>
      <c r="J452" s="145"/>
      <c r="K452" s="17" t="str">
        <f t="shared" si="9"/>
        <v/>
      </c>
    </row>
    <row r="453" spans="3:11" hidden="1" outlineLevel="2" x14ac:dyDescent="0.3">
      <c r="C453" s="231">
        <v>19</v>
      </c>
      <c r="D453" s="682"/>
      <c r="E453" s="683"/>
      <c r="F453" s="684"/>
      <c r="G453" s="681"/>
      <c r="H453" s="681"/>
      <c r="I453" s="681"/>
      <c r="J453" s="145"/>
      <c r="K453" s="17" t="str">
        <f t="shared" si="9"/>
        <v/>
      </c>
    </row>
    <row r="454" spans="3:11" hidden="1" outlineLevel="2" x14ac:dyDescent="0.3">
      <c r="C454" s="231">
        <v>20</v>
      </c>
      <c r="D454" s="682"/>
      <c r="E454" s="683"/>
      <c r="F454" s="684"/>
      <c r="G454" s="681"/>
      <c r="H454" s="681"/>
      <c r="I454" s="681"/>
      <c r="J454" s="145"/>
      <c r="K454" s="17" t="str">
        <f t="shared" si="9"/>
        <v/>
      </c>
    </row>
    <row r="455" spans="3:11" hidden="1" outlineLevel="2" x14ac:dyDescent="0.3">
      <c r="C455" s="231">
        <v>21</v>
      </c>
      <c r="D455" s="682"/>
      <c r="E455" s="683"/>
      <c r="F455" s="684"/>
      <c r="G455" s="681"/>
      <c r="H455" s="681"/>
      <c r="I455" s="681"/>
      <c r="J455" s="145"/>
      <c r="K455" s="17" t="str">
        <f t="shared" si="9"/>
        <v/>
      </c>
    </row>
    <row r="456" spans="3:11" hidden="1" outlineLevel="2" x14ac:dyDescent="0.3">
      <c r="C456" s="231">
        <v>22</v>
      </c>
      <c r="D456" s="682"/>
      <c r="E456" s="683"/>
      <c r="F456" s="684"/>
      <c r="G456" s="681"/>
      <c r="H456" s="681"/>
      <c r="I456" s="681"/>
      <c r="J456" s="145"/>
      <c r="K456" s="17" t="str">
        <f t="shared" si="9"/>
        <v/>
      </c>
    </row>
    <row r="457" spans="3:11" hidden="1" outlineLevel="2" x14ac:dyDescent="0.3">
      <c r="C457" s="231">
        <v>23</v>
      </c>
      <c r="D457" s="682"/>
      <c r="E457" s="683"/>
      <c r="F457" s="684"/>
      <c r="G457" s="681"/>
      <c r="H457" s="681"/>
      <c r="I457" s="681"/>
      <c r="J457" s="145"/>
      <c r="K457" s="17" t="str">
        <f t="shared" si="9"/>
        <v/>
      </c>
    </row>
    <row r="458" spans="3:11" hidden="1" outlineLevel="2" x14ac:dyDescent="0.3">
      <c r="C458" s="231">
        <v>24</v>
      </c>
      <c r="D458" s="682"/>
      <c r="E458" s="683"/>
      <c r="F458" s="684"/>
      <c r="G458" s="681"/>
      <c r="H458" s="681"/>
      <c r="I458" s="681"/>
      <c r="J458" s="145"/>
      <c r="K458" s="17" t="str">
        <f t="shared" si="9"/>
        <v/>
      </c>
    </row>
    <row r="459" spans="3:11" hidden="1" outlineLevel="2" x14ac:dyDescent="0.3">
      <c r="C459" s="231">
        <v>25</v>
      </c>
      <c r="D459" s="682"/>
      <c r="E459" s="683"/>
      <c r="F459" s="684"/>
      <c r="G459" s="681"/>
      <c r="H459" s="681"/>
      <c r="I459" s="681"/>
      <c r="J459" s="145"/>
      <c r="K459" s="17" t="str">
        <f t="shared" si="9"/>
        <v/>
      </c>
    </row>
    <row r="460" spans="3:11" hidden="1" outlineLevel="2" x14ac:dyDescent="0.3">
      <c r="C460" s="231">
        <v>26</v>
      </c>
      <c r="D460" s="682"/>
      <c r="E460" s="683"/>
      <c r="F460" s="684"/>
      <c r="G460" s="681"/>
      <c r="H460" s="681"/>
      <c r="I460" s="681"/>
      <c r="J460" s="145"/>
      <c r="K460" s="17" t="str">
        <f t="shared" si="9"/>
        <v/>
      </c>
    </row>
    <row r="461" spans="3:11" hidden="1" outlineLevel="2" x14ac:dyDescent="0.3">
      <c r="C461" s="231">
        <v>27</v>
      </c>
      <c r="D461" s="682"/>
      <c r="E461" s="683"/>
      <c r="F461" s="684"/>
      <c r="G461" s="681"/>
      <c r="H461" s="681"/>
      <c r="I461" s="681"/>
      <c r="J461" s="145"/>
      <c r="K461" s="17" t="str">
        <f t="shared" si="9"/>
        <v/>
      </c>
    </row>
    <row r="462" spans="3:11" hidden="1" outlineLevel="2" x14ac:dyDescent="0.3">
      <c r="C462" s="231">
        <v>28</v>
      </c>
      <c r="D462" s="682"/>
      <c r="E462" s="683"/>
      <c r="F462" s="684"/>
      <c r="G462" s="681"/>
      <c r="H462" s="681"/>
      <c r="I462" s="681"/>
      <c r="J462" s="145"/>
      <c r="K462" s="17" t="str">
        <f t="shared" si="9"/>
        <v/>
      </c>
    </row>
    <row r="463" spans="3:11" hidden="1" outlineLevel="2" x14ac:dyDescent="0.3">
      <c r="C463" s="231">
        <v>29</v>
      </c>
      <c r="D463" s="682"/>
      <c r="E463" s="683"/>
      <c r="F463" s="684"/>
      <c r="G463" s="681"/>
      <c r="H463" s="681"/>
      <c r="I463" s="681"/>
      <c r="J463" s="145"/>
      <c r="K463" s="17" t="str">
        <f t="shared" si="9"/>
        <v/>
      </c>
    </row>
    <row r="464" spans="3:11" hidden="1" outlineLevel="2" x14ac:dyDescent="0.3">
      <c r="C464" s="231">
        <v>30</v>
      </c>
      <c r="D464" s="682"/>
      <c r="E464" s="683"/>
      <c r="F464" s="684"/>
      <c r="G464" s="681"/>
      <c r="H464" s="681"/>
      <c r="I464" s="681"/>
      <c r="J464" s="145"/>
      <c r="K464" s="17" t="str">
        <f t="shared" si="9"/>
        <v/>
      </c>
    </row>
    <row r="465" spans="3:11" hidden="1" outlineLevel="2" x14ac:dyDescent="0.3">
      <c r="C465" s="231">
        <v>31</v>
      </c>
      <c r="D465" s="682"/>
      <c r="E465" s="683"/>
      <c r="F465" s="684"/>
      <c r="G465" s="681"/>
      <c r="H465" s="681"/>
      <c r="I465" s="681"/>
      <c r="J465" s="145"/>
      <c r="K465" s="17" t="str">
        <f t="shared" si="9"/>
        <v/>
      </c>
    </row>
    <row r="466" spans="3:11" hidden="1" outlineLevel="2" x14ac:dyDescent="0.3">
      <c r="C466" s="231">
        <v>32</v>
      </c>
      <c r="D466" s="682"/>
      <c r="E466" s="683"/>
      <c r="F466" s="684"/>
      <c r="G466" s="681"/>
      <c r="H466" s="681"/>
      <c r="I466" s="681"/>
      <c r="J466" s="145"/>
      <c r="K466" s="17" t="str">
        <f t="shared" si="9"/>
        <v/>
      </c>
    </row>
    <row r="467" spans="3:11" hidden="1" outlineLevel="2" x14ac:dyDescent="0.3">
      <c r="C467" s="231">
        <v>33</v>
      </c>
      <c r="D467" s="682"/>
      <c r="E467" s="683"/>
      <c r="F467" s="684"/>
      <c r="G467" s="681"/>
      <c r="H467" s="681"/>
      <c r="I467" s="681"/>
      <c r="J467" s="145"/>
      <c r="K467" s="17" t="str">
        <f t="shared" si="9"/>
        <v/>
      </c>
    </row>
    <row r="468" spans="3:11" hidden="1" outlineLevel="2" x14ac:dyDescent="0.3">
      <c r="C468" s="231">
        <v>34</v>
      </c>
      <c r="D468" s="682"/>
      <c r="E468" s="683"/>
      <c r="F468" s="684"/>
      <c r="G468" s="681"/>
      <c r="H468" s="681"/>
      <c r="I468" s="681"/>
      <c r="J468" s="145"/>
      <c r="K468" s="17" t="str">
        <f t="shared" si="9"/>
        <v/>
      </c>
    </row>
    <row r="469" spans="3:11" hidden="1" outlineLevel="2" x14ac:dyDescent="0.3">
      <c r="C469" s="231">
        <v>35</v>
      </c>
      <c r="D469" s="682"/>
      <c r="E469" s="683"/>
      <c r="F469" s="684"/>
      <c r="G469" s="681"/>
      <c r="H469" s="681"/>
      <c r="I469" s="681"/>
      <c r="J469" s="145"/>
      <c r="K469" s="17" t="str">
        <f t="shared" si="9"/>
        <v/>
      </c>
    </row>
    <row r="470" spans="3:11" hidden="1" outlineLevel="2" x14ac:dyDescent="0.3">
      <c r="C470" s="231">
        <v>36</v>
      </c>
      <c r="D470" s="682"/>
      <c r="E470" s="683"/>
      <c r="F470" s="684"/>
      <c r="G470" s="681"/>
      <c r="H470" s="681"/>
      <c r="I470" s="681"/>
      <c r="J470" s="145"/>
      <c r="K470" s="17" t="str">
        <f t="shared" si="9"/>
        <v/>
      </c>
    </row>
    <row r="471" spans="3:11" hidden="1" outlineLevel="2" x14ac:dyDescent="0.3">
      <c r="C471" s="231">
        <v>37</v>
      </c>
      <c r="D471" s="682"/>
      <c r="E471" s="683"/>
      <c r="F471" s="684"/>
      <c r="G471" s="681"/>
      <c r="H471" s="681"/>
      <c r="I471" s="681"/>
      <c r="J471" s="145"/>
      <c r="K471" s="17" t="str">
        <f t="shared" si="9"/>
        <v/>
      </c>
    </row>
    <row r="472" spans="3:11" hidden="1" outlineLevel="2" x14ac:dyDescent="0.3">
      <c r="C472" s="231">
        <v>38</v>
      </c>
      <c r="D472" s="682"/>
      <c r="E472" s="683"/>
      <c r="F472" s="684"/>
      <c r="G472" s="681"/>
      <c r="H472" s="681"/>
      <c r="I472" s="681"/>
      <c r="J472" s="145"/>
      <c r="K472" s="17" t="str">
        <f t="shared" si="9"/>
        <v/>
      </c>
    </row>
    <row r="473" spans="3:11" hidden="1" outlineLevel="2" x14ac:dyDescent="0.3">
      <c r="C473" s="231">
        <v>39</v>
      </c>
      <c r="D473" s="682"/>
      <c r="E473" s="683"/>
      <c r="F473" s="684"/>
      <c r="G473" s="681"/>
      <c r="H473" s="681"/>
      <c r="I473" s="681"/>
      <c r="J473" s="145"/>
      <c r="K473" s="17" t="str">
        <f t="shared" si="9"/>
        <v/>
      </c>
    </row>
    <row r="474" spans="3:11" hidden="1" outlineLevel="2" x14ac:dyDescent="0.3">
      <c r="C474" s="231">
        <v>40</v>
      </c>
      <c r="D474" s="682"/>
      <c r="E474" s="683"/>
      <c r="F474" s="684"/>
      <c r="G474" s="681"/>
      <c r="H474" s="681"/>
      <c r="I474" s="681"/>
      <c r="J474" s="145"/>
      <c r="K474" s="17" t="str">
        <f t="shared" si="9"/>
        <v/>
      </c>
    </row>
    <row r="475" spans="3:11" hidden="1" outlineLevel="2" x14ac:dyDescent="0.3">
      <c r="C475" s="231">
        <v>41</v>
      </c>
      <c r="D475" s="682"/>
      <c r="E475" s="683"/>
      <c r="F475" s="684"/>
      <c r="G475" s="681"/>
      <c r="H475" s="681"/>
      <c r="I475" s="681"/>
      <c r="J475" s="145"/>
      <c r="K475" s="17" t="str">
        <f t="shared" si="9"/>
        <v/>
      </c>
    </row>
    <row r="476" spans="3:11" hidden="1" outlineLevel="2" x14ac:dyDescent="0.3">
      <c r="C476" s="231">
        <v>42</v>
      </c>
      <c r="D476" s="682"/>
      <c r="E476" s="683"/>
      <c r="F476" s="684"/>
      <c r="G476" s="681"/>
      <c r="H476" s="681"/>
      <c r="I476" s="681"/>
      <c r="J476" s="145"/>
      <c r="K476" s="17" t="str">
        <f t="shared" si="9"/>
        <v/>
      </c>
    </row>
    <row r="477" spans="3:11" hidden="1" outlineLevel="2" x14ac:dyDescent="0.3">
      <c r="C477" s="231">
        <v>43</v>
      </c>
      <c r="D477" s="682"/>
      <c r="E477" s="683"/>
      <c r="F477" s="684"/>
      <c r="G477" s="681"/>
      <c r="H477" s="681"/>
      <c r="I477" s="681"/>
      <c r="J477" s="145"/>
      <c r="K477" s="17" t="str">
        <f t="shared" si="9"/>
        <v/>
      </c>
    </row>
    <row r="478" spans="3:11" hidden="1" outlineLevel="2" x14ac:dyDescent="0.3">
      <c r="C478" s="231">
        <v>44</v>
      </c>
      <c r="D478" s="682"/>
      <c r="E478" s="683"/>
      <c r="F478" s="684"/>
      <c r="G478" s="681"/>
      <c r="H478" s="681"/>
      <c r="I478" s="681"/>
      <c r="J478" s="145"/>
      <c r="K478" s="17" t="str">
        <f t="shared" si="9"/>
        <v/>
      </c>
    </row>
    <row r="479" spans="3:11" hidden="1" outlineLevel="2" x14ac:dyDescent="0.3">
      <c r="C479" s="231">
        <v>45</v>
      </c>
      <c r="D479" s="682"/>
      <c r="E479" s="683"/>
      <c r="F479" s="684"/>
      <c r="G479" s="681"/>
      <c r="H479" s="681"/>
      <c r="I479" s="681"/>
      <c r="J479" s="145"/>
      <c r="K479" s="17" t="str">
        <f t="shared" si="9"/>
        <v/>
      </c>
    </row>
    <row r="480" spans="3:11" hidden="1" outlineLevel="2" x14ac:dyDescent="0.3">
      <c r="C480" s="231">
        <v>46</v>
      </c>
      <c r="D480" s="682"/>
      <c r="E480" s="683"/>
      <c r="F480" s="684"/>
      <c r="G480" s="681"/>
      <c r="H480" s="681"/>
      <c r="I480" s="681"/>
      <c r="J480" s="145"/>
      <c r="K480" s="17" t="str">
        <f t="shared" si="9"/>
        <v/>
      </c>
    </row>
    <row r="481" spans="3:11" hidden="1" outlineLevel="2" x14ac:dyDescent="0.3">
      <c r="C481" s="231">
        <v>47</v>
      </c>
      <c r="D481" s="682"/>
      <c r="E481" s="683"/>
      <c r="F481" s="684"/>
      <c r="G481" s="681"/>
      <c r="H481" s="681"/>
      <c r="I481" s="681"/>
      <c r="J481" s="145"/>
      <c r="K481" s="17" t="str">
        <f t="shared" si="9"/>
        <v/>
      </c>
    </row>
    <row r="482" spans="3:11" hidden="1" outlineLevel="2" x14ac:dyDescent="0.3">
      <c r="C482" s="231">
        <v>48</v>
      </c>
      <c r="D482" s="682"/>
      <c r="E482" s="683"/>
      <c r="F482" s="684"/>
      <c r="G482" s="681"/>
      <c r="H482" s="681"/>
      <c r="I482" s="681"/>
      <c r="J482" s="145"/>
      <c r="K482" s="17" t="str">
        <f t="shared" si="9"/>
        <v/>
      </c>
    </row>
    <row r="483" spans="3:11" hidden="1" outlineLevel="2" x14ac:dyDescent="0.3">
      <c r="C483" s="231">
        <v>49</v>
      </c>
      <c r="D483" s="682"/>
      <c r="E483" s="683"/>
      <c r="F483" s="684"/>
      <c r="G483" s="681"/>
      <c r="H483" s="681"/>
      <c r="I483" s="681"/>
      <c r="J483" s="145"/>
      <c r="K483" s="17" t="str">
        <f t="shared" si="9"/>
        <v/>
      </c>
    </row>
    <row r="484" spans="3:11" hidden="1" outlineLevel="2" x14ac:dyDescent="0.3">
      <c r="C484" s="231">
        <v>50</v>
      </c>
      <c r="D484" s="682"/>
      <c r="E484" s="683"/>
      <c r="F484" s="684"/>
      <c r="G484" s="681"/>
      <c r="H484" s="681"/>
      <c r="I484" s="681"/>
      <c r="J484" s="145"/>
      <c r="K484" s="17" t="str">
        <f t="shared" si="9"/>
        <v/>
      </c>
    </row>
    <row r="485" spans="3:11" hidden="1" outlineLevel="2" x14ac:dyDescent="0.3">
      <c r="C485" s="231">
        <v>51</v>
      </c>
      <c r="D485" s="682"/>
      <c r="E485" s="683"/>
      <c r="F485" s="684"/>
      <c r="G485" s="681"/>
      <c r="H485" s="681"/>
      <c r="I485" s="681"/>
      <c r="J485" s="145"/>
      <c r="K485" s="17" t="str">
        <f t="shared" si="9"/>
        <v/>
      </c>
    </row>
    <row r="486" spans="3:11" hidden="1" outlineLevel="2" x14ac:dyDescent="0.3">
      <c r="C486" s="231">
        <v>52</v>
      </c>
      <c r="D486" s="682"/>
      <c r="E486" s="683"/>
      <c r="F486" s="684"/>
      <c r="G486" s="681"/>
      <c r="H486" s="681"/>
      <c r="I486" s="681"/>
      <c r="J486" s="145"/>
      <c r="K486" s="17" t="str">
        <f t="shared" si="9"/>
        <v/>
      </c>
    </row>
    <row r="487" spans="3:11" hidden="1" outlineLevel="2" x14ac:dyDescent="0.3">
      <c r="C487" s="231">
        <v>53</v>
      </c>
      <c r="D487" s="682"/>
      <c r="E487" s="683"/>
      <c r="F487" s="684"/>
      <c r="G487" s="681"/>
      <c r="H487" s="681"/>
      <c r="I487" s="681"/>
      <c r="J487" s="145"/>
      <c r="K487" s="17" t="str">
        <f t="shared" si="9"/>
        <v/>
      </c>
    </row>
    <row r="488" spans="3:11" hidden="1" outlineLevel="2" x14ac:dyDescent="0.3">
      <c r="C488" s="231">
        <v>54</v>
      </c>
      <c r="D488" s="682"/>
      <c r="E488" s="683"/>
      <c r="F488" s="684"/>
      <c r="G488" s="681"/>
      <c r="H488" s="681"/>
      <c r="I488" s="681"/>
      <c r="J488" s="145"/>
      <c r="K488" s="17" t="str">
        <f t="shared" si="9"/>
        <v/>
      </c>
    </row>
    <row r="489" spans="3:11" hidden="1" outlineLevel="2" x14ac:dyDescent="0.3">
      <c r="C489" s="231">
        <v>55</v>
      </c>
      <c r="D489" s="682"/>
      <c r="E489" s="683"/>
      <c r="F489" s="684"/>
      <c r="G489" s="681"/>
      <c r="H489" s="681"/>
      <c r="I489" s="681"/>
      <c r="J489" s="145"/>
      <c r="K489" s="17" t="str">
        <f t="shared" si="9"/>
        <v/>
      </c>
    </row>
    <row r="490" spans="3:11" hidden="1" outlineLevel="2" x14ac:dyDescent="0.3">
      <c r="C490" s="231">
        <v>56</v>
      </c>
      <c r="D490" s="682"/>
      <c r="E490" s="683"/>
      <c r="F490" s="684"/>
      <c r="G490" s="681"/>
      <c r="H490" s="681"/>
      <c r="I490" s="681"/>
      <c r="J490" s="145"/>
      <c r="K490" s="17" t="str">
        <f t="shared" si="9"/>
        <v/>
      </c>
    </row>
    <row r="491" spans="3:11" hidden="1" outlineLevel="2" x14ac:dyDescent="0.3">
      <c r="C491" s="231">
        <v>57</v>
      </c>
      <c r="D491" s="682"/>
      <c r="E491" s="683"/>
      <c r="F491" s="684"/>
      <c r="G491" s="681"/>
      <c r="H491" s="681"/>
      <c r="I491" s="681"/>
      <c r="J491" s="145"/>
      <c r="K491" s="17" t="str">
        <f t="shared" si="9"/>
        <v/>
      </c>
    </row>
    <row r="492" spans="3:11" hidden="1" outlineLevel="2" x14ac:dyDescent="0.3">
      <c r="C492" s="231">
        <v>58</v>
      </c>
      <c r="D492" s="682"/>
      <c r="E492" s="683"/>
      <c r="F492" s="684"/>
      <c r="G492" s="681"/>
      <c r="H492" s="681"/>
      <c r="I492" s="681"/>
      <c r="J492" s="145"/>
      <c r="K492" s="17" t="str">
        <f t="shared" si="9"/>
        <v/>
      </c>
    </row>
    <row r="493" spans="3:11" hidden="1" outlineLevel="2" x14ac:dyDescent="0.3">
      <c r="C493" s="231">
        <v>59</v>
      </c>
      <c r="D493" s="682"/>
      <c r="E493" s="683"/>
      <c r="F493" s="684"/>
      <c r="G493" s="681"/>
      <c r="H493" s="681"/>
      <c r="I493" s="681"/>
      <c r="J493" s="145"/>
      <c r="K493" s="17" t="str">
        <f t="shared" si="9"/>
        <v/>
      </c>
    </row>
    <row r="494" spans="3:11" hidden="1" outlineLevel="2" x14ac:dyDescent="0.3">
      <c r="C494" s="231">
        <v>60</v>
      </c>
      <c r="D494" s="682"/>
      <c r="E494" s="683"/>
      <c r="F494" s="684"/>
      <c r="G494" s="681"/>
      <c r="H494" s="681"/>
      <c r="I494" s="681"/>
      <c r="J494" s="145"/>
      <c r="K494" s="17" t="str">
        <f t="shared" si="9"/>
        <v/>
      </c>
    </row>
    <row r="495" spans="3:11" hidden="1" outlineLevel="2" x14ac:dyDescent="0.3">
      <c r="C495" s="231">
        <v>61</v>
      </c>
      <c r="D495" s="682"/>
      <c r="E495" s="683"/>
      <c r="F495" s="684"/>
      <c r="G495" s="681"/>
      <c r="H495" s="681"/>
      <c r="I495" s="681"/>
      <c r="J495" s="145"/>
      <c r="K495" s="17" t="str">
        <f t="shared" si="9"/>
        <v/>
      </c>
    </row>
    <row r="496" spans="3:11" hidden="1" outlineLevel="2" x14ac:dyDescent="0.3">
      <c r="C496" s="231">
        <v>62</v>
      </c>
      <c r="D496" s="682"/>
      <c r="E496" s="683"/>
      <c r="F496" s="684"/>
      <c r="G496" s="681"/>
      <c r="H496" s="681"/>
      <c r="I496" s="681"/>
      <c r="J496" s="145"/>
      <c r="K496" s="17" t="str">
        <f t="shared" si="9"/>
        <v/>
      </c>
    </row>
    <row r="497" spans="3:11" hidden="1" outlineLevel="2" x14ac:dyDescent="0.3">
      <c r="C497" s="231">
        <v>63</v>
      </c>
      <c r="D497" s="682"/>
      <c r="E497" s="683"/>
      <c r="F497" s="684"/>
      <c r="G497" s="681"/>
      <c r="H497" s="681"/>
      <c r="I497" s="681"/>
      <c r="J497" s="145"/>
      <c r="K497" s="17" t="str">
        <f t="shared" si="9"/>
        <v/>
      </c>
    </row>
    <row r="498" spans="3:11" hidden="1" outlineLevel="2" x14ac:dyDescent="0.3">
      <c r="C498" s="231">
        <v>64</v>
      </c>
      <c r="D498" s="682"/>
      <c r="E498" s="683"/>
      <c r="F498" s="684"/>
      <c r="G498" s="681"/>
      <c r="H498" s="681"/>
      <c r="I498" s="681"/>
      <c r="J498" s="145"/>
      <c r="K498" s="17" t="str">
        <f t="shared" si="9"/>
        <v/>
      </c>
    </row>
    <row r="499" spans="3:11" hidden="1" outlineLevel="2" x14ac:dyDescent="0.3">
      <c r="C499" s="231">
        <v>65</v>
      </c>
      <c r="D499" s="682"/>
      <c r="E499" s="683"/>
      <c r="F499" s="684"/>
      <c r="G499" s="681"/>
      <c r="H499" s="681"/>
      <c r="I499" s="681"/>
      <c r="J499" s="145"/>
      <c r="K499" s="17" t="str">
        <f t="shared" si="9"/>
        <v/>
      </c>
    </row>
    <row r="500" spans="3:11" hidden="1" outlineLevel="2" x14ac:dyDescent="0.3">
      <c r="C500" s="231">
        <v>66</v>
      </c>
      <c r="D500" s="682"/>
      <c r="E500" s="683"/>
      <c r="F500" s="684"/>
      <c r="G500" s="681"/>
      <c r="H500" s="681"/>
      <c r="I500" s="681"/>
      <c r="J500" s="145"/>
      <c r="K500" s="17" t="str">
        <f t="shared" si="9"/>
        <v/>
      </c>
    </row>
    <row r="501" spans="3:11" hidden="1" outlineLevel="2" x14ac:dyDescent="0.3">
      <c r="C501" s="231">
        <v>67</v>
      </c>
      <c r="D501" s="682"/>
      <c r="E501" s="683"/>
      <c r="F501" s="684"/>
      <c r="G501" s="681"/>
      <c r="H501" s="681"/>
      <c r="I501" s="681"/>
      <c r="J501" s="145"/>
      <c r="K501" s="17" t="str">
        <f t="shared" si="9"/>
        <v/>
      </c>
    </row>
    <row r="502" spans="3:11" hidden="1" outlineLevel="2" x14ac:dyDescent="0.3">
      <c r="C502" s="231">
        <v>68</v>
      </c>
      <c r="D502" s="682"/>
      <c r="E502" s="683"/>
      <c r="F502" s="684"/>
      <c r="G502" s="681"/>
      <c r="H502" s="681"/>
      <c r="I502" s="681"/>
      <c r="J502" s="145"/>
      <c r="K502" s="17" t="str">
        <f t="shared" si="9"/>
        <v/>
      </c>
    </row>
    <row r="503" spans="3:11" hidden="1" outlineLevel="2" x14ac:dyDescent="0.3">
      <c r="C503" s="231">
        <v>69</v>
      </c>
      <c r="D503" s="682"/>
      <c r="E503" s="683"/>
      <c r="F503" s="684"/>
      <c r="G503" s="681"/>
      <c r="H503" s="681"/>
      <c r="I503" s="681"/>
      <c r="J503" s="145"/>
      <c r="K503" s="17" t="str">
        <f t="shared" si="9"/>
        <v/>
      </c>
    </row>
    <row r="504" spans="3:11" hidden="1" outlineLevel="2" x14ac:dyDescent="0.3">
      <c r="C504" s="231">
        <v>70</v>
      </c>
      <c r="D504" s="682"/>
      <c r="E504" s="683"/>
      <c r="F504" s="684"/>
      <c r="G504" s="681"/>
      <c r="H504" s="681"/>
      <c r="I504" s="681"/>
      <c r="J504" s="145"/>
      <c r="K504" s="17" t="str">
        <f t="shared" si="9"/>
        <v/>
      </c>
    </row>
    <row r="505" spans="3:11" hidden="1" outlineLevel="2" x14ac:dyDescent="0.3">
      <c r="C505" s="231">
        <v>71</v>
      </c>
      <c r="D505" s="682"/>
      <c r="E505" s="683"/>
      <c r="F505" s="684"/>
      <c r="G505" s="681"/>
      <c r="H505" s="681"/>
      <c r="I505" s="681"/>
      <c r="J505" s="145"/>
      <c r="K505" s="17" t="str">
        <f t="shared" si="9"/>
        <v/>
      </c>
    </row>
    <row r="506" spans="3:11" hidden="1" outlineLevel="2" x14ac:dyDescent="0.3">
      <c r="C506" s="231">
        <v>72</v>
      </c>
      <c r="D506" s="682"/>
      <c r="E506" s="683"/>
      <c r="F506" s="684"/>
      <c r="G506" s="681"/>
      <c r="H506" s="681"/>
      <c r="I506" s="681"/>
      <c r="J506" s="145"/>
      <c r="K506" s="17" t="str">
        <f t="shared" si="9"/>
        <v/>
      </c>
    </row>
    <row r="507" spans="3:11" hidden="1" outlineLevel="2" x14ac:dyDescent="0.3">
      <c r="C507" s="231">
        <v>73</v>
      </c>
      <c r="D507" s="682"/>
      <c r="E507" s="683"/>
      <c r="F507" s="684"/>
      <c r="G507" s="681"/>
      <c r="H507" s="681"/>
      <c r="I507" s="681"/>
      <c r="J507" s="145"/>
      <c r="K507" s="17" t="str">
        <f t="shared" si="9"/>
        <v/>
      </c>
    </row>
    <row r="508" spans="3:11" hidden="1" outlineLevel="2" x14ac:dyDescent="0.3">
      <c r="C508" s="231">
        <v>74</v>
      </c>
      <c r="D508" s="682"/>
      <c r="E508" s="683"/>
      <c r="F508" s="684"/>
      <c r="G508" s="681"/>
      <c r="H508" s="681"/>
      <c r="I508" s="681"/>
      <c r="J508" s="145"/>
      <c r="K508" s="17" t="str">
        <f t="shared" si="9"/>
        <v/>
      </c>
    </row>
    <row r="509" spans="3:11" hidden="1" outlineLevel="2" x14ac:dyDescent="0.3">
      <c r="C509" s="231">
        <v>75</v>
      </c>
      <c r="D509" s="682"/>
      <c r="E509" s="683"/>
      <c r="F509" s="684"/>
      <c r="G509" s="681"/>
      <c r="H509" s="681"/>
      <c r="I509" s="681"/>
      <c r="J509" s="145"/>
      <c r="K509" s="17" t="str">
        <f t="shared" si="9"/>
        <v/>
      </c>
    </row>
    <row r="510" spans="3:11" hidden="1" outlineLevel="2" x14ac:dyDescent="0.3">
      <c r="C510" s="231">
        <v>76</v>
      </c>
      <c r="D510" s="682"/>
      <c r="E510" s="683"/>
      <c r="F510" s="684"/>
      <c r="G510" s="681"/>
      <c r="H510" s="681"/>
      <c r="I510" s="681"/>
      <c r="J510" s="145"/>
      <c r="K510" s="17" t="str">
        <f t="shared" si="9"/>
        <v/>
      </c>
    </row>
    <row r="511" spans="3:11" hidden="1" outlineLevel="2" x14ac:dyDescent="0.3">
      <c r="C511" s="231">
        <v>77</v>
      </c>
      <c r="D511" s="682"/>
      <c r="E511" s="683"/>
      <c r="F511" s="684"/>
      <c r="G511" s="681"/>
      <c r="H511" s="681"/>
      <c r="I511" s="681"/>
      <c r="J511" s="145"/>
      <c r="K511" s="17" t="str">
        <f t="shared" si="9"/>
        <v/>
      </c>
    </row>
    <row r="512" spans="3:11" hidden="1" outlineLevel="2" x14ac:dyDescent="0.3">
      <c r="C512" s="231">
        <v>78</v>
      </c>
      <c r="D512" s="682"/>
      <c r="E512" s="683"/>
      <c r="F512" s="684"/>
      <c r="G512" s="681"/>
      <c r="H512" s="681"/>
      <c r="I512" s="681"/>
      <c r="J512" s="145"/>
      <c r="K512" s="17" t="str">
        <f t="shared" si="9"/>
        <v/>
      </c>
    </row>
    <row r="513" spans="3:11" hidden="1" outlineLevel="2" x14ac:dyDescent="0.3">
      <c r="C513" s="231">
        <v>79</v>
      </c>
      <c r="D513" s="682"/>
      <c r="E513" s="683"/>
      <c r="F513" s="684"/>
      <c r="G513" s="681"/>
      <c r="H513" s="681"/>
      <c r="I513" s="681"/>
      <c r="J513" s="145"/>
      <c r="K513" s="17" t="str">
        <f t="shared" si="9"/>
        <v/>
      </c>
    </row>
    <row r="514" spans="3:11" hidden="1" outlineLevel="2" x14ac:dyDescent="0.3">
      <c r="C514" s="231">
        <v>80</v>
      </c>
      <c r="D514" s="682"/>
      <c r="E514" s="683"/>
      <c r="F514" s="684"/>
      <c r="G514" s="681"/>
      <c r="H514" s="681"/>
      <c r="I514" s="681"/>
      <c r="J514" s="145"/>
      <c r="K514" s="17" t="str">
        <f t="shared" si="9"/>
        <v/>
      </c>
    </row>
    <row r="515" spans="3:11" hidden="1" outlineLevel="2" x14ac:dyDescent="0.3">
      <c r="C515" s="231">
        <v>81</v>
      </c>
      <c r="D515" s="682"/>
      <c r="E515" s="683"/>
      <c r="F515" s="684"/>
      <c r="G515" s="681"/>
      <c r="H515" s="681"/>
      <c r="I515" s="681"/>
      <c r="J515" s="145"/>
      <c r="K515" s="17" t="str">
        <f t="shared" si="9"/>
        <v/>
      </c>
    </row>
    <row r="516" spans="3:11" hidden="1" outlineLevel="2" x14ac:dyDescent="0.3">
      <c r="C516" s="231">
        <v>82</v>
      </c>
      <c r="D516" s="682"/>
      <c r="E516" s="683"/>
      <c r="F516" s="684"/>
      <c r="G516" s="681"/>
      <c r="H516" s="681"/>
      <c r="I516" s="681"/>
      <c r="J516" s="145"/>
      <c r="K516" s="17" t="str">
        <f t="shared" si="9"/>
        <v/>
      </c>
    </row>
    <row r="517" spans="3:11" hidden="1" outlineLevel="2" x14ac:dyDescent="0.3">
      <c r="C517" s="231">
        <v>83</v>
      </c>
      <c r="D517" s="682"/>
      <c r="E517" s="683"/>
      <c r="F517" s="684"/>
      <c r="G517" s="681"/>
      <c r="H517" s="681"/>
      <c r="I517" s="681"/>
      <c r="J517" s="145"/>
      <c r="K517" s="17" t="str">
        <f t="shared" si="9"/>
        <v/>
      </c>
    </row>
    <row r="518" spans="3:11" hidden="1" outlineLevel="2" x14ac:dyDescent="0.3">
      <c r="C518" s="231">
        <v>84</v>
      </c>
      <c r="D518" s="682"/>
      <c r="E518" s="683"/>
      <c r="F518" s="684"/>
      <c r="G518" s="681"/>
      <c r="H518" s="681"/>
      <c r="I518" s="681"/>
      <c r="J518" s="145"/>
      <c r="K518" s="17" t="str">
        <f t="shared" si="9"/>
        <v/>
      </c>
    </row>
    <row r="519" spans="3:11" hidden="1" outlineLevel="2" x14ac:dyDescent="0.3">
      <c r="C519" s="231">
        <v>85</v>
      </c>
      <c r="D519" s="682"/>
      <c r="E519" s="683"/>
      <c r="F519" s="684"/>
      <c r="G519" s="681"/>
      <c r="H519" s="681"/>
      <c r="I519" s="681"/>
      <c r="J519" s="145"/>
      <c r="K519" s="17" t="str">
        <f t="shared" si="9"/>
        <v/>
      </c>
    </row>
    <row r="520" spans="3:11" hidden="1" outlineLevel="2" x14ac:dyDescent="0.3">
      <c r="C520" s="231">
        <v>86</v>
      </c>
      <c r="D520" s="682"/>
      <c r="E520" s="683"/>
      <c r="F520" s="684"/>
      <c r="G520" s="681"/>
      <c r="H520" s="681"/>
      <c r="I520" s="681"/>
      <c r="J520" s="145"/>
      <c r="K520" s="17" t="str">
        <f t="shared" si="9"/>
        <v/>
      </c>
    </row>
    <row r="521" spans="3:11" hidden="1" outlineLevel="2" x14ac:dyDescent="0.3">
      <c r="C521" s="231">
        <v>87</v>
      </c>
      <c r="D521" s="682"/>
      <c r="E521" s="683"/>
      <c r="F521" s="684"/>
      <c r="G521" s="681"/>
      <c r="H521" s="681"/>
      <c r="I521" s="681"/>
      <c r="J521" s="145"/>
      <c r="K521" s="17" t="str">
        <f t="shared" si="9"/>
        <v/>
      </c>
    </row>
    <row r="522" spans="3:11" hidden="1" outlineLevel="2" x14ac:dyDescent="0.3">
      <c r="C522" s="231">
        <v>88</v>
      </c>
      <c r="D522" s="682"/>
      <c r="E522" s="683"/>
      <c r="F522" s="684"/>
      <c r="G522" s="681"/>
      <c r="H522" s="681"/>
      <c r="I522" s="681"/>
      <c r="J522" s="145"/>
      <c r="K522" s="17" t="str">
        <f t="shared" si="9"/>
        <v/>
      </c>
    </row>
    <row r="523" spans="3:11" hidden="1" outlineLevel="2" x14ac:dyDescent="0.3">
      <c r="C523" s="231">
        <v>89</v>
      </c>
      <c r="D523" s="682"/>
      <c r="E523" s="683"/>
      <c r="F523" s="684"/>
      <c r="G523" s="681"/>
      <c r="H523" s="681"/>
      <c r="I523" s="681"/>
      <c r="J523" s="145"/>
      <c r="K523" s="17" t="str">
        <f t="shared" si="9"/>
        <v/>
      </c>
    </row>
    <row r="524" spans="3:11" hidden="1" outlineLevel="2" x14ac:dyDescent="0.3">
      <c r="C524" s="231">
        <v>90</v>
      </c>
      <c r="D524" s="682"/>
      <c r="E524" s="683"/>
      <c r="F524" s="684"/>
      <c r="G524" s="681"/>
      <c r="H524" s="681"/>
      <c r="I524" s="681"/>
      <c r="J524" s="145"/>
      <c r="K524" s="17" t="str">
        <f t="shared" si="9"/>
        <v/>
      </c>
    </row>
    <row r="525" spans="3:11" hidden="1" outlineLevel="2" x14ac:dyDescent="0.3">
      <c r="C525" s="231">
        <v>91</v>
      </c>
      <c r="D525" s="682"/>
      <c r="E525" s="683"/>
      <c r="F525" s="684"/>
      <c r="G525" s="681"/>
      <c r="H525" s="681"/>
      <c r="I525" s="681"/>
      <c r="J525" s="145"/>
      <c r="K525" s="17" t="str">
        <f t="shared" si="9"/>
        <v/>
      </c>
    </row>
    <row r="526" spans="3:11" hidden="1" outlineLevel="2" x14ac:dyDescent="0.3">
      <c r="C526" s="231">
        <v>92</v>
      </c>
      <c r="D526" s="682"/>
      <c r="E526" s="683"/>
      <c r="F526" s="684"/>
      <c r="G526" s="681"/>
      <c r="H526" s="681"/>
      <c r="I526" s="681"/>
      <c r="J526" s="145"/>
      <c r="K526" s="17" t="str">
        <f t="shared" si="9"/>
        <v/>
      </c>
    </row>
    <row r="527" spans="3:11" hidden="1" outlineLevel="2" x14ac:dyDescent="0.3">
      <c r="C527" s="231">
        <v>93</v>
      </c>
      <c r="D527" s="682"/>
      <c r="E527" s="683"/>
      <c r="F527" s="684"/>
      <c r="G527" s="681"/>
      <c r="H527" s="681"/>
      <c r="I527" s="681"/>
      <c r="J527" s="145"/>
      <c r="K527" s="17" t="str">
        <f t="shared" si="9"/>
        <v/>
      </c>
    </row>
    <row r="528" spans="3:11" hidden="1" outlineLevel="2" x14ac:dyDescent="0.3">
      <c r="C528" s="231">
        <v>94</v>
      </c>
      <c r="D528" s="682"/>
      <c r="E528" s="683"/>
      <c r="F528" s="684"/>
      <c r="G528" s="681"/>
      <c r="H528" s="681"/>
      <c r="I528" s="681"/>
      <c r="J528" s="145"/>
      <c r="K528" s="17" t="str">
        <f t="shared" si="9"/>
        <v/>
      </c>
    </row>
    <row r="529" spans="1:12" hidden="1" outlineLevel="2" x14ac:dyDescent="0.3">
      <c r="C529" s="231">
        <v>95</v>
      </c>
      <c r="D529" s="682"/>
      <c r="E529" s="683"/>
      <c r="F529" s="684"/>
      <c r="G529" s="681"/>
      <c r="H529" s="681"/>
      <c r="I529" s="681"/>
      <c r="J529" s="145"/>
      <c r="K529" s="17" t="str">
        <f t="shared" si="9"/>
        <v/>
      </c>
    </row>
    <row r="530" spans="1:12" hidden="1" outlineLevel="2" x14ac:dyDescent="0.3">
      <c r="C530" s="231">
        <v>96</v>
      </c>
      <c r="D530" s="682"/>
      <c r="E530" s="683"/>
      <c r="F530" s="684"/>
      <c r="G530" s="681"/>
      <c r="H530" s="681"/>
      <c r="I530" s="681"/>
      <c r="J530" s="145"/>
      <c r="K530" s="17" t="str">
        <f t="shared" si="9"/>
        <v/>
      </c>
    </row>
    <row r="531" spans="1:12" hidden="1" outlineLevel="2" x14ac:dyDescent="0.3">
      <c r="C531" s="231">
        <v>97</v>
      </c>
      <c r="D531" s="682"/>
      <c r="E531" s="683"/>
      <c r="F531" s="684"/>
      <c r="G531" s="681"/>
      <c r="H531" s="681"/>
      <c r="I531" s="681"/>
      <c r="J531" s="145"/>
      <c r="K531" s="17" t="str">
        <f t="shared" si="9"/>
        <v/>
      </c>
    </row>
    <row r="532" spans="1:12" hidden="1" outlineLevel="2" x14ac:dyDescent="0.3">
      <c r="C532" s="231">
        <v>98</v>
      </c>
      <c r="D532" s="682"/>
      <c r="E532" s="683"/>
      <c r="F532" s="684"/>
      <c r="G532" s="681"/>
      <c r="H532" s="681"/>
      <c r="I532" s="681"/>
      <c r="J532" s="145"/>
      <c r="K532" s="17" t="str">
        <f t="shared" si="9"/>
        <v/>
      </c>
    </row>
    <row r="533" spans="1:12" hidden="1" outlineLevel="2" x14ac:dyDescent="0.3">
      <c r="C533" s="231">
        <v>99</v>
      </c>
      <c r="D533" s="682"/>
      <c r="E533" s="683"/>
      <c r="F533" s="684"/>
      <c r="G533" s="725"/>
      <c r="H533" s="726"/>
      <c r="I533" s="727"/>
      <c r="J533" s="145"/>
      <c r="K533" s="17" t="str">
        <f t="shared" si="9"/>
        <v/>
      </c>
    </row>
    <row r="534" spans="1:12" hidden="1" outlineLevel="2" x14ac:dyDescent="0.3">
      <c r="C534" s="231">
        <v>100</v>
      </c>
      <c r="D534" s="682"/>
      <c r="E534" s="683"/>
      <c r="F534" s="684"/>
      <c r="G534" s="725"/>
      <c r="H534" s="726"/>
      <c r="I534" s="727"/>
      <c r="J534" s="145"/>
      <c r="K534" s="17" t="str">
        <f t="shared" si="9"/>
        <v/>
      </c>
    </row>
    <row r="535" spans="1:12" collapsed="1" x14ac:dyDescent="0.3">
      <c r="C535" s="807" t="str">
        <f>template_label_total_annual_mass_flow_of_relevant_materials_used_mass</f>
        <v>Total annual mass-flow of relevant materials used (mass in kg)</v>
      </c>
      <c r="D535" s="808"/>
      <c r="E535" s="808"/>
      <c r="F535" s="808"/>
      <c r="G535" s="803" t="str">
        <f>IF(AND(G435="",G436="",J435="",J436="",G437="",J437=""),"-",(SUMIF($J$435:$J$534,"kilograms (kg)",$G$435:$G$534))+((SUMIF($J$435:$J$534,"metric tonnes (t)",$G$435:$G$534))*1000))</f>
        <v>-</v>
      </c>
      <c r="H535" s="803"/>
      <c r="I535" s="803"/>
      <c r="J535" s="143" t="str">
        <f>template_label_kilograms</f>
        <v>kilograms (kg)</v>
      </c>
    </row>
    <row r="536" spans="1:12" ht="15" thickBot="1" x14ac:dyDescent="0.35">
      <c r="C536" s="805" t="str">
        <f>template_label_total_annual_mass_flow_of_relevant_materials_used_volume</f>
        <v>Total annual mass-flow of relevant materials used (volume in m³)</v>
      </c>
      <c r="D536" s="806"/>
      <c r="E536" s="806"/>
      <c r="F536" s="806"/>
      <c r="G536" s="715" t="str">
        <f>IF(AND(G435="",G436="",J435="",J436="",G437="",J437=""),"-",SUMIF(J435:J534, "cubic meters (m3)", G435:G534))</f>
        <v>-</v>
      </c>
      <c r="H536" s="715"/>
      <c r="I536" s="715"/>
      <c r="J536" s="141" t="str">
        <f>template_label_cubic_meters</f>
        <v>cubic meters (m³)</v>
      </c>
      <c r="K536" s="17"/>
    </row>
    <row r="537" spans="1:12" ht="15" thickBot="1" x14ac:dyDescent="0.35">
      <c r="D537" s="12"/>
      <c r="E537" s="12"/>
      <c r="F537" s="12"/>
      <c r="G537" s="12"/>
      <c r="H537" s="12"/>
      <c r="I537" s="12"/>
      <c r="J537" s="12"/>
    </row>
    <row r="538" spans="1:12" x14ac:dyDescent="0.3">
      <c r="C538" s="813" t="str">
        <f>template_label_c4_climate_risks&amp;" "&amp;template_label_from&amp;" "&amp;template_starting_date_display&amp;" "&amp;template_label_to&amp;" "&amp;template_ending_date_display&amp;" "&amp;template_label_if_applicable</f>
        <v>C4 – Climate risks from - to - [If applicable]</v>
      </c>
      <c r="D538" s="814"/>
      <c r="E538" s="814"/>
      <c r="F538" s="814"/>
      <c r="G538" s="814"/>
      <c r="H538" s="814"/>
      <c r="I538" s="814"/>
      <c r="J538" s="814"/>
      <c r="K538" s="815"/>
    </row>
    <row r="539" spans="1:12" ht="39.6" customHeight="1" x14ac:dyDescent="0.3">
      <c r="C539" s="654" t="str">
        <f>template_label_has_the_undertaking_identified_climate_related_hazards_and_climate_related_transition_events</f>
        <v>Has the undertaking identified climate-related hazards and climate-related transition events creating gross climate-related risks for the undertaking?</v>
      </c>
      <c r="D539" s="819"/>
      <c r="E539" s="820" t="b">
        <v>0</v>
      </c>
      <c r="F539" s="821"/>
      <c r="G539" s="821"/>
      <c r="H539" s="821"/>
      <c r="I539" s="821"/>
      <c r="J539" s="821"/>
      <c r="K539" s="822"/>
    </row>
    <row r="540" spans="1:12" x14ac:dyDescent="0.3">
      <c r="A540" s="460" t="s">
        <v>3750</v>
      </c>
      <c r="B540" s="460" t="s">
        <v>5655</v>
      </c>
      <c r="C540" s="628" t="str">
        <f>template_label_description_of_climate_related_hazards_and_climate_related_transition_events</f>
        <v>Description of climate-related hazards and climate-related transition events</v>
      </c>
      <c r="D540" s="628"/>
      <c r="E540" s="672"/>
      <c r="F540" s="673"/>
      <c r="G540" s="673"/>
      <c r="H540" s="673"/>
      <c r="I540" s="673"/>
      <c r="J540" s="673"/>
      <c r="K540" s="674"/>
      <c r="L540" s="16" t="str">
        <f>IF(AND($E$539=TRUE,E540&lt;&gt;""),
    template_label_ok,
    IF(AND($E$539=TRUE,G540=""),
        template_label_missing_value,
        ""
    )
)</f>
        <v/>
      </c>
    </row>
    <row r="541" spans="1:12" x14ac:dyDescent="0.3">
      <c r="A541" s="460" t="s">
        <v>3751</v>
      </c>
      <c r="B541" s="460" t="s">
        <v>5655</v>
      </c>
      <c r="C541" s="628" t="str">
        <f>template_label_disclosure_of_how_it_has_assessed_the_exposure_and_sensitivity_of_its_assets</f>
        <v>Disclosure of how it has assessed the exposure and sensitivity of its assets activities and value chain to these hazards and transition events</v>
      </c>
      <c r="D541" s="628"/>
      <c r="E541" s="672"/>
      <c r="F541" s="673"/>
      <c r="G541" s="673"/>
      <c r="H541" s="673"/>
      <c r="I541" s="673"/>
      <c r="J541" s="673"/>
      <c r="K541" s="674"/>
      <c r="L541" s="16" t="str">
        <f>IF(AND($E$539=TRUE,E541&lt;&gt;""),
    template_label_ok,
    IF(AND($E$539=TRUE,G541=""),
        template_label_missing_value,
        ""
    )
)</f>
        <v/>
      </c>
    </row>
    <row r="542" spans="1:12" x14ac:dyDescent="0.3">
      <c r="A542" s="460" t="s">
        <v>3752</v>
      </c>
      <c r="B542" s="460" t="s">
        <v>5655</v>
      </c>
      <c r="C542" s="628" t="str">
        <f>template_label_time_horizons_of_any_climate_related_hazards_and_transition_events_identified</f>
        <v>Time horizons of any climate-related hazards and transition events identified</v>
      </c>
      <c r="D542" s="628"/>
      <c r="E542" s="672"/>
      <c r="F542" s="673"/>
      <c r="G542" s="673"/>
      <c r="H542" s="673"/>
      <c r="I542" s="673"/>
      <c r="J542" s="673"/>
      <c r="K542" s="674"/>
      <c r="L542" s="16" t="str">
        <f>IF(AND($E$539=TRUE,E542&lt;&gt;""),
    template_label_ok,
    IF(AND($E$539=TRUE,G542=""),
        template_label_missing_value,
        ""
    )
)</f>
        <v/>
      </c>
    </row>
    <row r="543" spans="1:12" ht="27" customHeight="1" x14ac:dyDescent="0.3">
      <c r="A543" s="460" t="s">
        <v>3753</v>
      </c>
      <c r="B543" s="460" t="s">
        <v>5655</v>
      </c>
      <c r="C543" s="628" t="str">
        <f>template_label_disclosure_of_whether_it_has_undertaken_climate_change_adaptation_actions</f>
        <v>Disclosure of whether it has undertaken climate change adaptation actions for any climate-related hazards and transition events</v>
      </c>
      <c r="D543" s="628"/>
      <c r="E543" s="816"/>
      <c r="F543" s="817"/>
      <c r="G543" s="817"/>
      <c r="H543" s="817"/>
      <c r="I543" s="817"/>
      <c r="J543" s="817"/>
      <c r="K543" s="818"/>
      <c r="L543" s="16" t="str">
        <f>IF(AND($E$539=TRUE,E543&lt;&gt;""),
    template_label_ok,
    IF(AND($E$539=TRUE,G543=""),
        template_label_missing_value,
        ""
    )
)</f>
        <v/>
      </c>
    </row>
    <row r="544" spans="1:12" ht="29.4" customHeight="1" thickBot="1" x14ac:dyDescent="0.35">
      <c r="A544" s="460">
        <v>58</v>
      </c>
      <c r="B544" s="460" t="s">
        <v>5655</v>
      </c>
      <c r="C544" s="568"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68"/>
      <c r="E544" s="675"/>
      <c r="F544" s="676"/>
      <c r="G544" s="676"/>
      <c r="H544" s="676"/>
      <c r="I544" s="676"/>
      <c r="J544" s="676"/>
      <c r="K544" s="677"/>
      <c r="L544" s="16" t="str">
        <f>IF(AND($E$539=TRUE,E544&lt;&gt;""),
    template_label_ok,
    ""
)</f>
        <v/>
      </c>
    </row>
    <row r="545" spans="3:13" ht="15" thickBot="1" x14ac:dyDescent="0.35"/>
    <row r="546" spans="3:13" x14ac:dyDescent="0.3">
      <c r="C546" s="556"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 to - [May (optional)]</v>
      </c>
      <c r="D546" s="557"/>
      <c r="E546" s="557"/>
      <c r="F546" s="557"/>
      <c r="G546" s="557"/>
      <c r="H546" s="557"/>
      <c r="I546" s="557"/>
      <c r="J546" s="557"/>
      <c r="K546" s="557"/>
      <c r="L546" s="558"/>
    </row>
    <row r="547" spans="3:13" x14ac:dyDescent="0.3">
      <c r="C547" s="532">
        <v>10</v>
      </c>
      <c r="D547" s="533"/>
      <c r="E547" s="533"/>
      <c r="F547" s="533"/>
      <c r="G547" s="533"/>
      <c r="H547" s="533"/>
      <c r="I547" s="533"/>
      <c r="J547" s="533"/>
      <c r="K547" s="533"/>
      <c r="L547" s="534"/>
      <c r="M547" s="8"/>
    </row>
    <row r="548" spans="3:13" ht="15" thickBot="1" x14ac:dyDescent="0.35">
      <c r="C548" s="550"/>
      <c r="D548" s="551"/>
      <c r="E548" s="551"/>
      <c r="F548" s="551"/>
      <c r="G548" s="551"/>
      <c r="H548" s="551"/>
      <c r="I548" s="551"/>
      <c r="J548" s="551"/>
      <c r="K548" s="551"/>
      <c r="L548" s="551"/>
      <c r="M548" s="104" t="str">
        <f>IF(C548&lt;&gt;"", template_label_ok, "")</f>
        <v/>
      </c>
    </row>
  </sheetData>
  <sheetProtection algorithmName="SHA-512" hashValue="E4qYWBi2TEVuToibqlGxPXSNBrJd2WLusc9RXuw5ZKLCRt9ookZv/TxsBr01QG8dtmLJm0rWDWzb0MGw+9r7Aw==" saltValue="et7ygfwXuROfJCZnXpr8Aw==" spinCount="100000" sheet="1" formatColumns="0" formatRows="0" insertRows="0"/>
  <mergeCells count="101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D446:F446"/>
    <mergeCell ref="C432:J432"/>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D226:F226"/>
    <mergeCell ref="D227:F227"/>
    <mergeCell ref="D228:F228"/>
    <mergeCell ref="D229:F229"/>
    <mergeCell ref="D212:F212"/>
    <mergeCell ref="D333:F333"/>
    <mergeCell ref="J425:L425"/>
    <mergeCell ref="J426:L426"/>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G191:I191"/>
    <mergeCell ref="G178:I178"/>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G200:I200"/>
    <mergeCell ref="G201:I201"/>
    <mergeCell ref="G203:I203"/>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D157:F157"/>
    <mergeCell ref="D158:F158"/>
    <mergeCell ref="D159:F159"/>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D377:F377"/>
    <mergeCell ref="D378:F378"/>
    <mergeCell ref="D345:F345"/>
    <mergeCell ref="D346:F346"/>
    <mergeCell ref="D347:F347"/>
    <mergeCell ref="D348:F348"/>
    <mergeCell ref="D349:F349"/>
    <mergeCell ref="D350:F350"/>
    <mergeCell ref="D351:F351"/>
    <mergeCell ref="D352:F352"/>
    <mergeCell ref="D353:F353"/>
    <mergeCell ref="D354:F354"/>
    <mergeCell ref="D355:F355"/>
    <mergeCell ref="D356:F356"/>
    <mergeCell ref="D357:F357"/>
    <mergeCell ref="D358:F358"/>
    <mergeCell ref="D359:F359"/>
    <mergeCell ref="D360:F360"/>
    <mergeCell ref="D361:F361"/>
    <mergeCell ref="D407:F407"/>
    <mergeCell ref="D408:F408"/>
    <mergeCell ref="D409:F409"/>
    <mergeCell ref="D410:F41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G354:I354"/>
    <mergeCell ref="G355:I355"/>
    <mergeCell ref="G356:I356"/>
    <mergeCell ref="G357:I357"/>
    <mergeCell ref="G358:I358"/>
    <mergeCell ref="G359:I359"/>
    <mergeCell ref="D396:F396"/>
    <mergeCell ref="D397:F397"/>
    <mergeCell ref="D398:F398"/>
    <mergeCell ref="D399:F399"/>
    <mergeCell ref="D400:F400"/>
    <mergeCell ref="D401:F401"/>
    <mergeCell ref="D402:F402"/>
    <mergeCell ref="D403:F403"/>
    <mergeCell ref="D404:F404"/>
    <mergeCell ref="D405:F405"/>
    <mergeCell ref="D406:F406"/>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468:F468"/>
    <mergeCell ref="D469:F469"/>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502:I502"/>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18:I518"/>
    <mergeCell ref="G519:I519"/>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228:I228"/>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58">
      <formula>$G$74=TRUE</formula>
    </cfRule>
    <cfRule type="expression" dxfId="244" priority="168">
      <formula>$G$75=TRUE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35 D436:I441 J436:J534 D442:F444 G442:I532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0">
      <formula>$E303=template_label_ok</formula>
    </cfRule>
    <cfRule type="expression" dxfId="227" priority="221">
      <formula>$E303=template_label_missing_value</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23">
      <formula>$G293=template_label_value_inconsistency</formula>
    </cfRule>
    <cfRule type="expression" dxfId="221" priority="143">
      <formula>$G293=template_label_missing_value</formula>
    </cfRule>
    <cfRule type="expression" dxfId="220" priority="144">
      <formula>$G293=template_label_ok</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1">
      <formula>$H$316=template_label_ok</formula>
    </cfRule>
    <cfRule type="expression" dxfId="204" priority="192">
      <formula>$H$316=template_label_missing_value</formula>
    </cfRule>
  </conditionalFormatting>
  <conditionalFormatting sqref="H317">
    <cfRule type="expression" dxfId="203" priority="1">
      <formula>$H$317=template_label_value_inconsistency</formula>
    </cfRule>
    <cfRule type="expression" dxfId="202" priority="188">
      <formula>$H$317=template_label_missing_value</formula>
    </cfRule>
    <cfRule type="expression" dxfId="201" priority="189">
      <formula>$H$317=template_label_ok</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9">
      <formula>$G$75=TRUE</formula>
    </cfRule>
    <cfRule type="expression" dxfId="195" priority="10">
      <formula>$G$74=TRUE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2">
      <formula>$K295="MISSING VALUE"</formula>
    </cfRule>
    <cfRule type="expression" dxfId="191" priority="223">
      <formula>$K295="OK"</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3">
      <formula>$L$5= template_label_ok</formula>
    </cfRule>
    <cfRule type="expression" dxfId="187" priority="195">
      <formula>$L$5=template_label_missing_value</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3">
      <formula>$L$45="MISSING VALUE"</formula>
    </cfRule>
    <cfRule type="expression" dxfId="175" priority="384">
      <formula>$L$45="OK"</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6">
      <formula>$L$78=template_label_value_inconsistency</formula>
    </cfRule>
    <cfRule type="expression" dxfId="163" priority="177">
      <formula>$L$78=template_label_ok</formula>
    </cfRule>
    <cfRule type="expression" dxfId="162" priority="178">
      <formula>$L$78=template_label_missing_value</formula>
    </cfRule>
  </conditionalFormatting>
  <conditionalFormatting sqref="L80:L179">
    <cfRule type="expression" dxfId="161" priority="22">
      <formula>$L80=template_label_value_inconsistency</formula>
    </cfRule>
    <cfRule type="expression" dxfId="160" priority="174">
      <formula>$L80=template_label_missing_value</formula>
    </cfRule>
    <cfRule type="expression" dxfId="159" priority="175">
      <formula>$L80=template_label_ok</formula>
    </cfRule>
  </conditionalFormatting>
  <conditionalFormatting sqref="L186">
    <cfRule type="expression" dxfId="158" priority="185">
      <formula>$L$186=template_label_ok</formula>
    </cfRule>
    <cfRule type="expression" dxfId="157" priority="186">
      <formula>$L$186=template_label_missing_value</formula>
    </cfRule>
  </conditionalFormatting>
  <conditionalFormatting sqref="L188">
    <cfRule type="expression" dxfId="156" priority="84">
      <formula>$D$188=template_label_value_inconsistency</formula>
    </cfRule>
  </conditionalFormatting>
  <conditionalFormatting sqref="L188:L287">
    <cfRule type="expression" dxfId="155" priority="187">
      <formula>$L188=template_label_value_inconcistency</formula>
    </cfRule>
    <cfRule type="expression" dxfId="154" priority="238">
      <formula>$L188=template_label_missing_value</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21">
      <formula>$M323=template_label_value_inconsistency</formula>
    </cfRule>
    <cfRule type="expression" dxfId="125" priority="380">
      <formula>$M323=template_label_error</formula>
    </cfRule>
    <cfRule type="expression" dxfId="124" priority="381">
      <formula>$M323=template_label_missing_value</formula>
    </cfRule>
    <cfRule type="expression" dxfId="123" priority="382">
      <formula>$M323=template_label_ok</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950" t="str">
        <f>template_label_employee_counting_methodology_for_the_disclosures_below_headcount_full_time_equivalent</f>
        <v>Employee counting methodology for the disclosures below (Headcount or Full time Equivalent linked from B1</v>
      </c>
      <c r="D2" s="951"/>
      <c r="E2" s="952"/>
      <c r="F2" s="953" t="str">
        <f>IF('General Information'!$E$330="","-",'General Information'!$E$330)</f>
        <v>-</v>
      </c>
      <c r="G2" s="953"/>
      <c r="H2" s="954"/>
    </row>
    <row r="3" spans="1:8" ht="15" thickBot="1" x14ac:dyDescent="0.35">
      <c r="C3" s="950" t="str">
        <f>template_label_employee_counting_methodology_for_the_disclosures_below_period</f>
        <v>Employee counting methodology for the disclosures below (At the end of the reporting period or as an average across the reporting period linked from B1)</v>
      </c>
      <c r="D3" s="951"/>
      <c r="E3" s="952"/>
      <c r="F3" s="955" t="str">
        <f>IF('General Information'!$E$329="","-",'General Information'!$E$329)</f>
        <v>-</v>
      </c>
      <c r="G3" s="956"/>
      <c r="H3" s="957"/>
    </row>
    <row r="5" spans="1:8" ht="15" thickBot="1" x14ac:dyDescent="0.35"/>
    <row r="6" spans="1:8" x14ac:dyDescent="0.3">
      <c r="C6" s="602" t="str">
        <f>template_label_b8_workforce_general_characteristics_type_of_contract&amp;" "&amp;template_label_always_to_be_reported</f>
        <v>B8 – Workforce – General characteristics - Type of contract [Always to be reported]</v>
      </c>
      <c r="D6" s="603"/>
      <c r="E6" s="603"/>
      <c r="F6" s="603"/>
      <c r="G6" s="604"/>
      <c r="H6"/>
    </row>
    <row r="7" spans="1:8" x14ac:dyDescent="0.3">
      <c r="C7" s="532" t="s">
        <v>3754</v>
      </c>
      <c r="D7" s="533"/>
      <c r="E7" s="533"/>
      <c r="F7" s="533"/>
      <c r="G7" s="534"/>
    </row>
    <row r="8" spans="1:8" x14ac:dyDescent="0.3">
      <c r="C8" s="647" t="s">
        <v>5656</v>
      </c>
      <c r="D8" s="968"/>
      <c r="E8" s="968"/>
      <c r="F8" s="968"/>
      <c r="G8" s="969"/>
    </row>
    <row r="9" spans="1:8" x14ac:dyDescent="0.3">
      <c r="C9" s="148" t="str">
        <f>template_label_type_of_contract</f>
        <v>Type of contract</v>
      </c>
      <c r="D9" s="970" t="str">
        <f>template_label_number_of_employees</f>
        <v>Number of employees</v>
      </c>
      <c r="E9" s="971"/>
      <c r="F9" s="971"/>
      <c r="G9" s="972"/>
      <c r="H9" s="149"/>
    </row>
    <row r="10" spans="1:8" x14ac:dyDescent="0.3">
      <c r="C10" s="150" t="str">
        <f>template_label_permanent_contract</f>
        <v>Permanent contract</v>
      </c>
      <c r="D10" s="961"/>
      <c r="E10" s="962"/>
      <c r="F10" s="962"/>
      <c r="G10" s="963"/>
      <c r="H10" s="15" t="str">
        <f>IF(
    AND(
        OR(
            'General Information'!E122="Option A (Basic Module only)",
            'General Information'!E122="Option B (Basic Module and Comprehensive Module)"
        ),
        D10=""
    ),
    template_label_missing_value,
    IF('General Information'!E122="",
        "",
        template_label_ok
    )
)</f>
        <v/>
      </c>
    </row>
    <row r="11" spans="1:8" x14ac:dyDescent="0.3">
      <c r="C11" s="150" t="str">
        <f>template_label_temporary_contract</f>
        <v>Temporary contract</v>
      </c>
      <c r="D11" s="973" t="str">
        <f>IFERROR(IF(D10="", "-", $D$12 - $D$10), "-")</f>
        <v>-</v>
      </c>
      <c r="E11" s="974"/>
      <c r="F11" s="974"/>
      <c r="G11" s="975"/>
      <c r="H11" s="15"/>
    </row>
    <row r="12" spans="1:8" ht="15" thickBot="1" x14ac:dyDescent="0.35">
      <c r="C12" s="151" t="str">
        <f>template_label_total_employees</f>
        <v>Total employees (linked to B1)</v>
      </c>
      <c r="D12" s="976" t="str">
        <f>IF('General Information'!$E$328="", "-", VALUE(SUBSTITUTE('General Information'!$E$328, "-", "0")))</f>
        <v>-</v>
      </c>
      <c r="E12" s="976"/>
      <c r="F12" s="976"/>
      <c r="G12" s="977"/>
      <c r="H12" s="17"/>
    </row>
    <row r="13" spans="1:8" ht="15" thickBot="1" x14ac:dyDescent="0.35"/>
    <row r="14" spans="1:8" x14ac:dyDescent="0.3">
      <c r="C14" s="602" t="str">
        <f>template_label_b8_workforce_general_characteristics_gender&amp;" "&amp;template_label_always_to_be_reported</f>
        <v>B8 – Workforce – General characteristics - Gender [Always to be reported]</v>
      </c>
      <c r="D14" s="603"/>
      <c r="E14" s="603"/>
      <c r="F14" s="603"/>
      <c r="G14" s="604"/>
      <c r="H14"/>
    </row>
    <row r="15" spans="1:8" x14ac:dyDescent="0.3">
      <c r="C15" s="532" t="s">
        <v>3755</v>
      </c>
      <c r="D15" s="533"/>
      <c r="E15" s="533"/>
      <c r="F15" s="533"/>
      <c r="G15" s="534"/>
    </row>
    <row r="16" spans="1:8" x14ac:dyDescent="0.3">
      <c r="C16" s="647" t="s">
        <v>5656</v>
      </c>
      <c r="D16" s="648"/>
      <c r="E16" s="648"/>
      <c r="F16" s="648"/>
      <c r="G16" s="649"/>
    </row>
    <row r="17" spans="3:22" x14ac:dyDescent="0.3">
      <c r="C17" s="152" t="str">
        <f>template_label_gender</f>
        <v>Gender</v>
      </c>
      <c r="D17" s="958" t="str">
        <f>template_label_number_of_employees</f>
        <v>Number of employees</v>
      </c>
      <c r="E17" s="959"/>
      <c r="F17" s="959"/>
      <c r="G17" s="960"/>
    </row>
    <row r="18" spans="3:22" x14ac:dyDescent="0.3">
      <c r="C18" s="153" t="str">
        <f>template_label_male</f>
        <v>Male</v>
      </c>
      <c r="D18" s="961"/>
      <c r="E18" s="962"/>
      <c r="F18" s="962"/>
      <c r="G18" s="963"/>
      <c r="H18" s="964"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
      </c>
      <c r="I18" s="948" t="str">
        <f>template_label_number_of_employees_warning</f>
        <v xml:space="preserve">ℹ️  Please make sure that the total number of employees is the same as the one provided in the "General Information" sheet cell E55
</v>
      </c>
      <c r="J18" s="948"/>
      <c r="K18" s="948"/>
      <c r="L18" s="948"/>
      <c r="M18" s="948"/>
    </row>
    <row r="19" spans="3:22" x14ac:dyDescent="0.3">
      <c r="C19" s="153" t="str">
        <f>template_label_female</f>
        <v>Female</v>
      </c>
      <c r="D19" s="961"/>
      <c r="E19" s="962"/>
      <c r="F19" s="962"/>
      <c r="G19" s="963"/>
      <c r="H19" s="964"/>
      <c r="I19" s="948"/>
      <c r="J19" s="948"/>
      <c r="K19" s="948"/>
      <c r="L19" s="948"/>
      <c r="M19" s="948"/>
    </row>
    <row r="20" spans="3:22" x14ac:dyDescent="0.3">
      <c r="C20" s="153" t="str">
        <f>template_label_other</f>
        <v>Other</v>
      </c>
      <c r="D20" s="961"/>
      <c r="E20" s="962"/>
      <c r="F20" s="962"/>
      <c r="G20" s="963"/>
      <c r="H20" s="964"/>
      <c r="I20" s="948"/>
      <c r="J20" s="948"/>
      <c r="K20" s="948"/>
      <c r="L20" s="948"/>
      <c r="M20" s="948"/>
    </row>
    <row r="21" spans="3:22" x14ac:dyDescent="0.3">
      <c r="C21" s="153" t="str">
        <f>template_label_not_reported</f>
        <v>Not reported</v>
      </c>
      <c r="D21" s="965"/>
      <c r="E21" s="966"/>
      <c r="F21" s="966"/>
      <c r="G21" s="967"/>
      <c r="H21" s="964"/>
      <c r="I21" s="948"/>
      <c r="J21" s="948"/>
      <c r="K21" s="948"/>
      <c r="L21" s="948"/>
      <c r="M21" s="948"/>
    </row>
    <row r="22" spans="3:22" ht="15" thickBot="1" x14ac:dyDescent="0.35">
      <c r="C22" s="151" t="str">
        <f>template_label_total_employees</f>
        <v>Total employees (linked to B1)</v>
      </c>
      <c r="D22" s="976" t="str">
        <f>IF('General Information'!$E$328="","-",'General Information'!$E$328)</f>
        <v>-</v>
      </c>
      <c r="E22" s="976"/>
      <c r="F22" s="976"/>
      <c r="G22" s="977"/>
      <c r="H22" s="18"/>
    </row>
    <row r="23" spans="3:22" ht="15" thickBot="1" x14ac:dyDescent="0.35"/>
    <row r="24" spans="3:22" x14ac:dyDescent="0.3">
      <c r="C24" s="978" t="str">
        <f>template_label_b8_workforce_general_characteristics_country_of_employment&amp;" "&amp;template_label_if_applicable</f>
        <v>B8 – Workforce – General characteristics - Country of employment [If applicable]</v>
      </c>
      <c r="D24" s="979"/>
      <c r="E24" s="979"/>
      <c r="F24" s="979"/>
      <c r="G24" s="979"/>
      <c r="H24" s="980"/>
    </row>
    <row r="25" spans="3:22" x14ac:dyDescent="0.3">
      <c r="C25" s="750" t="s">
        <v>3756</v>
      </c>
      <c r="D25" s="751"/>
      <c r="E25" s="751"/>
      <c r="F25" s="751"/>
      <c r="G25" s="751"/>
      <c r="H25" s="752"/>
    </row>
    <row r="26" spans="3:22" x14ac:dyDescent="0.3">
      <c r="C26" s="775" t="s">
        <v>5656</v>
      </c>
      <c r="D26" s="776"/>
      <c r="E26" s="776"/>
      <c r="F26" s="776"/>
      <c r="G26" s="776"/>
      <c r="H26" s="843"/>
    </row>
    <row r="27" spans="3:22" x14ac:dyDescent="0.3">
      <c r="C27" s="985" t="str">
        <f>template_label_undertaking_operating_in_more_than_one_country</f>
        <v>Does the undertaking operate in more than one country?</v>
      </c>
      <c r="D27" s="986"/>
      <c r="E27" s="656" t="b">
        <v>0</v>
      </c>
      <c r="F27" s="657"/>
      <c r="G27" s="657"/>
      <c r="H27" s="658"/>
    </row>
    <row r="28" spans="3:22" x14ac:dyDescent="0.3">
      <c r="C28" s="981" t="str">
        <f>template_label_country_of_employment_contract</f>
        <v>Country of employment contract</v>
      </c>
      <c r="D28" s="982"/>
      <c r="E28" s="983" t="str">
        <f>template_label_number_of_employees</f>
        <v>Number of employees</v>
      </c>
      <c r="F28" s="983"/>
      <c r="G28" s="983"/>
      <c r="H28" s="984"/>
    </row>
    <row r="29" spans="3:22" ht="14.55" customHeight="1" x14ac:dyDescent="0.3">
      <c r="C29" s="946"/>
      <c r="D29" s="947"/>
      <c r="E29" s="944"/>
      <c r="F29" s="944"/>
      <c r="G29" s="944"/>
      <c r="H29" s="945"/>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949" t="str">
        <f>template_label_number_of_employees_warning</f>
        <v xml:space="preserve">ℹ️  Please make sure that the total number of employees is the same as the one provided in the "General Information" sheet cell E55
</v>
      </c>
      <c r="K29" s="949"/>
      <c r="L29" s="949"/>
      <c r="M29" s="949"/>
      <c r="N29" s="949"/>
      <c r="O29" s="949"/>
      <c r="P29" s="949"/>
      <c r="Q29" s="949"/>
      <c r="R29" s="949"/>
      <c r="S29" s="949"/>
      <c r="T29" s="949"/>
      <c r="U29" s="949"/>
      <c r="V29" s="949"/>
    </row>
    <row r="30" spans="3:22" x14ac:dyDescent="0.3">
      <c r="C30" s="946"/>
      <c r="D30" s="947"/>
      <c r="E30" s="944"/>
      <c r="F30" s="944"/>
      <c r="G30" s="944"/>
      <c r="H30" s="945"/>
      <c r="I30" s="15" t="str">
        <f t="shared" si="0"/>
        <v/>
      </c>
      <c r="J30" s="949"/>
      <c r="K30" s="949"/>
      <c r="L30" s="949"/>
      <c r="M30" s="949"/>
      <c r="N30" s="949"/>
      <c r="O30" s="949"/>
      <c r="P30" s="949"/>
      <c r="Q30" s="949"/>
      <c r="R30" s="949"/>
      <c r="S30" s="949"/>
      <c r="T30" s="949"/>
      <c r="U30" s="949"/>
      <c r="V30" s="949"/>
    </row>
    <row r="31" spans="3:22" x14ac:dyDescent="0.3">
      <c r="C31" s="946"/>
      <c r="D31" s="947"/>
      <c r="E31" s="944"/>
      <c r="F31" s="944"/>
      <c r="G31" s="944"/>
      <c r="H31" s="945"/>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46"/>
      <c r="D32" s="947"/>
      <c r="E32" s="944"/>
      <c r="F32" s="944"/>
      <c r="G32" s="944"/>
      <c r="H32" s="945"/>
      <c r="I32" s="15" t="str">
        <f t="shared" si="0"/>
        <v/>
      </c>
    </row>
    <row r="33" spans="3:9" hidden="1" outlineLevel="1" x14ac:dyDescent="0.3">
      <c r="C33" s="946"/>
      <c r="D33" s="947"/>
      <c r="E33" s="944"/>
      <c r="F33" s="944"/>
      <c r="G33" s="944"/>
      <c r="H33" s="945"/>
      <c r="I33" s="15" t="str">
        <f t="shared" si="0"/>
        <v/>
      </c>
    </row>
    <row r="34" spans="3:9" hidden="1" outlineLevel="1" x14ac:dyDescent="0.3">
      <c r="C34" s="946"/>
      <c r="D34" s="947"/>
      <c r="E34" s="944"/>
      <c r="F34" s="944"/>
      <c r="G34" s="944"/>
      <c r="H34" s="945"/>
      <c r="I34" s="15" t="str">
        <f t="shared" si="0"/>
        <v/>
      </c>
    </row>
    <row r="35" spans="3:9" hidden="1" outlineLevel="1" x14ac:dyDescent="0.3">
      <c r="C35" s="946"/>
      <c r="D35" s="947"/>
      <c r="E35" s="944"/>
      <c r="F35" s="944"/>
      <c r="G35" s="944"/>
      <c r="H35" s="945"/>
      <c r="I35" s="15" t="str">
        <f t="shared" si="0"/>
        <v/>
      </c>
    </row>
    <row r="36" spans="3:9" hidden="1" outlineLevel="1" x14ac:dyDescent="0.3">
      <c r="C36" s="946"/>
      <c r="D36" s="947"/>
      <c r="E36" s="944"/>
      <c r="F36" s="944"/>
      <c r="G36" s="944"/>
      <c r="H36" s="945"/>
      <c r="I36" s="15" t="str">
        <f t="shared" si="0"/>
        <v/>
      </c>
    </row>
    <row r="37" spans="3:9" hidden="1" outlineLevel="1" x14ac:dyDescent="0.3">
      <c r="C37" s="946"/>
      <c r="D37" s="947"/>
      <c r="E37" s="944"/>
      <c r="F37" s="944"/>
      <c r="G37" s="944"/>
      <c r="H37" s="945"/>
      <c r="I37" s="15" t="str">
        <f t="shared" si="0"/>
        <v/>
      </c>
    </row>
    <row r="38" spans="3:9" hidden="1" outlineLevel="1" x14ac:dyDescent="0.3">
      <c r="C38" s="946"/>
      <c r="D38" s="947"/>
      <c r="E38" s="944"/>
      <c r="F38" s="944"/>
      <c r="G38" s="944"/>
      <c r="H38" s="945"/>
      <c r="I38" s="15" t="str">
        <f t="shared" si="0"/>
        <v/>
      </c>
    </row>
    <row r="39" spans="3:9" hidden="1" outlineLevel="1" x14ac:dyDescent="0.3">
      <c r="C39" s="946"/>
      <c r="D39" s="947"/>
      <c r="E39" s="944"/>
      <c r="F39" s="944"/>
      <c r="G39" s="944"/>
      <c r="H39" s="945"/>
      <c r="I39" s="15" t="str">
        <f t="shared" si="0"/>
        <v/>
      </c>
    </row>
    <row r="40" spans="3:9" hidden="1" outlineLevel="1" x14ac:dyDescent="0.3">
      <c r="C40" s="946"/>
      <c r="D40" s="947"/>
      <c r="E40" s="944"/>
      <c r="F40" s="944"/>
      <c r="G40" s="944"/>
      <c r="H40" s="945"/>
      <c r="I40" s="15" t="str">
        <f t="shared" si="0"/>
        <v/>
      </c>
    </row>
    <row r="41" spans="3:9" hidden="1" outlineLevel="1" x14ac:dyDescent="0.3">
      <c r="C41" s="946"/>
      <c r="D41" s="947"/>
      <c r="E41" s="944"/>
      <c r="F41" s="944"/>
      <c r="G41" s="944"/>
      <c r="H41" s="945"/>
      <c r="I41" s="15" t="str">
        <f t="shared" si="0"/>
        <v/>
      </c>
    </row>
    <row r="42" spans="3:9" hidden="1" outlineLevel="1" x14ac:dyDescent="0.3">
      <c r="C42" s="946"/>
      <c r="D42" s="947"/>
      <c r="E42" s="944"/>
      <c r="F42" s="944"/>
      <c r="G42" s="944"/>
      <c r="H42" s="945"/>
      <c r="I42" s="15" t="str">
        <f t="shared" si="0"/>
        <v/>
      </c>
    </row>
    <row r="43" spans="3:9" hidden="1" outlineLevel="1" x14ac:dyDescent="0.3">
      <c r="C43" s="946"/>
      <c r="D43" s="947"/>
      <c r="E43" s="944"/>
      <c r="F43" s="944"/>
      <c r="G43" s="944"/>
      <c r="H43" s="945"/>
      <c r="I43" s="15" t="str">
        <f t="shared" si="0"/>
        <v/>
      </c>
    </row>
    <row r="44" spans="3:9" hidden="1" outlineLevel="1" x14ac:dyDescent="0.3">
      <c r="C44" s="946"/>
      <c r="D44" s="947"/>
      <c r="E44" s="944"/>
      <c r="F44" s="944"/>
      <c r="G44" s="944"/>
      <c r="H44" s="945"/>
      <c r="I44" s="15" t="str">
        <f t="shared" si="0"/>
        <v/>
      </c>
    </row>
    <row r="45" spans="3:9" hidden="1" outlineLevel="1" x14ac:dyDescent="0.3">
      <c r="C45" s="946"/>
      <c r="D45" s="947"/>
      <c r="E45" s="944"/>
      <c r="F45" s="944"/>
      <c r="G45" s="944"/>
      <c r="H45" s="945"/>
      <c r="I45" s="15" t="str">
        <f t="shared" si="0"/>
        <v/>
      </c>
    </row>
    <row r="46" spans="3:9" hidden="1" outlineLevel="1" x14ac:dyDescent="0.3">
      <c r="C46" s="946"/>
      <c r="D46" s="947"/>
      <c r="E46" s="944"/>
      <c r="F46" s="944"/>
      <c r="G46" s="944"/>
      <c r="H46" s="945"/>
      <c r="I46" s="15" t="str">
        <f t="shared" si="0"/>
        <v/>
      </c>
    </row>
    <row r="47" spans="3:9" hidden="1" outlineLevel="1" x14ac:dyDescent="0.3">
      <c r="C47" s="946"/>
      <c r="D47" s="947"/>
      <c r="E47" s="944"/>
      <c r="F47" s="944"/>
      <c r="G47" s="944"/>
      <c r="H47" s="945"/>
      <c r="I47" s="15" t="str">
        <f t="shared" si="0"/>
        <v/>
      </c>
    </row>
    <row r="48" spans="3:9" hidden="1" outlineLevel="1" x14ac:dyDescent="0.3">
      <c r="C48" s="946"/>
      <c r="D48" s="947"/>
      <c r="E48" s="944"/>
      <c r="F48" s="944"/>
      <c r="G48" s="944"/>
      <c r="H48" s="945"/>
      <c r="I48" s="15" t="str">
        <f t="shared" si="0"/>
        <v/>
      </c>
    </row>
    <row r="49" spans="3:9" hidden="1" outlineLevel="1" x14ac:dyDescent="0.3">
      <c r="C49" s="946"/>
      <c r="D49" s="947"/>
      <c r="E49" s="944"/>
      <c r="F49" s="944"/>
      <c r="G49" s="944"/>
      <c r="H49" s="945"/>
      <c r="I49" s="15" t="str">
        <f t="shared" si="0"/>
        <v/>
      </c>
    </row>
    <row r="50" spans="3:9" hidden="1" outlineLevel="1" x14ac:dyDescent="0.3">
      <c r="C50" s="946"/>
      <c r="D50" s="947"/>
      <c r="E50" s="944"/>
      <c r="F50" s="944"/>
      <c r="G50" s="944"/>
      <c r="H50" s="945"/>
      <c r="I50" s="15" t="str">
        <f t="shared" si="0"/>
        <v/>
      </c>
    </row>
    <row r="51" spans="3:9" hidden="1" outlineLevel="1" x14ac:dyDescent="0.3">
      <c r="C51" s="946"/>
      <c r="D51" s="947"/>
      <c r="E51" s="944"/>
      <c r="F51" s="944"/>
      <c r="G51" s="944"/>
      <c r="H51" s="945"/>
      <c r="I51" s="15" t="str">
        <f t="shared" si="0"/>
        <v/>
      </c>
    </row>
    <row r="52" spans="3:9" hidden="1" outlineLevel="1" x14ac:dyDescent="0.3">
      <c r="C52" s="946"/>
      <c r="D52" s="947"/>
      <c r="E52" s="944"/>
      <c r="F52" s="944"/>
      <c r="G52" s="944"/>
      <c r="H52" s="945"/>
      <c r="I52" s="15" t="str">
        <f t="shared" si="0"/>
        <v/>
      </c>
    </row>
    <row r="53" spans="3:9" hidden="1" outlineLevel="1" x14ac:dyDescent="0.3">
      <c r="C53" s="946"/>
      <c r="D53" s="947"/>
      <c r="E53" s="944"/>
      <c r="F53" s="944"/>
      <c r="G53" s="944"/>
      <c r="H53" s="945"/>
      <c r="I53" s="15" t="str">
        <f t="shared" si="0"/>
        <v/>
      </c>
    </row>
    <row r="54" spans="3:9" hidden="1" outlineLevel="1" x14ac:dyDescent="0.3">
      <c r="C54" s="946"/>
      <c r="D54" s="947"/>
      <c r="E54" s="944"/>
      <c r="F54" s="944"/>
      <c r="G54" s="944"/>
      <c r="H54" s="945"/>
      <c r="I54" s="15" t="str">
        <f t="shared" si="0"/>
        <v/>
      </c>
    </row>
    <row r="55" spans="3:9" hidden="1" outlineLevel="1" x14ac:dyDescent="0.3">
      <c r="C55" s="946"/>
      <c r="D55" s="947"/>
      <c r="E55" s="944"/>
      <c r="F55" s="944"/>
      <c r="G55" s="944"/>
      <c r="H55" s="945"/>
      <c r="I55" s="15" t="str">
        <f t="shared" si="0"/>
        <v/>
      </c>
    </row>
    <row r="56" spans="3:9" hidden="1" outlineLevel="1" x14ac:dyDescent="0.3">
      <c r="C56" s="946"/>
      <c r="D56" s="947"/>
      <c r="E56" s="944"/>
      <c r="F56" s="944"/>
      <c r="G56" s="944"/>
      <c r="H56" s="945"/>
      <c r="I56" s="15" t="str">
        <f t="shared" si="0"/>
        <v/>
      </c>
    </row>
    <row r="57" spans="3:9" hidden="1" outlineLevel="1" x14ac:dyDescent="0.3">
      <c r="C57" s="946"/>
      <c r="D57" s="947"/>
      <c r="E57" s="944"/>
      <c r="F57" s="944"/>
      <c r="G57" s="944"/>
      <c r="H57" s="945"/>
      <c r="I57" s="15" t="str">
        <f t="shared" si="0"/>
        <v/>
      </c>
    </row>
    <row r="58" spans="3:9" hidden="1" outlineLevel="1" x14ac:dyDescent="0.3">
      <c r="C58" s="946"/>
      <c r="D58" s="947"/>
      <c r="E58" s="944"/>
      <c r="F58" s="944"/>
      <c r="G58" s="944"/>
      <c r="H58" s="945"/>
      <c r="I58" s="15" t="str">
        <f t="shared" si="0"/>
        <v/>
      </c>
    </row>
    <row r="59" spans="3:9" hidden="1" outlineLevel="1" x14ac:dyDescent="0.3">
      <c r="C59" s="946"/>
      <c r="D59" s="947"/>
      <c r="E59" s="944"/>
      <c r="F59" s="944"/>
      <c r="G59" s="944"/>
      <c r="H59" s="945"/>
      <c r="I59" s="15" t="str">
        <f t="shared" si="0"/>
        <v/>
      </c>
    </row>
    <row r="60" spans="3:9" hidden="1" outlineLevel="1" x14ac:dyDescent="0.3">
      <c r="C60" s="946"/>
      <c r="D60" s="947"/>
      <c r="E60" s="944"/>
      <c r="F60" s="944"/>
      <c r="G60" s="944"/>
      <c r="H60" s="945"/>
      <c r="I60" s="15" t="str">
        <f t="shared" si="0"/>
        <v/>
      </c>
    </row>
    <row r="61" spans="3:9" hidden="1" outlineLevel="1" x14ac:dyDescent="0.3">
      <c r="C61" s="946"/>
      <c r="D61" s="947"/>
      <c r="E61" s="944"/>
      <c r="F61" s="944"/>
      <c r="G61" s="944"/>
      <c r="H61" s="945"/>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46"/>
      <c r="D62" s="947"/>
      <c r="E62" s="944"/>
      <c r="F62" s="944"/>
      <c r="G62" s="944"/>
      <c r="H62" s="945"/>
      <c r="I62" s="15" t="str">
        <f t="shared" si="1"/>
        <v/>
      </c>
    </row>
    <row r="63" spans="3:9" hidden="1" outlineLevel="1" x14ac:dyDescent="0.3">
      <c r="C63" s="946"/>
      <c r="D63" s="947"/>
      <c r="E63" s="944"/>
      <c r="F63" s="944"/>
      <c r="G63" s="944"/>
      <c r="H63" s="945"/>
      <c r="I63" s="15" t="str">
        <f t="shared" si="1"/>
        <v/>
      </c>
    </row>
    <row r="64" spans="3:9" hidden="1" outlineLevel="1" x14ac:dyDescent="0.3">
      <c r="C64" s="946"/>
      <c r="D64" s="947"/>
      <c r="E64" s="944"/>
      <c r="F64" s="944"/>
      <c r="G64" s="944"/>
      <c r="H64" s="945"/>
      <c r="I64" s="15" t="str">
        <f t="shared" si="1"/>
        <v/>
      </c>
    </row>
    <row r="65" spans="3:9" hidden="1" outlineLevel="1" x14ac:dyDescent="0.3">
      <c r="C65" s="946"/>
      <c r="D65" s="947"/>
      <c r="E65" s="944"/>
      <c r="F65" s="944"/>
      <c r="G65" s="944"/>
      <c r="H65" s="945"/>
      <c r="I65" s="15" t="str">
        <f t="shared" si="1"/>
        <v/>
      </c>
    </row>
    <row r="66" spans="3:9" hidden="1" outlineLevel="1" x14ac:dyDescent="0.3">
      <c r="C66" s="946"/>
      <c r="D66" s="947"/>
      <c r="E66" s="944"/>
      <c r="F66" s="944"/>
      <c r="G66" s="944"/>
      <c r="H66" s="945"/>
      <c r="I66" s="15" t="str">
        <f t="shared" si="1"/>
        <v/>
      </c>
    </row>
    <row r="67" spans="3:9" hidden="1" outlineLevel="1" x14ac:dyDescent="0.3">
      <c r="C67" s="946"/>
      <c r="D67" s="947"/>
      <c r="E67" s="944"/>
      <c r="F67" s="944"/>
      <c r="G67" s="944"/>
      <c r="H67" s="945"/>
      <c r="I67" s="15" t="str">
        <f t="shared" si="1"/>
        <v/>
      </c>
    </row>
    <row r="68" spans="3:9" hidden="1" outlineLevel="1" x14ac:dyDescent="0.3">
      <c r="C68" s="946"/>
      <c r="D68" s="947"/>
      <c r="E68" s="944"/>
      <c r="F68" s="944"/>
      <c r="G68" s="944"/>
      <c r="H68" s="945"/>
      <c r="I68" s="15" t="str">
        <f t="shared" si="1"/>
        <v/>
      </c>
    </row>
    <row r="69" spans="3:9" hidden="1" outlineLevel="1" x14ac:dyDescent="0.3">
      <c r="C69" s="946"/>
      <c r="D69" s="947"/>
      <c r="E69" s="944"/>
      <c r="F69" s="944"/>
      <c r="G69" s="944"/>
      <c r="H69" s="945"/>
      <c r="I69" s="15" t="str">
        <f t="shared" si="1"/>
        <v/>
      </c>
    </row>
    <row r="70" spans="3:9" hidden="1" outlineLevel="1" x14ac:dyDescent="0.3">
      <c r="C70" s="946"/>
      <c r="D70" s="947"/>
      <c r="E70" s="944"/>
      <c r="F70" s="944"/>
      <c r="G70" s="944"/>
      <c r="H70" s="945"/>
      <c r="I70" s="15" t="str">
        <f t="shared" si="1"/>
        <v/>
      </c>
    </row>
    <row r="71" spans="3:9" hidden="1" outlineLevel="1" x14ac:dyDescent="0.3">
      <c r="C71" s="946"/>
      <c r="D71" s="947"/>
      <c r="E71" s="944"/>
      <c r="F71" s="944"/>
      <c r="G71" s="944"/>
      <c r="H71" s="945"/>
      <c r="I71" s="15" t="str">
        <f t="shared" si="1"/>
        <v/>
      </c>
    </row>
    <row r="72" spans="3:9" hidden="1" outlineLevel="1" x14ac:dyDescent="0.3">
      <c r="C72" s="946"/>
      <c r="D72" s="947"/>
      <c r="E72" s="944"/>
      <c r="F72" s="944"/>
      <c r="G72" s="944"/>
      <c r="H72" s="945"/>
      <c r="I72" s="15" t="str">
        <f t="shared" si="1"/>
        <v/>
      </c>
    </row>
    <row r="73" spans="3:9" hidden="1" outlineLevel="1" x14ac:dyDescent="0.3">
      <c r="C73" s="946"/>
      <c r="D73" s="947"/>
      <c r="E73" s="944"/>
      <c r="F73" s="944"/>
      <c r="G73" s="944"/>
      <c r="H73" s="945"/>
      <c r="I73" s="15" t="str">
        <f t="shared" si="1"/>
        <v/>
      </c>
    </row>
    <row r="74" spans="3:9" hidden="1" outlineLevel="1" x14ac:dyDescent="0.3">
      <c r="C74" s="946"/>
      <c r="D74" s="947"/>
      <c r="E74" s="944"/>
      <c r="F74" s="944"/>
      <c r="G74" s="944"/>
      <c r="H74" s="945"/>
      <c r="I74" s="15" t="str">
        <f t="shared" si="1"/>
        <v/>
      </c>
    </row>
    <row r="75" spans="3:9" hidden="1" outlineLevel="1" x14ac:dyDescent="0.3">
      <c r="C75" s="946"/>
      <c r="D75" s="947"/>
      <c r="E75" s="944"/>
      <c r="F75" s="944"/>
      <c r="G75" s="944"/>
      <c r="H75" s="945"/>
      <c r="I75" s="15" t="str">
        <f t="shared" si="1"/>
        <v/>
      </c>
    </row>
    <row r="76" spans="3:9" hidden="1" outlineLevel="1" x14ac:dyDescent="0.3">
      <c r="C76" s="946"/>
      <c r="D76" s="947"/>
      <c r="E76" s="944"/>
      <c r="F76" s="944"/>
      <c r="G76" s="944"/>
      <c r="H76" s="945"/>
      <c r="I76" s="15" t="str">
        <f t="shared" si="1"/>
        <v/>
      </c>
    </row>
    <row r="77" spans="3:9" hidden="1" outlineLevel="1" x14ac:dyDescent="0.3">
      <c r="C77" s="946"/>
      <c r="D77" s="947"/>
      <c r="E77" s="944"/>
      <c r="F77" s="944"/>
      <c r="G77" s="944"/>
      <c r="H77" s="945"/>
      <c r="I77" s="15" t="str">
        <f t="shared" si="1"/>
        <v/>
      </c>
    </row>
    <row r="78" spans="3:9" hidden="1" outlineLevel="1" x14ac:dyDescent="0.3">
      <c r="C78" s="946"/>
      <c r="D78" s="947"/>
      <c r="E78" s="944"/>
      <c r="F78" s="944"/>
      <c r="G78" s="944"/>
      <c r="H78" s="945"/>
      <c r="I78" s="15" t="str">
        <f t="shared" si="1"/>
        <v/>
      </c>
    </row>
    <row r="79" spans="3:9" hidden="1" outlineLevel="1" x14ac:dyDescent="0.3">
      <c r="C79" s="946"/>
      <c r="D79" s="947"/>
      <c r="E79" s="944"/>
      <c r="F79" s="944"/>
      <c r="G79" s="944"/>
      <c r="H79" s="945"/>
      <c r="I79" s="15" t="str">
        <f t="shared" si="1"/>
        <v/>
      </c>
    </row>
    <row r="80" spans="3:9" hidden="1" outlineLevel="1" x14ac:dyDescent="0.3">
      <c r="C80" s="946"/>
      <c r="D80" s="947"/>
      <c r="E80" s="944"/>
      <c r="F80" s="944"/>
      <c r="G80" s="944"/>
      <c r="H80" s="945"/>
      <c r="I80" s="15" t="str">
        <f t="shared" si="1"/>
        <v/>
      </c>
    </row>
    <row r="81" spans="3:9" hidden="1" outlineLevel="1" x14ac:dyDescent="0.3">
      <c r="C81" s="946"/>
      <c r="D81" s="947"/>
      <c r="E81" s="944"/>
      <c r="F81" s="944"/>
      <c r="G81" s="944"/>
      <c r="H81" s="945"/>
      <c r="I81" s="15" t="str">
        <f t="shared" si="1"/>
        <v/>
      </c>
    </row>
    <row r="82" spans="3:9" hidden="1" outlineLevel="1" x14ac:dyDescent="0.3">
      <c r="C82" s="946"/>
      <c r="D82" s="947"/>
      <c r="E82" s="944"/>
      <c r="F82" s="944"/>
      <c r="G82" s="944"/>
      <c r="H82" s="945"/>
      <c r="I82" s="15" t="str">
        <f t="shared" si="1"/>
        <v/>
      </c>
    </row>
    <row r="83" spans="3:9" hidden="1" outlineLevel="1" x14ac:dyDescent="0.3">
      <c r="C83" s="946"/>
      <c r="D83" s="947"/>
      <c r="E83" s="944"/>
      <c r="F83" s="944"/>
      <c r="G83" s="944"/>
      <c r="H83" s="945"/>
      <c r="I83" s="15" t="str">
        <f t="shared" si="1"/>
        <v/>
      </c>
    </row>
    <row r="84" spans="3:9" hidden="1" outlineLevel="1" x14ac:dyDescent="0.3">
      <c r="C84" s="946"/>
      <c r="D84" s="947"/>
      <c r="E84" s="944"/>
      <c r="F84" s="944"/>
      <c r="G84" s="944"/>
      <c r="H84" s="945"/>
      <c r="I84" s="15" t="str">
        <f t="shared" si="1"/>
        <v/>
      </c>
    </row>
    <row r="85" spans="3:9" hidden="1" outlineLevel="1" x14ac:dyDescent="0.3">
      <c r="C85" s="946"/>
      <c r="D85" s="947"/>
      <c r="E85" s="944"/>
      <c r="F85" s="944"/>
      <c r="G85" s="944"/>
      <c r="H85" s="945"/>
      <c r="I85" s="15" t="str">
        <f t="shared" si="1"/>
        <v/>
      </c>
    </row>
    <row r="86" spans="3:9" hidden="1" outlineLevel="1" x14ac:dyDescent="0.3">
      <c r="C86" s="946"/>
      <c r="D86" s="947"/>
      <c r="E86" s="944"/>
      <c r="F86" s="944"/>
      <c r="G86" s="944"/>
      <c r="H86" s="945"/>
      <c r="I86" s="15" t="str">
        <f t="shared" si="1"/>
        <v/>
      </c>
    </row>
    <row r="87" spans="3:9" hidden="1" outlineLevel="1" x14ac:dyDescent="0.3">
      <c r="C87" s="946"/>
      <c r="D87" s="947"/>
      <c r="E87" s="944"/>
      <c r="F87" s="944"/>
      <c r="G87" s="944"/>
      <c r="H87" s="945"/>
      <c r="I87" s="15" t="str">
        <f t="shared" si="1"/>
        <v/>
      </c>
    </row>
    <row r="88" spans="3:9" hidden="1" outlineLevel="1" x14ac:dyDescent="0.3">
      <c r="C88" s="946"/>
      <c r="D88" s="947"/>
      <c r="E88" s="944"/>
      <c r="F88" s="944"/>
      <c r="G88" s="944"/>
      <c r="H88" s="945"/>
      <c r="I88" s="15" t="str">
        <f t="shared" si="1"/>
        <v/>
      </c>
    </row>
    <row r="89" spans="3:9" hidden="1" outlineLevel="1" x14ac:dyDescent="0.3">
      <c r="C89" s="946"/>
      <c r="D89" s="947"/>
      <c r="E89" s="944"/>
      <c r="F89" s="944"/>
      <c r="G89" s="944"/>
      <c r="H89" s="945"/>
      <c r="I89" s="15" t="str">
        <f t="shared" si="1"/>
        <v/>
      </c>
    </row>
    <row r="90" spans="3:9" hidden="1" outlineLevel="1" x14ac:dyDescent="0.3">
      <c r="C90" s="946"/>
      <c r="D90" s="947"/>
      <c r="E90" s="944"/>
      <c r="F90" s="944"/>
      <c r="G90" s="944"/>
      <c r="H90" s="945"/>
      <c r="I90" s="15" t="str">
        <f t="shared" si="1"/>
        <v/>
      </c>
    </row>
    <row r="91" spans="3:9" hidden="1" outlineLevel="1" x14ac:dyDescent="0.3">
      <c r="C91" s="946"/>
      <c r="D91" s="947"/>
      <c r="E91" s="944"/>
      <c r="F91" s="944"/>
      <c r="G91" s="944"/>
      <c r="H91" s="945"/>
      <c r="I91" s="15" t="str">
        <f t="shared" si="1"/>
        <v/>
      </c>
    </row>
    <row r="92" spans="3:9" hidden="1" outlineLevel="1" x14ac:dyDescent="0.3">
      <c r="C92" s="946"/>
      <c r="D92" s="947"/>
      <c r="E92" s="944"/>
      <c r="F92" s="944"/>
      <c r="G92" s="944"/>
      <c r="H92" s="945"/>
      <c r="I92" s="15" t="str">
        <f t="shared" si="1"/>
        <v/>
      </c>
    </row>
    <row r="93" spans="3:9" hidden="1" outlineLevel="1" x14ac:dyDescent="0.3">
      <c r="C93" s="946"/>
      <c r="D93" s="947"/>
      <c r="E93" s="944"/>
      <c r="F93" s="944"/>
      <c r="G93" s="944"/>
      <c r="H93" s="945"/>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46"/>
      <c r="D94" s="947"/>
      <c r="E94" s="944"/>
      <c r="F94" s="944"/>
      <c r="G94" s="944"/>
      <c r="H94" s="945"/>
      <c r="I94" s="15" t="str">
        <f t="shared" si="2"/>
        <v/>
      </c>
    </row>
    <row r="95" spans="3:9" hidden="1" outlineLevel="1" x14ac:dyDescent="0.3">
      <c r="C95" s="946"/>
      <c r="D95" s="947"/>
      <c r="E95" s="944"/>
      <c r="F95" s="944"/>
      <c r="G95" s="944"/>
      <c r="H95" s="945"/>
      <c r="I95" s="15" t="str">
        <f t="shared" si="2"/>
        <v/>
      </c>
    </row>
    <row r="96" spans="3:9" hidden="1" outlineLevel="1" x14ac:dyDescent="0.3">
      <c r="C96" s="946"/>
      <c r="D96" s="947"/>
      <c r="E96" s="944"/>
      <c r="F96" s="944"/>
      <c r="G96" s="944"/>
      <c r="H96" s="945"/>
      <c r="I96" s="15" t="str">
        <f t="shared" si="2"/>
        <v/>
      </c>
    </row>
    <row r="97" spans="3:9" hidden="1" outlineLevel="1" x14ac:dyDescent="0.3">
      <c r="C97" s="946"/>
      <c r="D97" s="947"/>
      <c r="E97" s="944"/>
      <c r="F97" s="944"/>
      <c r="G97" s="944"/>
      <c r="H97" s="945"/>
      <c r="I97" s="15" t="str">
        <f t="shared" si="2"/>
        <v/>
      </c>
    </row>
    <row r="98" spans="3:9" hidden="1" outlineLevel="1" x14ac:dyDescent="0.3">
      <c r="C98" s="946"/>
      <c r="D98" s="947"/>
      <c r="E98" s="944"/>
      <c r="F98" s="944"/>
      <c r="G98" s="944"/>
      <c r="H98" s="945"/>
      <c r="I98" s="15" t="str">
        <f t="shared" si="2"/>
        <v/>
      </c>
    </row>
    <row r="99" spans="3:9" hidden="1" outlineLevel="1" x14ac:dyDescent="0.3">
      <c r="C99" s="946"/>
      <c r="D99" s="947"/>
      <c r="E99" s="944"/>
      <c r="F99" s="944"/>
      <c r="G99" s="944"/>
      <c r="H99" s="945"/>
      <c r="I99" s="15" t="str">
        <f t="shared" si="2"/>
        <v/>
      </c>
    </row>
    <row r="100" spans="3:9" hidden="1" outlineLevel="1" x14ac:dyDescent="0.3">
      <c r="C100" s="946"/>
      <c r="D100" s="947"/>
      <c r="E100" s="944"/>
      <c r="F100" s="944"/>
      <c r="G100" s="944"/>
      <c r="H100" s="945"/>
      <c r="I100" s="15" t="str">
        <f t="shared" si="2"/>
        <v/>
      </c>
    </row>
    <row r="101" spans="3:9" hidden="1" outlineLevel="1" x14ac:dyDescent="0.3">
      <c r="C101" s="946"/>
      <c r="D101" s="947"/>
      <c r="E101" s="944"/>
      <c r="F101" s="944"/>
      <c r="G101" s="944"/>
      <c r="H101" s="945"/>
      <c r="I101" s="15" t="str">
        <f t="shared" si="2"/>
        <v/>
      </c>
    </row>
    <row r="102" spans="3:9" hidden="1" outlineLevel="1" x14ac:dyDescent="0.3">
      <c r="C102" s="946"/>
      <c r="D102" s="947"/>
      <c r="E102" s="944"/>
      <c r="F102" s="944"/>
      <c r="G102" s="944"/>
      <c r="H102" s="945"/>
      <c r="I102" s="15" t="str">
        <f t="shared" si="2"/>
        <v/>
      </c>
    </row>
    <row r="103" spans="3:9" hidden="1" outlineLevel="1" x14ac:dyDescent="0.3">
      <c r="C103" s="946"/>
      <c r="D103" s="947"/>
      <c r="E103" s="944"/>
      <c r="F103" s="944"/>
      <c r="G103" s="944"/>
      <c r="H103" s="945"/>
      <c r="I103" s="15" t="str">
        <f t="shared" si="2"/>
        <v/>
      </c>
    </row>
    <row r="104" spans="3:9" hidden="1" outlineLevel="1" x14ac:dyDescent="0.3">
      <c r="C104" s="946"/>
      <c r="D104" s="947"/>
      <c r="E104" s="944"/>
      <c r="F104" s="944"/>
      <c r="G104" s="944"/>
      <c r="H104" s="945"/>
      <c r="I104" s="15" t="str">
        <f t="shared" si="2"/>
        <v/>
      </c>
    </row>
    <row r="105" spans="3:9" hidden="1" outlineLevel="1" x14ac:dyDescent="0.3">
      <c r="C105" s="946"/>
      <c r="D105" s="947"/>
      <c r="E105" s="944"/>
      <c r="F105" s="944"/>
      <c r="G105" s="944"/>
      <c r="H105" s="945"/>
      <c r="I105" s="15" t="str">
        <f t="shared" si="2"/>
        <v/>
      </c>
    </row>
    <row r="106" spans="3:9" hidden="1" outlineLevel="1" x14ac:dyDescent="0.3">
      <c r="C106" s="946"/>
      <c r="D106" s="947"/>
      <c r="E106" s="944"/>
      <c r="F106" s="944"/>
      <c r="G106" s="944"/>
      <c r="H106" s="945"/>
      <c r="I106" s="15" t="str">
        <f t="shared" si="2"/>
        <v/>
      </c>
    </row>
    <row r="107" spans="3:9" hidden="1" outlineLevel="1" x14ac:dyDescent="0.3">
      <c r="C107" s="946"/>
      <c r="D107" s="947"/>
      <c r="E107" s="944"/>
      <c r="F107" s="944"/>
      <c r="G107" s="944"/>
      <c r="H107" s="945"/>
      <c r="I107" s="15" t="str">
        <f t="shared" si="2"/>
        <v/>
      </c>
    </row>
    <row r="108" spans="3:9" hidden="1" outlineLevel="1" x14ac:dyDescent="0.3">
      <c r="C108" s="946"/>
      <c r="D108" s="947"/>
      <c r="E108" s="944"/>
      <c r="F108" s="944"/>
      <c r="G108" s="944"/>
      <c r="H108" s="945"/>
      <c r="I108" s="15" t="str">
        <f t="shared" si="2"/>
        <v/>
      </c>
    </row>
    <row r="109" spans="3:9" hidden="1" outlineLevel="1" x14ac:dyDescent="0.3">
      <c r="C109" s="946"/>
      <c r="D109" s="947"/>
      <c r="E109" s="944"/>
      <c r="F109" s="944"/>
      <c r="G109" s="944"/>
      <c r="H109" s="945"/>
      <c r="I109" s="15" t="str">
        <f t="shared" si="2"/>
        <v/>
      </c>
    </row>
    <row r="110" spans="3:9" hidden="1" outlineLevel="1" x14ac:dyDescent="0.3">
      <c r="C110" s="946"/>
      <c r="D110" s="947"/>
      <c r="E110" s="944"/>
      <c r="F110" s="944"/>
      <c r="G110" s="944"/>
      <c r="H110" s="945"/>
      <c r="I110" s="15" t="str">
        <f t="shared" si="2"/>
        <v/>
      </c>
    </row>
    <row r="111" spans="3:9" hidden="1" outlineLevel="1" x14ac:dyDescent="0.3">
      <c r="C111" s="946"/>
      <c r="D111" s="947"/>
      <c r="E111" s="944"/>
      <c r="F111" s="944"/>
      <c r="G111" s="944"/>
      <c r="H111" s="945"/>
      <c r="I111" s="15" t="str">
        <f t="shared" si="2"/>
        <v/>
      </c>
    </row>
    <row r="112" spans="3:9" hidden="1" outlineLevel="1" x14ac:dyDescent="0.3">
      <c r="C112" s="946"/>
      <c r="D112" s="947"/>
      <c r="E112" s="944"/>
      <c r="F112" s="944"/>
      <c r="G112" s="944"/>
      <c r="H112" s="945"/>
      <c r="I112" s="15" t="str">
        <f t="shared" si="2"/>
        <v/>
      </c>
    </row>
    <row r="113" spans="3:9" hidden="1" outlineLevel="1" x14ac:dyDescent="0.3">
      <c r="C113" s="946"/>
      <c r="D113" s="947"/>
      <c r="E113" s="944"/>
      <c r="F113" s="944"/>
      <c r="G113" s="944"/>
      <c r="H113" s="945"/>
      <c r="I113" s="15" t="str">
        <f t="shared" si="2"/>
        <v/>
      </c>
    </row>
    <row r="114" spans="3:9" hidden="1" outlineLevel="1" x14ac:dyDescent="0.3">
      <c r="C114" s="946"/>
      <c r="D114" s="947"/>
      <c r="E114" s="944"/>
      <c r="F114" s="944"/>
      <c r="G114" s="944"/>
      <c r="H114" s="945"/>
      <c r="I114" s="15" t="str">
        <f t="shared" si="2"/>
        <v/>
      </c>
    </row>
    <row r="115" spans="3:9" hidden="1" outlineLevel="1" x14ac:dyDescent="0.3">
      <c r="C115" s="946"/>
      <c r="D115" s="947"/>
      <c r="E115" s="944"/>
      <c r="F115" s="944"/>
      <c r="G115" s="944"/>
      <c r="H115" s="945"/>
      <c r="I115" s="15" t="str">
        <f t="shared" si="2"/>
        <v/>
      </c>
    </row>
    <row r="116" spans="3:9" hidden="1" outlineLevel="1" x14ac:dyDescent="0.3">
      <c r="C116" s="946"/>
      <c r="D116" s="947"/>
      <c r="E116" s="944"/>
      <c r="F116" s="944"/>
      <c r="G116" s="944"/>
      <c r="H116" s="945"/>
      <c r="I116" s="15" t="str">
        <f t="shared" si="2"/>
        <v/>
      </c>
    </row>
    <row r="117" spans="3:9" hidden="1" outlineLevel="1" x14ac:dyDescent="0.3">
      <c r="C117" s="946"/>
      <c r="D117" s="947"/>
      <c r="E117" s="944"/>
      <c r="F117" s="944"/>
      <c r="G117" s="944"/>
      <c r="H117" s="945"/>
      <c r="I117" s="15" t="str">
        <f t="shared" si="2"/>
        <v/>
      </c>
    </row>
    <row r="118" spans="3:9" hidden="1" outlineLevel="1" x14ac:dyDescent="0.3">
      <c r="C118" s="946"/>
      <c r="D118" s="947"/>
      <c r="E118" s="944"/>
      <c r="F118" s="944"/>
      <c r="G118" s="944"/>
      <c r="H118" s="945"/>
      <c r="I118" s="15" t="str">
        <f t="shared" si="2"/>
        <v/>
      </c>
    </row>
    <row r="119" spans="3:9" hidden="1" outlineLevel="1" x14ac:dyDescent="0.3">
      <c r="C119" s="946"/>
      <c r="D119" s="947"/>
      <c r="E119" s="944"/>
      <c r="F119" s="944"/>
      <c r="G119" s="944"/>
      <c r="H119" s="945"/>
      <c r="I119" s="15" t="str">
        <f t="shared" si="2"/>
        <v/>
      </c>
    </row>
    <row r="120" spans="3:9" hidden="1" outlineLevel="1" x14ac:dyDescent="0.3">
      <c r="C120" s="946"/>
      <c r="D120" s="947"/>
      <c r="E120" s="944"/>
      <c r="F120" s="944"/>
      <c r="G120" s="944"/>
      <c r="H120" s="945"/>
      <c r="I120" s="15" t="str">
        <f t="shared" si="2"/>
        <v/>
      </c>
    </row>
    <row r="121" spans="3:9" hidden="1" outlineLevel="1" x14ac:dyDescent="0.3">
      <c r="C121" s="946"/>
      <c r="D121" s="947"/>
      <c r="E121" s="944"/>
      <c r="F121" s="944"/>
      <c r="G121" s="944"/>
      <c r="H121" s="945"/>
      <c r="I121" s="15" t="str">
        <f t="shared" si="2"/>
        <v/>
      </c>
    </row>
    <row r="122" spans="3:9" hidden="1" outlineLevel="1" x14ac:dyDescent="0.3">
      <c r="C122" s="946"/>
      <c r="D122" s="947"/>
      <c r="E122" s="944"/>
      <c r="F122" s="944"/>
      <c r="G122" s="944"/>
      <c r="H122" s="945"/>
      <c r="I122" s="15" t="str">
        <f t="shared" si="2"/>
        <v/>
      </c>
    </row>
    <row r="123" spans="3:9" hidden="1" outlineLevel="1" x14ac:dyDescent="0.3">
      <c r="C123" s="946"/>
      <c r="D123" s="947"/>
      <c r="E123" s="944"/>
      <c r="F123" s="944"/>
      <c r="G123" s="944"/>
      <c r="H123" s="945"/>
      <c r="I123" s="15" t="str">
        <f t="shared" si="2"/>
        <v/>
      </c>
    </row>
    <row r="124" spans="3:9" hidden="1" outlineLevel="1" x14ac:dyDescent="0.3">
      <c r="C124" s="946"/>
      <c r="D124" s="947"/>
      <c r="E124" s="944"/>
      <c r="F124" s="944"/>
      <c r="G124" s="944"/>
      <c r="H124" s="945"/>
      <c r="I124" s="15" t="str">
        <f t="shared" si="2"/>
        <v/>
      </c>
    </row>
    <row r="125" spans="3:9" hidden="1" outlineLevel="1" x14ac:dyDescent="0.3">
      <c r="C125" s="946"/>
      <c r="D125" s="947"/>
      <c r="E125" s="944"/>
      <c r="F125" s="944"/>
      <c r="G125" s="944"/>
      <c r="H125" s="945"/>
      <c r="I125" s="15" t="str">
        <f t="shared" si="2"/>
        <v/>
      </c>
    </row>
    <row r="126" spans="3:9" hidden="1" outlineLevel="1" x14ac:dyDescent="0.3">
      <c r="C126" s="946"/>
      <c r="D126" s="947"/>
      <c r="E126" s="944"/>
      <c r="F126" s="944"/>
      <c r="G126" s="944"/>
      <c r="H126" s="945"/>
      <c r="I126" s="15" t="str">
        <f t="shared" si="2"/>
        <v/>
      </c>
    </row>
    <row r="127" spans="3:9" hidden="1" outlineLevel="1" x14ac:dyDescent="0.3">
      <c r="C127" s="946"/>
      <c r="D127" s="947"/>
      <c r="E127" s="944"/>
      <c r="F127" s="944"/>
      <c r="G127" s="944"/>
      <c r="H127" s="945"/>
      <c r="I127" s="15" t="str">
        <f t="shared" si="2"/>
        <v/>
      </c>
    </row>
    <row r="128" spans="3:9" hidden="1" outlineLevel="1" x14ac:dyDescent="0.3">
      <c r="C128" s="946"/>
      <c r="D128" s="947"/>
      <c r="E128" s="944"/>
      <c r="F128" s="944"/>
      <c r="G128" s="944"/>
      <c r="H128" s="945"/>
      <c r="I128" s="15" t="str">
        <f t="shared" si="2"/>
        <v/>
      </c>
    </row>
    <row r="129" spans="1:10" ht="15" collapsed="1" thickBot="1" x14ac:dyDescent="0.35">
      <c r="C129" s="991" t="str">
        <f>template_label_total_employees</f>
        <v>Total employees (linked to B1)</v>
      </c>
      <c r="D129" s="992"/>
      <c r="E129" s="993" t="str">
        <f>IF('General Information'!$E$328="","-",'General Information'!$E$328)</f>
        <v>-</v>
      </c>
      <c r="F129" s="993"/>
      <c r="G129" s="993"/>
      <c r="H129" s="977"/>
      <c r="I129" s="15"/>
    </row>
    <row r="130" spans="1:10" ht="15" thickBot="1" x14ac:dyDescent="0.35"/>
    <row r="131" spans="1:10" x14ac:dyDescent="0.3">
      <c r="C131" s="978"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979"/>
      <c r="E131" s="979"/>
      <c r="F131" s="979"/>
      <c r="G131" s="979"/>
      <c r="H131" s="980"/>
    </row>
    <row r="132" spans="1:10" x14ac:dyDescent="0.3">
      <c r="C132" s="532">
        <v>40</v>
      </c>
      <c r="D132" s="533"/>
      <c r="E132" s="533"/>
      <c r="F132" s="533"/>
      <c r="G132" s="533"/>
      <c r="H132" s="534"/>
    </row>
    <row r="133" spans="1:10" x14ac:dyDescent="0.3">
      <c r="C133" s="647">
        <v>118</v>
      </c>
      <c r="D133" s="648"/>
      <c r="E133" s="648"/>
      <c r="F133" s="648"/>
      <c r="G133" s="648"/>
      <c r="H133" s="649"/>
    </row>
    <row r="134" spans="1:10" x14ac:dyDescent="0.3">
      <c r="C134" s="154" t="str">
        <f>template_label_number_of_employees_who_left_during_the_reporting_period</f>
        <v>Number of employees who left during the reporting period</v>
      </c>
      <c r="D134" s="987"/>
      <c r="E134" s="987"/>
      <c r="F134" s="987"/>
      <c r="G134" s="987"/>
      <c r="H134" s="988"/>
      <c r="I134" s="15" t="str">
        <f>IF(
    AND('General Information'!$E$328&lt;50, D134=""),
    "",
    IF(
        AND('General Information'!$E$328&lt;50, D134&lt;&gt;""),
        template_label_ok,
        IF(
            AND('General Information'!$E$328&gt;=50, D134&lt;&gt;""),
            template_label_ok,
            template_label_missing_value
        )
    )
)</f>
        <v/>
      </c>
    </row>
    <row r="135" spans="1:10" x14ac:dyDescent="0.3">
      <c r="C135" s="154" t="str">
        <f>template_label_number_of_employees_at_the_beginning_of_the_reporting_period</f>
        <v>Number of employees at the beginning of the reporting period</v>
      </c>
      <c r="D135" s="987"/>
      <c r="E135" s="987"/>
      <c r="F135" s="987"/>
      <c r="G135" s="987"/>
      <c r="H135" s="988"/>
      <c r="I135" s="15" t="str">
        <f>IF(
    AND('General Information'!$E$328&lt;50, D135=""),
    "",
    IF(
        AND('General Information'!$E$328&lt;50, D135&lt;&gt;""),
        template_label_ok,
        IF(
            AND('General Information'!$E$328&gt;=50, D135&lt;&gt;""),
            template_label_ok,
            template_label_missing_value
        )
    )
)</f>
        <v/>
      </c>
    </row>
    <row r="136" spans="1:10" x14ac:dyDescent="0.3">
      <c r="C136" s="154" t="str">
        <f>template_label_number_of_employees_at_the_end_of_the_reporting_period</f>
        <v>Number of employees at the end of the reporting period</v>
      </c>
      <c r="D136" s="987"/>
      <c r="E136" s="987"/>
      <c r="F136" s="987"/>
      <c r="G136" s="987"/>
      <c r="H136" s="988"/>
      <c r="I136" s="15" t="str">
        <f>IF(
    AND('General Information'!$E$328&lt;50, D136=""),
    "",
    IF(
        AND('General Information'!$E$328&lt;50, D136&lt;&gt;""),
        template_label_ok,
        IF(
            AND('General Information'!$E$328&gt;=50, D136&lt;&gt;""),
            template_label_ok,
            template_label_missing_value
        )
    )
)</f>
        <v/>
      </c>
    </row>
    <row r="137" spans="1:10" ht="15" thickBot="1" x14ac:dyDescent="0.35">
      <c r="C137" s="100" t="str">
        <f>template_label_employee_turnover_rate_in_the_reporting_period</f>
        <v>Employee turnover rate [%]  in the reporting period</v>
      </c>
      <c r="D137" s="989" t="str">
        <f>IF(AND(D134&lt;&gt;"",D135&lt;&gt;"",D136&lt;&gt;""),(D134/((D135+D136)/2)),"-")</f>
        <v>-</v>
      </c>
      <c r="E137" s="989"/>
      <c r="F137" s="989"/>
      <c r="G137" s="989"/>
      <c r="H137" s="990"/>
    </row>
    <row r="138" spans="1:10" ht="15" thickBot="1" x14ac:dyDescent="0.35"/>
    <row r="139" spans="1:10" ht="15" thickBot="1" x14ac:dyDescent="0.35">
      <c r="C139" s="641"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642"/>
      <c r="E139" s="642"/>
      <c r="F139" s="642"/>
      <c r="G139" s="642"/>
      <c r="H139" s="643"/>
    </row>
    <row r="140" spans="1:10" x14ac:dyDescent="0.3">
      <c r="A140" s="460" t="s">
        <v>3757</v>
      </c>
      <c r="B140" s="463" t="s">
        <v>5657</v>
      </c>
      <c r="C140" s="259" t="str">
        <f>template_label_number_of_recordable_work_related_accidents_in_the_reporting_period</f>
        <v>Number of recordable work-related accidents in the reporting period</v>
      </c>
      <c r="D140" s="1010"/>
      <c r="E140" s="1010"/>
      <c r="F140" s="1010"/>
      <c r="G140" s="1010"/>
      <c r="H140" s="1011"/>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
      </c>
    </row>
    <row r="141" spans="1:10" x14ac:dyDescent="0.3">
      <c r="A141" s="460" t="s">
        <v>3757</v>
      </c>
      <c r="B141" s="463" t="s">
        <v>5657</v>
      </c>
      <c r="C141" s="155" t="str">
        <f>template_label_number_of_hours_worked_by_one_fulltime_employee_in_the_reporting_period</f>
        <v>Number of hours worked by  one full-time employee in the reporting period</v>
      </c>
      <c r="D141" s="1012">
        <v>2000</v>
      </c>
      <c r="E141" s="1013"/>
      <c r="F141" s="1013"/>
      <c r="G141" s="1013"/>
      <c r="H141" s="1014"/>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5657</v>
      </c>
      <c r="C142" s="155" t="str">
        <f>template_label_total_number_of_hours_worked_in_a_year_by_all_employees_in_the_reporting_period</f>
        <v>Total number of hours worked in a year by all employees in the reporting period</v>
      </c>
      <c r="D142" s="1015" t="str">
        <f>IF('General Information'!E328="","-",D141*'General Information'!E328)</f>
        <v>-</v>
      </c>
      <c r="E142" s="1016"/>
      <c r="F142" s="1016"/>
      <c r="G142" s="1016"/>
      <c r="H142" s="1017"/>
      <c r="I142" s="15"/>
    </row>
    <row r="143" spans="1:10" ht="15" thickBot="1" x14ac:dyDescent="0.35">
      <c r="A143" s="460" t="s">
        <v>3757</v>
      </c>
      <c r="B143" s="463" t="s">
        <v>5657</v>
      </c>
      <c r="C143" s="214" t="str">
        <f>template_label_rate_of_recordable_work_related_accidents_in_the_reporting_period</f>
        <v>Rate of recordable work-related accidents in the reporting period</v>
      </c>
      <c r="D143" s="1018" t="str">
        <f>IFERROR(IF(AND(D140&lt;&gt;"", D142&lt;&gt;""), ($D$140/$D$142)*200000, "-"), "-")</f>
        <v>-</v>
      </c>
      <c r="E143" s="1019"/>
      <c r="F143" s="1019"/>
      <c r="G143" s="1019"/>
      <c r="H143" s="1020"/>
    </row>
    <row r="144" spans="1:10" ht="15" thickBot="1" x14ac:dyDescent="0.35">
      <c r="A144" s="460" t="s">
        <v>3758</v>
      </c>
      <c r="B144" s="463" t="s">
        <v>5657</v>
      </c>
      <c r="C144" s="213" t="str">
        <f>template_label_number_of_fatalities_as_a_result_of_work_related_injuries_and_work_related_ill_health</f>
        <v>Number of fatalities as a result of work-related injuries and work-related ill health</v>
      </c>
      <c r="D144" s="994"/>
      <c r="E144" s="994"/>
      <c r="F144" s="994"/>
      <c r="G144" s="994"/>
      <c r="H144" s="995"/>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
      </c>
    </row>
    <row r="145" spans="1:9" ht="15" thickBot="1" x14ac:dyDescent="0.35"/>
    <row r="146" spans="1:9" x14ac:dyDescent="0.3">
      <c r="C146" s="996"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 to - [Always to be reported + If applicable]</v>
      </c>
      <c r="D146" s="997"/>
      <c r="E146" s="997"/>
      <c r="F146" s="997"/>
      <c r="G146" s="997"/>
      <c r="H146" s="998"/>
    </row>
    <row r="147" spans="1:9" ht="29.4" thickBot="1" x14ac:dyDescent="0.35">
      <c r="A147" s="460" t="s">
        <v>3759</v>
      </c>
      <c r="B147" s="460" t="s">
        <v>5658</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999"/>
      <c r="E147" s="999"/>
      <c r="F147" s="999"/>
      <c r="G147" s="999"/>
      <c r="H147" s="1000"/>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
      </c>
    </row>
    <row r="148" spans="1:9" x14ac:dyDescent="0.3">
      <c r="A148" s="470" t="s">
        <v>3760</v>
      </c>
      <c r="B148" s="472" t="s">
        <v>5659</v>
      </c>
      <c r="C148" s="212" t="str">
        <f>template_label_average_gross_hourly_pay_level_of_male_employees &amp; " " &amp; "(" &amp; template_label_amount_in &amp; " " &amp; template_currency &amp; ")"</f>
        <v>Average gross hourly pay level of male employees (amount in )</v>
      </c>
      <c r="D148" s="1001"/>
      <c r="E148" s="1002"/>
      <c r="F148" s="1002"/>
      <c r="G148" s="1002"/>
      <c r="H148" s="1003"/>
      <c r="I148" s="15" t="str">
        <f>IF(
    AND('General Information'!$E$328&lt;150, D148=""),
    "",
    IF(
        AND('General Information'!$E$328&lt;150, D148&lt;&gt;""),
        template_label_ok,
        IF(
            AND('General Information'!$E$328&gt;=150, D148&lt;&gt;""),
            template_label_ok,
            template_label_missing_value
        )
    )
)</f>
        <v/>
      </c>
    </row>
    <row r="149" spans="1:9" x14ac:dyDescent="0.3">
      <c r="A149" s="470" t="s">
        <v>3760</v>
      </c>
      <c r="B149" s="472" t="s">
        <v>5659</v>
      </c>
      <c r="C149" s="156" t="str">
        <f>template_label_average_gross_hourly_pay_level_of_female_employees &amp; " " &amp; "(" &amp; template_label_amount_in &amp; " " &amp; template_currency &amp; ")"</f>
        <v>Average gross hourly pay level of female employees (amount in )</v>
      </c>
      <c r="D149" s="1004"/>
      <c r="E149" s="1005"/>
      <c r="F149" s="1005"/>
      <c r="G149" s="1005"/>
      <c r="H149" s="1006"/>
      <c r="I149" s="15" t="str">
        <f>IF(
    AND('General Information'!$E$328&lt;150, D149=""),
    "",
    IF(
        AND('General Information'!$E$328&lt;150, D149&lt;&gt;""),
        template_label_ok,
        IF(
            AND('General Information'!$E$328&gt;=150, D149&lt;&gt;""),
            template_label_ok,
            template_label_missing_value
        )
    )
)</f>
        <v/>
      </c>
    </row>
    <row r="150" spans="1:9" ht="15" thickBot="1" x14ac:dyDescent="0.35">
      <c r="A150" s="470" t="s">
        <v>3760</v>
      </c>
      <c r="B150" s="472" t="s">
        <v>5659</v>
      </c>
      <c r="C150" s="157" t="str">
        <f>template_label_percentage_gap_in_pay_between_the__undertakings_female_and_male_employees</f>
        <v>Percentage gap in pay between the  undertaking's female and male employees [%]</v>
      </c>
      <c r="D150" s="1007" t="str">
        <f>IF(AND(D148&lt;&gt;"",D149&lt;&gt;""),((D148-D149)/D148),"-")</f>
        <v>-</v>
      </c>
      <c r="E150" s="1008"/>
      <c r="F150" s="1008"/>
      <c r="G150" s="1008"/>
      <c r="H150" s="1009"/>
    </row>
    <row r="151" spans="1:9" x14ac:dyDescent="0.3">
      <c r="A151" s="615" t="s">
        <v>3761</v>
      </c>
      <c r="B151" s="968" t="s">
        <v>5660</v>
      </c>
      <c r="C151" s="210" t="str">
        <f>template_label_number_of_employees_covered_by_collective_bargaining_agreements</f>
        <v>Number of employees covered by collective bargaining agreements</v>
      </c>
      <c r="D151" s="1027"/>
      <c r="E151" s="1028"/>
      <c r="F151" s="1028"/>
      <c r="G151" s="1028"/>
      <c r="H151" s="1029"/>
      <c r="I151" s="15" t="str">
        <f>IF(
    AND(
        OR('General Information'!E122="Option A (Basic Module only)", 'General Information'!E122="Option B (Basic Module and Comprehensive Module)"),
        D151=""
    ),
    template_label_missing_value,
    IF('General Information'!E122="", "", template_label_ok)
)</f>
        <v/>
      </c>
    </row>
    <row r="152" spans="1:9" ht="15" thickBot="1" x14ac:dyDescent="0.35">
      <c r="A152" s="1026"/>
      <c r="B152" s="738"/>
      <c r="C152" s="157" t="str">
        <f>template_label_percentage_of_employees_covered_by_collective_bargaining_agreements</f>
        <v>Percentage of employees covered by collective bargaining agreements [%]</v>
      </c>
      <c r="D152" s="1030" t="str">
        <f>IF(D151&lt;&gt;"", IF('General Information'!E328=0, "-", D151/'General Information'!E328), "-")</f>
        <v>-</v>
      </c>
      <c r="E152" s="1031"/>
      <c r="F152" s="1031"/>
      <c r="G152" s="1031"/>
      <c r="H152" s="1032"/>
    </row>
    <row r="153" spans="1:9" ht="15" thickBot="1" x14ac:dyDescent="0.35"/>
    <row r="154" spans="1:9" x14ac:dyDescent="0.3">
      <c r="C154" s="996"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 to - [Always to be reported]</v>
      </c>
      <c r="D154" s="997"/>
      <c r="E154" s="997"/>
      <c r="F154" s="997"/>
      <c r="G154" s="997"/>
      <c r="H154" s="998"/>
    </row>
    <row r="155" spans="1:9" x14ac:dyDescent="0.3">
      <c r="C155" s="532" t="s">
        <v>3762</v>
      </c>
      <c r="D155" s="533"/>
      <c r="E155" s="533"/>
      <c r="F155" s="533"/>
      <c r="G155" s="533"/>
      <c r="H155" s="534"/>
    </row>
    <row r="156" spans="1:9" x14ac:dyDescent="0.3">
      <c r="C156" s="152" t="str">
        <f>template_label_gender</f>
        <v>Gender</v>
      </c>
      <c r="D156" s="1021" t="str">
        <f>template_label_number_of_annual_training_hours_per_employee_during_the_reporting_period</f>
        <v>B10 – Number of annual training hours per employee during the reporting period</v>
      </c>
      <c r="E156" s="1021"/>
      <c r="F156" s="1021"/>
      <c r="G156" s="1021"/>
      <c r="H156" s="1022"/>
      <c r="I156" s="15"/>
    </row>
    <row r="157" spans="1:9" x14ac:dyDescent="0.3">
      <c r="C157" s="153" t="str">
        <f>template_label_male</f>
        <v>Male</v>
      </c>
      <c r="D157" s="1023"/>
      <c r="E157" s="1023"/>
      <c r="F157" s="1023"/>
      <c r="G157" s="1023"/>
      <c r="H157" s="1024"/>
      <c r="I157" s="1025" t="str">
        <f>IF(
    OR('General Information'!E122="Option A (Basic Module only)", 'General Information'!E122="Option B (Basic Module and Comprehensive Module)"),
    IF(OR(D157&lt;&gt;"", D158&lt;&gt;"", D159&lt;&gt;"", D160&lt;&gt;""), template_label_ok, template_label_missing_value),
    ""
)</f>
        <v/>
      </c>
    </row>
    <row r="158" spans="1:9" x14ac:dyDescent="0.3">
      <c r="C158" s="153" t="str">
        <f>template_label_female</f>
        <v>Female</v>
      </c>
      <c r="D158" s="1023"/>
      <c r="E158" s="1023"/>
      <c r="F158" s="1023"/>
      <c r="G158" s="1023"/>
      <c r="H158" s="1024"/>
      <c r="I158" s="1025"/>
    </row>
    <row r="159" spans="1:9" x14ac:dyDescent="0.3">
      <c r="C159" s="153" t="str">
        <f>template_label_other</f>
        <v>Other</v>
      </c>
      <c r="D159" s="1023"/>
      <c r="E159" s="1023"/>
      <c r="F159" s="1023"/>
      <c r="G159" s="1023"/>
      <c r="H159" s="1024"/>
      <c r="I159" s="1025"/>
    </row>
    <row r="160" spans="1:9" x14ac:dyDescent="0.3">
      <c r="C160" s="153" t="str">
        <f>template_label_not_reported</f>
        <v>Not reported</v>
      </c>
      <c r="D160" s="1023"/>
      <c r="E160" s="1023"/>
      <c r="F160" s="1023"/>
      <c r="G160" s="1023"/>
      <c r="H160" s="1024"/>
      <c r="I160" s="1025"/>
    </row>
    <row r="161" spans="1:9" x14ac:dyDescent="0.3">
      <c r="C161" s="1050" t="str">
        <f>template_label_average_number_of_annual_training_hours_per_employee</f>
        <v>Average number of annual training hours per employee</v>
      </c>
      <c r="D161" s="1051"/>
      <c r="E161" s="1051"/>
      <c r="F161" s="1051"/>
      <c r="G161" s="1051"/>
      <c r="H161" s="1052"/>
      <c r="I161" s="15"/>
    </row>
    <row r="162" spans="1:9" ht="15" thickBot="1" x14ac:dyDescent="0.35">
      <c r="C162" s="1053" t="str">
        <f>IFERROR(
    IF(
        AND(D18&lt;&gt;"",D18&lt;&gt;0,D19&lt;&gt;"",D19&lt;&gt;0,D20&lt;&gt;"",D20&lt;&gt;0,D21&lt;&gt;"",D21&lt;&gt;0),
        AVERAGE(D157:D160),
        IF(OR(D18="", D18=0), AVERAGE(D158:D160),
        IF(OR(D19="", D19=0), AVERAGE(D157,D159,D160),
        IF(OR(D20="", D20=0), AVERAGE(D157,D158,D160),
        IF(OR(D21="", D21=0), AVERAGE(D157,D158,D159), "-"))))
    ),
"-")</f>
        <v>-</v>
      </c>
      <c r="D162" s="1054"/>
      <c r="E162" s="1054"/>
      <c r="F162" s="1054"/>
      <c r="G162" s="1054"/>
      <c r="H162" s="1055"/>
      <c r="I162" s="15"/>
    </row>
    <row r="163" spans="1:9" ht="15" thickBot="1" x14ac:dyDescent="0.35"/>
    <row r="164" spans="1:9" ht="15" thickBot="1" x14ac:dyDescent="0.35">
      <c r="C164" s="1056"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1057"/>
      <c r="E164" s="1057"/>
      <c r="F164" s="1057"/>
      <c r="G164" s="1057"/>
      <c r="H164" s="1058"/>
    </row>
    <row r="165" spans="1:9" x14ac:dyDescent="0.3">
      <c r="A165" s="470">
        <v>59</v>
      </c>
      <c r="B165" s="471" t="s">
        <v>5661</v>
      </c>
      <c r="C165" s="158" t="str">
        <f>template_label_number_of_male_employees_at_management_level</f>
        <v>Number of male employees at management level</v>
      </c>
      <c r="D165" s="1001"/>
      <c r="E165" s="1002"/>
      <c r="F165" s="1002"/>
      <c r="G165" s="1002"/>
      <c r="H165" s="1003"/>
      <c r="I165" s="15" t="str">
        <f>IF(D165&lt;&gt;"", template_label_ok, "")</f>
        <v/>
      </c>
    </row>
    <row r="166" spans="1:9" x14ac:dyDescent="0.3">
      <c r="A166" s="470">
        <v>59</v>
      </c>
      <c r="B166" s="471" t="s">
        <v>5661</v>
      </c>
      <c r="C166" s="159" t="str">
        <f>template_label_number_of_female_employees_at_management_level</f>
        <v>Number of female employees at management level</v>
      </c>
      <c r="D166" s="1004"/>
      <c r="E166" s="1005"/>
      <c r="F166" s="1005"/>
      <c r="G166" s="1005"/>
      <c r="H166" s="1006"/>
      <c r="I166" s="15" t="str">
        <f>IF(D166&lt;&gt;"", template_label_ok, "")</f>
        <v/>
      </c>
    </row>
    <row r="167" spans="1:9" ht="15" thickBot="1" x14ac:dyDescent="0.35">
      <c r="A167" s="470">
        <v>59</v>
      </c>
      <c r="B167" s="471" t="s">
        <v>5661</v>
      </c>
      <c r="C167" s="157" t="str">
        <f>template_label_female_to_male_ratio_at_management_level_for_the_reporting_period</f>
        <v>Female-to-male ratio at management level for the reporting period</v>
      </c>
      <c r="D167" s="1059" t="str">
        <f>IF(AND(D165&lt;&gt;"",D166&lt;&gt;""),$D$166/$D$165,"-")</f>
        <v>-</v>
      </c>
      <c r="E167" s="1060"/>
      <c r="F167" s="1060"/>
      <c r="G167" s="1060"/>
      <c r="H167" s="1061"/>
    </row>
    <row r="168" spans="1:9" ht="28.8" x14ac:dyDescent="0.3">
      <c r="A168" s="460">
        <v>60</v>
      </c>
      <c r="B168" s="468" t="s">
        <v>5662</v>
      </c>
      <c r="C168" s="160" t="str">
        <f>template_label_total_self_employed_workers_without_personnel_that_are_working_exclusively_for_the_undertaking</f>
        <v>Total self-employed workers without personnel that are working exclusively for the undertaking</v>
      </c>
      <c r="D168" s="1033"/>
      <c r="E168" s="1034"/>
      <c r="F168" s="1034"/>
      <c r="G168" s="1034"/>
      <c r="H168" s="1035"/>
      <c r="I168" s="15" t="str">
        <f>IF(D168&lt;&gt;"", template_label_ok, "")</f>
        <v/>
      </c>
    </row>
    <row r="169" spans="1:9" ht="29.4" thickBot="1" x14ac:dyDescent="0.35">
      <c r="A169" s="460">
        <v>60</v>
      </c>
      <c r="B169" s="469" t="s">
        <v>5662</v>
      </c>
      <c r="C169" s="161" t="str">
        <f>template_label_total_temporary_workers_provided_by_undertakings_primarily_engaged_in_employment_activities</f>
        <v>Total temporary workers provided by undertakings primarily engaged in employment activities</v>
      </c>
      <c r="D169" s="1036"/>
      <c r="E169" s="1037"/>
      <c r="F169" s="1037"/>
      <c r="G169" s="1037"/>
      <c r="H169" s="1038"/>
      <c r="I169" s="15" t="str">
        <f>IF(D169&lt;&gt;"", template_label_ok, "")</f>
        <v/>
      </c>
    </row>
    <row r="170" spans="1:9" ht="15" thickBot="1" x14ac:dyDescent="0.35"/>
    <row r="171" spans="1:9" x14ac:dyDescent="0.3">
      <c r="C171" s="1039"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1040"/>
      <c r="E171" s="1040"/>
      <c r="F171" s="1040"/>
      <c r="G171" s="1040"/>
      <c r="H171" s="1041"/>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1042"/>
      <c r="E172" s="1043"/>
      <c r="F172" s="1043"/>
      <c r="G172" s="1043"/>
      <c r="H172" s="1044"/>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spans="1:9" x14ac:dyDescent="0.3">
      <c r="A173" s="461" t="s">
        <v>3764</v>
      </c>
      <c r="B173" s="468">
        <v>173</v>
      </c>
      <c r="C173" s="126" t="str">
        <f>template_label_if_yes_does_this_cover</f>
        <v>If yes does this cover:</v>
      </c>
      <c r="D173" s="1045"/>
      <c r="E173" s="1046"/>
      <c r="F173" s="1046"/>
      <c r="G173" s="1046"/>
      <c r="H173" s="1047"/>
    </row>
    <row r="174" spans="1:9" x14ac:dyDescent="0.3">
      <c r="A174" s="461" t="s">
        <v>3764</v>
      </c>
      <c r="B174" s="468">
        <v>173</v>
      </c>
      <c r="C174" s="163" t="str">
        <f>template_label_child_labour</f>
        <v>· child labour</v>
      </c>
      <c r="D174" s="1048" t="b">
        <v>0</v>
      </c>
      <c r="E174" s="1048"/>
      <c r="F174" s="1048"/>
      <c r="G174" s="1048"/>
      <c r="H174" s="1049"/>
      <c r="I174" s="1025"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461" t="s">
        <v>3764</v>
      </c>
      <c r="B175" s="468">
        <v>173</v>
      </c>
      <c r="C175" s="163" t="str">
        <f>template_label_forced_labour</f>
        <v>· forced labour</v>
      </c>
      <c r="D175" s="1048" t="b">
        <v>0</v>
      </c>
      <c r="E175" s="1048"/>
      <c r="F175" s="1048"/>
      <c r="G175" s="1048"/>
      <c r="H175" s="1049"/>
      <c r="I175" s="1025"/>
    </row>
    <row r="176" spans="1:9" x14ac:dyDescent="0.3">
      <c r="A176" s="461" t="s">
        <v>3764</v>
      </c>
      <c r="B176" s="468">
        <v>173</v>
      </c>
      <c r="C176" s="163" t="str">
        <f>template_label_human_trafficking</f>
        <v>· human trafficking</v>
      </c>
      <c r="D176" s="1048" t="b">
        <v>0</v>
      </c>
      <c r="E176" s="1048"/>
      <c r="F176" s="1048"/>
      <c r="G176" s="1048"/>
      <c r="H176" s="1049"/>
      <c r="I176" s="1025"/>
    </row>
    <row r="177" spans="1:10" x14ac:dyDescent="0.3">
      <c r="A177" s="461" t="s">
        <v>3764</v>
      </c>
      <c r="B177" s="468">
        <v>173</v>
      </c>
      <c r="C177" s="163" t="str">
        <f>template_label_discrimination</f>
        <v>· discrimination</v>
      </c>
      <c r="D177" s="1048" t="b">
        <v>0</v>
      </c>
      <c r="E177" s="1048"/>
      <c r="F177" s="1048"/>
      <c r="G177" s="1048"/>
      <c r="H177" s="1049"/>
      <c r="I177" s="1025"/>
    </row>
    <row r="178" spans="1:10" x14ac:dyDescent="0.3">
      <c r="A178" s="461" t="s">
        <v>3764</v>
      </c>
      <c r="B178" s="468">
        <v>173</v>
      </c>
      <c r="C178" s="164" t="str">
        <f>template_label_accident_prevention</f>
        <v>· accident prevention</v>
      </c>
      <c r="D178" s="1070" t="b">
        <v>0</v>
      </c>
      <c r="E178" s="1048"/>
      <c r="F178" s="1048"/>
      <c r="G178" s="1048"/>
      <c r="H178" s="1049"/>
      <c r="I178" s="1025"/>
    </row>
    <row r="179" spans="1:10" x14ac:dyDescent="0.3">
      <c r="A179" s="461" t="s">
        <v>3764</v>
      </c>
      <c r="B179" s="468">
        <v>173</v>
      </c>
      <c r="C179" s="165" t="str">
        <f>template_label_other_if_yes_specify</f>
        <v>· other? ( if yes specify)</v>
      </c>
      <c r="D179" s="1048" t="b">
        <v>0</v>
      </c>
      <c r="E179" s="1048"/>
      <c r="F179" s="1048"/>
      <c r="G179" s="1048"/>
      <c r="H179" s="1049"/>
      <c r="I179" s="1025"/>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1062"/>
      <c r="E180" s="1062"/>
      <c r="F180" s="1062"/>
      <c r="G180" s="1062"/>
      <c r="H180" s="1063"/>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1064"/>
      <c r="E181" s="1065"/>
      <c r="F181" s="1065"/>
      <c r="G181" s="1065"/>
      <c r="H181" s="1066"/>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spans="1:10" ht="15" thickBot="1" x14ac:dyDescent="0.35"/>
    <row r="183" spans="1:10" x14ac:dyDescent="0.3">
      <c r="C183" s="1039"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1040"/>
      <c r="E183" s="1040"/>
      <c r="F183" s="1040"/>
      <c r="G183" s="1040"/>
      <c r="H183" s="1041"/>
    </row>
    <row r="184" spans="1:10" x14ac:dyDescent="0.3">
      <c r="A184" s="460">
        <v>62</v>
      </c>
      <c r="B184" s="468">
        <v>174</v>
      </c>
      <c r="C184" s="167" t="str">
        <f>template_label_does_the_undertaking_have_confirmed_incidents_in_its_own_workforce</f>
        <v>Does the undertaking have confirmed incidents in its own workforce?</v>
      </c>
      <c r="D184" s="685"/>
      <c r="E184" s="685"/>
      <c r="F184" s="685"/>
      <c r="G184" s="685"/>
      <c r="H184" s="1067"/>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spans="1:10" x14ac:dyDescent="0.3">
      <c r="A185" s="460" t="s">
        <v>3766</v>
      </c>
      <c r="B185" s="468">
        <v>174</v>
      </c>
      <c r="C185" s="167" t="str">
        <f>template_label_if_yes_are_incidents_related_to</f>
        <v>If yes are incidents related to:</v>
      </c>
      <c r="D185" s="1045"/>
      <c r="E185" s="1046"/>
      <c r="F185" s="1046"/>
      <c r="G185" s="1046"/>
      <c r="H185" s="1047"/>
    </row>
    <row r="186" spans="1:10" x14ac:dyDescent="0.3">
      <c r="A186" s="460" t="s">
        <v>3766</v>
      </c>
      <c r="B186" s="468">
        <v>174</v>
      </c>
      <c r="C186" s="165" t="str">
        <f>template_label_child_labour</f>
        <v>· child labour</v>
      </c>
      <c r="D186" s="1068" t="b">
        <v>0</v>
      </c>
      <c r="E186" s="1068"/>
      <c r="F186" s="1068"/>
      <c r="G186" s="1068"/>
      <c r="H186" s="1069"/>
      <c r="I186" s="1025"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1068" t="b">
        <v>0</v>
      </c>
      <c r="E187" s="1068"/>
      <c r="F187" s="1068"/>
      <c r="G187" s="1068"/>
      <c r="H187" s="1069"/>
      <c r="I187" s="1025"/>
    </row>
    <row r="188" spans="1:10" x14ac:dyDescent="0.3">
      <c r="A188" s="460" t="s">
        <v>3766</v>
      </c>
      <c r="B188" s="468">
        <v>174</v>
      </c>
      <c r="C188" s="165" t="str">
        <f>template_label_human_trafficking</f>
        <v>· human trafficking</v>
      </c>
      <c r="D188" s="1068" t="b">
        <v>0</v>
      </c>
      <c r="E188" s="1068"/>
      <c r="F188" s="1068"/>
      <c r="G188" s="1068"/>
      <c r="H188" s="1069"/>
      <c r="I188" s="1025"/>
    </row>
    <row r="189" spans="1:10" x14ac:dyDescent="0.3">
      <c r="A189" s="460" t="s">
        <v>3766</v>
      </c>
      <c r="B189" s="468">
        <v>174</v>
      </c>
      <c r="C189" s="165" t="str">
        <f>template_label_discrimination</f>
        <v>· discrimination</v>
      </c>
      <c r="D189" s="1068" t="b">
        <v>0</v>
      </c>
      <c r="E189" s="1068"/>
      <c r="F189" s="1068"/>
      <c r="G189" s="1068"/>
      <c r="H189" s="1069"/>
      <c r="I189" s="1025"/>
    </row>
    <row r="190" spans="1:10" x14ac:dyDescent="0.3">
      <c r="A190" s="460" t="s">
        <v>3766</v>
      </c>
      <c r="B190" s="468">
        <v>174</v>
      </c>
      <c r="C190" s="165" t="str">
        <f>template_label_other_if_yes_specify</f>
        <v>· other? ( if yes specify)</v>
      </c>
      <c r="D190" s="1068" t="b">
        <v>0</v>
      </c>
      <c r="E190" s="1068"/>
      <c r="F190" s="1068"/>
      <c r="G190" s="1068"/>
      <c r="H190" s="1069"/>
      <c r="I190" s="1025"/>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1077"/>
      <c r="E191" s="1077"/>
      <c r="F191" s="1077"/>
      <c r="G191" s="1077"/>
      <c r="H191" s="1078"/>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1071"/>
      <c r="E192" s="1072"/>
      <c r="F192" s="1072"/>
      <c r="G192" s="1072"/>
      <c r="H192" s="1073"/>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685"/>
      <c r="E193" s="685"/>
      <c r="F193" s="685"/>
      <c r="G193" s="685"/>
      <c r="H193" s="1067"/>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1074"/>
      <c r="E194" s="1074"/>
      <c r="F194" s="1074"/>
      <c r="G194" s="1074"/>
      <c r="H194" s="1075"/>
      <c r="I194" s="15" t="str">
        <f>IF(AND(D193="YES",D194&lt;&gt;""), template_label_ok,
IF(AND(D193="YES",D194=""), template_label_missing_value,
IF(AND(D193="NO",D194&lt;&gt;""), template_label_missing_value, "")))</f>
        <v/>
      </c>
    </row>
    <row r="197" spans="1:9" ht="15" thickBot="1" x14ac:dyDescent="0.35"/>
    <row r="198" spans="1:9" x14ac:dyDescent="0.3">
      <c r="C198" s="556"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 to - [May (optional)]</v>
      </c>
      <c r="D198" s="557"/>
      <c r="E198" s="557"/>
      <c r="F198" s="557"/>
      <c r="G198" s="557"/>
      <c r="H198" s="558"/>
    </row>
    <row r="199" spans="1:9" x14ac:dyDescent="0.3">
      <c r="C199" s="742">
        <v>10</v>
      </c>
      <c r="D199" s="554"/>
      <c r="E199" s="554"/>
      <c r="F199" s="554"/>
      <c r="G199" s="554"/>
      <c r="H199" s="555"/>
    </row>
    <row r="200" spans="1:9" ht="15" thickBot="1" x14ac:dyDescent="0.35">
      <c r="C200" s="550"/>
      <c r="D200" s="551"/>
      <c r="E200" s="551"/>
      <c r="F200" s="551"/>
      <c r="G200" s="551"/>
      <c r="H200" s="1076"/>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4" priority="33">
      <formula>$D$172="YES"</formula>
    </cfRule>
  </conditionalFormatting>
  <conditionalFormatting sqref="D186:H190">
    <cfRule type="expression" dxfId="112"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0">
      <formula>$H10=template_label_missing_value</formula>
    </cfRule>
    <cfRule type="expression" dxfId="103" priority="71">
      <formula>$H10=template_label_ok</formula>
    </cfRule>
  </conditionalFormatting>
  <conditionalFormatting sqref="H12">
    <cfRule type="expression" dxfId="102" priority="72">
      <formula>$H$12="OK"</formula>
    </cfRule>
    <cfRule type="expression" dxfId="101" priority="73">
      <formula>$H$12="VALUE INCONSISTENCY"</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4">
      <formula>$I29=template_label_value_inconsistency</formula>
    </cfRule>
    <cfRule type="expression" dxfId="94" priority="63">
      <formula>$I29=template_label_ok</formula>
    </cfRule>
    <cfRule type="expression" dxfId="93" priority="64">
      <formula>$I29=template_label_missing_value</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0">
      <formula>$I$142="OK"</formula>
    </cfRule>
    <cfRule type="expression" dxfId="85" priority="51">
      <formula>$I$142="MISSING VALUE"</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4">
      <formula>$I$147=template_label_missing_value</formula>
    </cfRule>
    <cfRule type="expression" dxfId="81" priority="45">
      <formula>$I$147=template_label_ok</formula>
    </cfRule>
  </conditionalFormatting>
  <conditionalFormatting sqref="I148:I149">
    <cfRule type="expression" dxfId="80" priority="48">
      <formula>$I148=template_label_ok</formula>
    </cfRule>
    <cfRule type="expression" dxfId="79" priority="49">
      <formula>$I148=template_label_missing_value</formula>
    </cfRule>
  </conditionalFormatting>
  <conditionalFormatting sqref="I151">
    <cfRule type="expression" dxfId="78" priority="46">
      <formula>$I$151=template_label_ok</formula>
    </cfRule>
    <cfRule type="expression" dxfId="77" priority="47">
      <formula>$I$151=template_label_missing_value</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6">
      <formula>$I$174=template_label_value_inconsistency</formula>
    </cfRule>
    <cfRule type="expression" dxfId="67" priority="24">
      <formula>$I$174=template_label_missing_value</formula>
    </cfRule>
    <cfRule type="expression" dxfId="66" priority="25">
      <formula>$I$174=template_label_ok</formula>
    </cfRule>
  </conditionalFormatting>
  <conditionalFormatting sqref="I180">
    <cfRule type="expression" dxfId="65" priority="31">
      <formula>$I$180=template_label_ok</formula>
    </cfRule>
    <cfRule type="expression" dxfId="64" priority="32">
      <formula>$I$180=template_label_missing_value</formula>
    </cfRule>
  </conditionalFormatting>
  <conditionalFormatting sqref="I181">
    <cfRule type="expression" dxfId="63" priority="26">
      <formula>$I$181=template_label_missing_value</formula>
    </cfRule>
    <cfRule type="expression" dxfId="62" priority="27">
      <formula>$I$181=template_label_ok</formula>
    </cfRule>
  </conditionalFormatting>
  <conditionalFormatting sqref="I184">
    <cfRule type="expression" dxfId="61" priority="14">
      <formula>$I$184=template_label_ok</formula>
    </cfRule>
    <cfRule type="expression" dxfId="60" priority="15">
      <formula>$I$184=template_label_missing_value</formula>
    </cfRule>
  </conditionalFormatting>
  <conditionalFormatting sqref="I186:I190">
    <cfRule type="expression" dxfId="59" priority="5">
      <formula>$I$186=template_label_value_inconsistency</formula>
    </cfRule>
    <cfRule type="expression" dxfId="58" priority="12">
      <formula>$I$186=template_label_ok</formula>
    </cfRule>
    <cfRule type="expression" dxfId="57" priority="13">
      <formula>$I$186=template_label_missing_value</formula>
    </cfRule>
  </conditionalFormatting>
  <conditionalFormatting sqref="I191">
    <cfRule type="expression" dxfId="56" priority="20">
      <formula>$I$191=template_label_ok</formula>
    </cfRule>
    <cfRule type="expression" dxfId="55" priority="21">
      <formula>$I$191=template_label_missing_value</formula>
    </cfRule>
  </conditionalFormatting>
  <conditionalFormatting sqref="I192">
    <cfRule type="expression" dxfId="54" priority="8">
      <formula>$I$192=template_label_ok</formula>
    </cfRule>
  </conditionalFormatting>
  <conditionalFormatting sqref="I193">
    <cfRule type="expression" dxfId="53" priority="10">
      <formula>$I$193=template_label_missing_value</formula>
    </cfRule>
    <cfRule type="expression" dxfId="52" priority="11">
      <formula>$I$193=template_label_ok</formula>
    </cfRule>
  </conditionalFormatting>
  <conditionalFormatting sqref="I194">
    <cfRule type="expression" dxfId="51" priority="18">
      <formula>$I$194=template_label_missing_value</formula>
    </cfRule>
    <cfRule type="expression" dxfId="50" priority="19">
      <formula>$I$194=template_label_ok</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602"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603"/>
      <c r="E2" s="603"/>
      <c r="F2" s="603"/>
      <c r="G2" s="603"/>
      <c r="H2" s="604"/>
    </row>
    <row r="3" spans="1:9" x14ac:dyDescent="0.3">
      <c r="A3" s="10"/>
      <c r="B3" s="10"/>
      <c r="C3" s="1108">
        <v>43</v>
      </c>
      <c r="D3" s="1109"/>
      <c r="E3" s="1109"/>
      <c r="F3" s="1109"/>
      <c r="G3" s="1109"/>
      <c r="H3" s="1110"/>
    </row>
    <row r="4" spans="1:9" x14ac:dyDescent="0.3">
      <c r="A4" s="10"/>
      <c r="B4" s="10"/>
      <c r="C4" s="1111" t="s">
        <v>5663</v>
      </c>
      <c r="D4" s="1079"/>
      <c r="E4" s="1079"/>
      <c r="F4" s="1079"/>
      <c r="G4" s="1079"/>
      <c r="H4" s="1112"/>
    </row>
    <row r="5" spans="1:9" s="10" customFormat="1" x14ac:dyDescent="0.3">
      <c r="C5" s="1087" t="str">
        <f>template_label_has_the_undertaking_incurred_in_convictions_and_fines_in_the_reporting_period</f>
        <v>Has the undertaking incurred in convictions and fines in the reporting period?</v>
      </c>
      <c r="D5" s="1088"/>
      <c r="E5" s="1088"/>
      <c r="F5" s="1088"/>
      <c r="G5" s="1088"/>
      <c r="H5" s="168" t="b">
        <v>0</v>
      </c>
      <c r="I5" s="15"/>
    </row>
    <row r="6" spans="1:9" s="10" customFormat="1" ht="21.6" customHeight="1" x14ac:dyDescent="0.3">
      <c r="C6" s="1131" t="str">
        <f>template_label_total_number_of_convictions_for_the_violation_of_anti_corruption_and_anti_bribery_laws</f>
        <v>Total number of convictions  for the violation of anti-corruption and anti-bribery laws</v>
      </c>
      <c r="D6" s="1132"/>
      <c r="E6" s="1132"/>
      <c r="F6" s="1132"/>
      <c r="G6" s="1133"/>
      <c r="H6" s="289"/>
      <c r="I6" s="15" t="str">
        <f>IF(AND($H$5=TRUE,H6&lt;&gt;""), template_label_ok,
IF(AND($H$5=TRUE,H6=""), template_label_missing_value, ""))</f>
        <v/>
      </c>
    </row>
    <row r="7" spans="1:9" s="10" customFormat="1" ht="15" thickBot="1" x14ac:dyDescent="0.35">
      <c r="C7" s="1134"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35"/>
      <c r="E7" s="1135"/>
      <c r="F7" s="1135"/>
      <c r="G7" s="1136"/>
      <c r="H7" s="290"/>
      <c r="I7" s="15" t="str">
        <f>IF(AND($H$5=TRUE,H7&lt;&gt;""), template_label_ok,
IF(AND($H$5=TRUE,H7=""), template_label_missing_value, ""))</f>
        <v/>
      </c>
    </row>
    <row r="8" spans="1:9" s="10" customFormat="1" ht="15" thickBot="1" x14ac:dyDescent="0.35">
      <c r="I8" s="15"/>
    </row>
    <row r="9" spans="1:9" s="10" customFormat="1" x14ac:dyDescent="0.3">
      <c r="C9" s="900"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103"/>
      <c r="E9" s="1103"/>
      <c r="F9" s="1103"/>
      <c r="G9" s="1103"/>
      <c r="H9" s="1104"/>
      <c r="I9" s="15"/>
    </row>
    <row r="10" spans="1:9" ht="28.2" customHeight="1" x14ac:dyDescent="0.3">
      <c r="A10" s="10"/>
      <c r="B10" s="10"/>
      <c r="C10" s="1087" t="str">
        <f>template_label_is_the_undertaking_deriving_revenues_from_one_of_the_activities_listed_below</f>
        <v>Is the undertaking deriving revenues from one of the activities listed below?</v>
      </c>
      <c r="D10" s="1088"/>
      <c r="E10" s="1088"/>
      <c r="F10" s="1088"/>
      <c r="G10" s="1088"/>
      <c r="H10" s="169" t="b">
        <v>0</v>
      </c>
    </row>
    <row r="11" spans="1:9" x14ac:dyDescent="0.3">
      <c r="A11" s="10"/>
      <c r="B11" s="10"/>
      <c r="C11" s="1117"/>
      <c r="D11" s="1118"/>
      <c r="E11" s="1118"/>
      <c r="F11" s="1118"/>
      <c r="G11" s="1118"/>
      <c r="H11" s="53" t="str">
        <f>template_label_monetary_amount_in &amp; " " &amp; template_currency</f>
        <v xml:space="preserve">Monetary amount in </v>
      </c>
    </row>
    <row r="12" spans="1:9" s="10" customFormat="1" ht="32.4" customHeight="1" x14ac:dyDescent="0.3">
      <c r="A12" s="462" t="s">
        <v>3768</v>
      </c>
      <c r="B12" s="465" t="s">
        <v>5665</v>
      </c>
      <c r="C12" s="628" t="str">
        <f>template_label_revenue_derived_from_controversial_weapons</f>
        <v>Revenue derived from controversial weapons (anti-personnel mines cluster munitions chemical weapons and biological weapons)</v>
      </c>
      <c r="D12" s="629"/>
      <c r="E12" s="629"/>
      <c r="F12" s="629"/>
      <c r="G12" s="629"/>
      <c r="H12" s="285"/>
      <c r="I12" s="1091"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5665</v>
      </c>
      <c r="C13" s="703" t="str">
        <f>template_label_revenue_derived_from_cultivation_and_production_of_tobacco</f>
        <v>Revenue derived from cultivation and production of tobacco</v>
      </c>
      <c r="D13" s="849"/>
      <c r="E13" s="849"/>
      <c r="F13" s="849"/>
      <c r="G13" s="849"/>
      <c r="H13" s="286"/>
      <c r="I13" s="1091"/>
    </row>
    <row r="14" spans="1:9" s="10" customFormat="1" x14ac:dyDescent="0.3">
      <c r="A14" s="473" t="s">
        <v>3770</v>
      </c>
      <c r="B14" s="465" t="s">
        <v>5665</v>
      </c>
      <c r="C14" s="1092" t="str">
        <f>template_label_revenue_derived_from_coal</f>
        <v>Revenue derived from coal</v>
      </c>
      <c r="D14" s="1093"/>
      <c r="E14" s="1093"/>
      <c r="F14" s="1093"/>
      <c r="G14" s="1093"/>
      <c r="H14" s="287"/>
      <c r="I14" s="1091"/>
    </row>
    <row r="15" spans="1:9" s="10" customFormat="1" x14ac:dyDescent="0.3">
      <c r="A15" s="473" t="s">
        <v>3770</v>
      </c>
      <c r="B15" s="465" t="s">
        <v>5665</v>
      </c>
      <c r="C15" s="628" t="str">
        <f>template_label_revenue_derived_from_oil</f>
        <v>Revenue derived from oil</v>
      </c>
      <c r="D15" s="629"/>
      <c r="E15" s="629"/>
      <c r="F15" s="629"/>
      <c r="G15" s="629"/>
      <c r="H15" s="285"/>
      <c r="I15" s="1091"/>
    </row>
    <row r="16" spans="1:9" s="10" customFormat="1" x14ac:dyDescent="0.3">
      <c r="A16" s="473" t="s">
        <v>3770</v>
      </c>
      <c r="B16" s="465" t="s">
        <v>5665</v>
      </c>
      <c r="C16" s="628" t="str">
        <f>template_label_revenue_derived_from_gas</f>
        <v>Revenue derived from gas</v>
      </c>
      <c r="D16" s="629"/>
      <c r="E16" s="629"/>
      <c r="F16" s="629"/>
      <c r="G16" s="629"/>
      <c r="H16" s="285"/>
      <c r="I16" s="1091"/>
    </row>
    <row r="17" spans="1:9" s="10" customFormat="1" ht="60.6" customHeight="1" thickBot="1" x14ac:dyDescent="0.35">
      <c r="A17" s="473" t="s">
        <v>3770</v>
      </c>
      <c r="B17" s="465" t="s">
        <v>5665</v>
      </c>
      <c r="C17" s="1089"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090"/>
      <c r="E17" s="1090"/>
      <c r="F17" s="1090"/>
      <c r="G17" s="1090"/>
      <c r="H17" s="281" t="str">
        <f>IF(COUNTA(H14:H16)=0, "-", SUM(H14:H16))</f>
        <v>-</v>
      </c>
      <c r="I17" s="1091"/>
    </row>
    <row r="18" spans="1:9" s="10" customFormat="1" ht="15" thickBot="1" x14ac:dyDescent="0.35">
      <c r="A18" s="462" t="s">
        <v>3771</v>
      </c>
      <c r="B18" s="465" t="s">
        <v>5665</v>
      </c>
      <c r="C18" s="705" t="str">
        <f>template_label_revenue_derived_from_chemicals_production</f>
        <v>Revenue derived from chemicals production</v>
      </c>
      <c r="D18" s="1116"/>
      <c r="E18" s="1116"/>
      <c r="F18" s="1116"/>
      <c r="G18" s="1116"/>
      <c r="H18" s="288"/>
      <c r="I18" s="1091"/>
    </row>
    <row r="19" spans="1:9" s="10" customFormat="1" ht="15" thickBot="1" x14ac:dyDescent="0.35">
      <c r="I19" s="15"/>
    </row>
    <row r="20" spans="1:9" s="10" customFormat="1" x14ac:dyDescent="0.3">
      <c r="C20" s="900"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103"/>
      <c r="E20" s="1103"/>
      <c r="F20" s="1103"/>
      <c r="G20" s="1103"/>
      <c r="H20" s="1104"/>
      <c r="I20" s="15"/>
    </row>
    <row r="21" spans="1:9" s="10" customFormat="1" x14ac:dyDescent="0.3">
      <c r="B21" s="403"/>
      <c r="C21" s="1113" t="str">
        <f>template_label_undertakings_are_excluded_from_the_eu_paris_aligned_benchmarks_if_they_derive</f>
        <v>Undertakings are excluded from the EU Paris-aligned Benchmarks if they  derive:</v>
      </c>
      <c r="D21" s="1114"/>
      <c r="E21" s="1114"/>
      <c r="F21" s="1114"/>
      <c r="G21" s="1114"/>
      <c r="H21" s="1115"/>
      <c r="I21" s="15"/>
    </row>
    <row r="22" spans="1:9" s="10" customFormat="1" ht="30" customHeight="1" x14ac:dyDescent="0.3">
      <c r="A22" s="462">
        <v>64</v>
      </c>
      <c r="B22" s="465" t="s">
        <v>5664</v>
      </c>
      <c r="C22" s="1119" t="str">
        <f>template_label_1_percent_or_more_of_their_revenues_from_exploration_mining_extraction_distribution_or_refining_of_hard_coal_and_lignite</f>
        <v>1% or more of their revenues from exploration mining extraction distribution or refining of hard coal and lignite</v>
      </c>
      <c r="D22" s="1120"/>
      <c r="E22" s="1120"/>
      <c r="F22" s="1120"/>
      <c r="G22" s="1121"/>
      <c r="H22" s="170" t="b">
        <v>0</v>
      </c>
      <c r="I22" s="1025"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spans="1:9" s="10" customFormat="1" x14ac:dyDescent="0.3">
      <c r="A23" s="462">
        <v>64</v>
      </c>
      <c r="B23" s="465" t="s">
        <v>5666</v>
      </c>
      <c r="C23" s="1122" t="str">
        <f>template_label_10_percent_or_more_of_their_revenues_from_the_exploration_extraction_distribution_or_refining_of_oil_fuels</f>
        <v>10% or more of their revenues from the exploration extraction distribution or refining of oil fuels</v>
      </c>
      <c r="D23" s="1123"/>
      <c r="E23" s="1123"/>
      <c r="F23" s="1123"/>
      <c r="G23" s="1124"/>
      <c r="H23" s="171" t="b">
        <v>0</v>
      </c>
      <c r="I23" s="1025"/>
    </row>
    <row r="24" spans="1:9" s="10" customFormat="1" ht="32.4" customHeight="1" x14ac:dyDescent="0.3">
      <c r="A24" s="462">
        <v>64</v>
      </c>
      <c r="B24" s="465" t="s">
        <v>5667</v>
      </c>
      <c r="C24" s="1125" t="str">
        <f>template_label_50_percent_or_more_of_their_revenues_from_the_exploration_extraction_manufacturing_or_distribution_of_gaseous_fuels</f>
        <v>50% or more of their revenues from the exploration extraction manufacturing or distribution of gaseous fuels</v>
      </c>
      <c r="D24" s="1126"/>
      <c r="E24" s="1126"/>
      <c r="F24" s="1126"/>
      <c r="G24" s="1127"/>
      <c r="H24" s="171" t="b">
        <v>0</v>
      </c>
      <c r="I24" s="1025"/>
    </row>
    <row r="25" spans="1:9" s="10" customFormat="1" ht="31.2" customHeight="1" thickBot="1" x14ac:dyDescent="0.35">
      <c r="A25" s="462">
        <v>64</v>
      </c>
      <c r="B25" s="465" t="s">
        <v>5668</v>
      </c>
      <c r="C25" s="1128" t="str">
        <f>template_label_50_percent_or_more_of_their_revenues_from_electricity_generation</f>
        <v>50% or more of their revenues from electricity generation with a GHG intensity of more than 100g CO2 e kWh</v>
      </c>
      <c r="D25" s="1129"/>
      <c r="E25" s="1129"/>
      <c r="F25" s="1129"/>
      <c r="G25" s="1130"/>
      <c r="H25" s="172" t="b">
        <v>0</v>
      </c>
      <c r="I25" s="1025"/>
    </row>
    <row r="26" spans="1:9" s="10" customFormat="1" ht="15" thickBot="1" x14ac:dyDescent="0.35">
      <c r="C26" s="1097" t="str">
        <f>template_label_none_of_the_above</f>
        <v>None of the above</v>
      </c>
      <c r="D26" s="1098"/>
      <c r="E26" s="1098"/>
      <c r="F26" s="1098"/>
      <c r="G26" s="1099"/>
      <c r="H26" s="173" t="b">
        <v>0</v>
      </c>
      <c r="I26" s="1025"/>
    </row>
    <row r="27" spans="1:9" s="10" customFormat="1" ht="15" thickBot="1" x14ac:dyDescent="0.35">
      <c r="A27" s="462">
        <v>64</v>
      </c>
      <c r="B27" s="465">
        <v>177</v>
      </c>
      <c r="C27" s="1100" t="str">
        <f>template_label_undertakings_are_excluded_from_any_eu_reference_benchmarks_that_are_aligned_with_the_paris_agreement</f>
        <v>Undertakings are excluded from any EU reference benchmarks that are aligned with the Paris Agreement</v>
      </c>
      <c r="D27" s="1101"/>
      <c r="E27" s="1101"/>
      <c r="F27" s="1101"/>
      <c r="G27" s="1102"/>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x14ac:dyDescent="0.3">
      <c r="C29" s="1105" t="str">
        <f>template_label_c9_gender_diversity_ratio_in_the_governance_body&amp;" "&amp;template_label_at&amp;" "&amp;template_ending_date_display&amp;" "&amp;template_label_if_applicable</f>
        <v>C9 – Gender diversity ratio in the governance body at - [If applicable]</v>
      </c>
      <c r="D29" s="1106"/>
      <c r="E29" s="1106"/>
      <c r="F29" s="1106"/>
      <c r="G29" s="1106"/>
      <c r="H29" s="1107"/>
      <c r="I29" s="15"/>
    </row>
    <row r="30" spans="1:9" s="10" customFormat="1" x14ac:dyDescent="0.3">
      <c r="C30" s="1087" t="str">
        <f>template_label_does_the_undertaking_have_a_governance_body_in_place</f>
        <v>Does the undertaking have a governance body in place?</v>
      </c>
      <c r="D30" s="1088"/>
      <c r="E30" s="1088"/>
      <c r="F30" s="1088"/>
      <c r="G30" s="1088"/>
      <c r="H30" s="169" t="b">
        <v>0</v>
      </c>
      <c r="I30" s="15"/>
    </row>
    <row r="31" spans="1:9" s="10" customFormat="1" x14ac:dyDescent="0.3">
      <c r="A31" s="1079">
        <v>65</v>
      </c>
      <c r="B31" s="1082" t="s">
        <v>5669</v>
      </c>
      <c r="C31" s="1087" t="str">
        <f>template_label_number_of_female_board_members_at_the_end_of_the_reporting_period</f>
        <v>Number of female board members at the end of the reporting period</v>
      </c>
      <c r="D31" s="1088"/>
      <c r="E31" s="1088"/>
      <c r="F31" s="1088"/>
      <c r="G31" s="1088"/>
      <c r="H31" s="285"/>
      <c r="I31" s="15" t="str">
        <f>IF(AND($H$30=TRUE, H31&lt;&gt;""), template_label_ok, IF(AND($H$30=TRUE, H31=""), template_label_missing_value, ""))</f>
        <v/>
      </c>
    </row>
    <row r="32" spans="1:9" s="10" customFormat="1" x14ac:dyDescent="0.3">
      <c r="A32" s="1080"/>
      <c r="B32" s="1083"/>
      <c r="C32" s="1087" t="str">
        <f>template_label_number_of_male_board_members_at_the_end_of_the_reporting_period</f>
        <v>Number of male board members at the end of the reporting period</v>
      </c>
      <c r="D32" s="1088"/>
      <c r="E32" s="1088"/>
      <c r="F32" s="1088"/>
      <c r="G32" s="1088"/>
      <c r="H32" s="285"/>
      <c r="I32" s="15" t="str">
        <f>IF(AND($H$30=TRUE, H32&lt;&gt;""), template_label_ok, IF(AND($H$30=TRUE, H32=""), template_label_missing_value, ""))</f>
        <v/>
      </c>
    </row>
    <row r="33" spans="1:9" s="10" customFormat="1" ht="15" thickBot="1" x14ac:dyDescent="0.35">
      <c r="A33" s="1081"/>
      <c r="B33" s="1084"/>
      <c r="C33" s="1085" t="str">
        <f>template_label_gender_diversity_ratio_in_governance_body</f>
        <v>Gender diversity ratio in governance body</v>
      </c>
      <c r="D33" s="1086"/>
      <c r="E33" s="1086"/>
      <c r="F33" s="1086"/>
      <c r="G33" s="1086"/>
      <c r="H33" s="281" t="str">
        <f>IF(AND(H31&lt;&gt;"",H32&lt;&gt;""),IF(OR(H31=0,H32=0),0,H31/H32),"-")</f>
        <v>-</v>
      </c>
      <c r="I33" s="15"/>
    </row>
    <row r="34" spans="1:9" s="10" customFormat="1" x14ac:dyDescent="0.3">
      <c r="I34" s="15"/>
    </row>
    <row r="35" spans="1:9" s="10" customFormat="1" x14ac:dyDescent="0.3">
      <c r="I35" s="15"/>
    </row>
    <row r="36" spans="1:9" s="10" customFormat="1" x14ac:dyDescent="0.3">
      <c r="C36" s="556"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 to - [May (optional)]</v>
      </c>
      <c r="D36" s="557"/>
      <c r="E36" s="557"/>
      <c r="F36" s="557"/>
      <c r="G36" s="557"/>
      <c r="H36" s="558"/>
      <c r="I36" s="15"/>
    </row>
    <row r="37" spans="1:9" s="10" customFormat="1" x14ac:dyDescent="0.3">
      <c r="C37" s="1094">
        <v>10</v>
      </c>
      <c r="D37" s="1095"/>
      <c r="E37" s="1095"/>
      <c r="F37" s="1095"/>
      <c r="G37" s="1095"/>
      <c r="H37" s="1096"/>
      <c r="I37" s="15"/>
    </row>
    <row r="38" spans="1:9" s="10" customFormat="1" ht="15" thickBot="1" x14ac:dyDescent="0.35">
      <c r="C38" s="550"/>
      <c r="D38" s="551"/>
      <c r="E38" s="551"/>
      <c r="F38" s="551"/>
      <c r="G38" s="551"/>
      <c r="H38" s="1076"/>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37"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37"/>
      <c r="C3" s="1137"/>
      <c r="D3" s="1137"/>
      <c r="E3" s="1137"/>
      <c r="F3" s="1137"/>
      <c r="G3" s="1137"/>
      <c r="H3" s="1137"/>
      <c r="I3" s="1137"/>
      <c r="J3" s="1137"/>
      <c r="K3" s="1137"/>
      <c r="AL3" s="10"/>
      <c r="AN3" s="10"/>
      <c r="AO3" s="10"/>
      <c r="AP3" s="10"/>
    </row>
    <row r="4" spans="1:53" ht="44.55" customHeight="1" x14ac:dyDescent="0.4">
      <c r="A4" s="1137"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37"/>
      <c r="C4" s="1137"/>
      <c r="D4" s="1137"/>
      <c r="E4" s="1137"/>
      <c r="F4" s="1137"/>
      <c r="G4" s="1137"/>
      <c r="H4" s="1137"/>
      <c r="I4" s="1137"/>
      <c r="J4" s="1137"/>
      <c r="K4" s="1137"/>
      <c r="AL4" s="10"/>
      <c r="AN4" s="10"/>
      <c r="AO4" s="10"/>
      <c r="AP4" s="10"/>
    </row>
    <row r="5" spans="1:53" ht="48.45" customHeight="1" thickBot="1" x14ac:dyDescent="0.45">
      <c r="A5" s="1137"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37"/>
      <c r="C5" s="1137"/>
      <c r="D5" s="1137"/>
      <c r="E5" s="1137"/>
      <c r="F5" s="1137"/>
      <c r="G5" s="1137"/>
      <c r="H5" s="1137"/>
      <c r="I5" s="1137"/>
      <c r="J5" s="1137"/>
      <c r="K5" s="1137"/>
      <c r="AL5" s="10"/>
      <c r="AN5" s="10"/>
      <c r="AO5" s="10"/>
      <c r="AP5" s="10"/>
    </row>
    <row r="6" spans="1:53" ht="35.4" customHeight="1" thickBot="1" x14ac:dyDescent="0.35">
      <c r="A6" s="400"/>
      <c r="B6" s="1156" t="str">
        <f>template_label_indicates_that_the_cell_should_be_filled_either_by_selecting_a_value_from_the_dropdown</f>
        <v>Indicates that the cell should be filled either by selecting a value from the dropdown (e.g. Type of fuel or Unit of Measurement) or by entering an amount.</v>
      </c>
      <c r="C6" s="1157"/>
      <c r="D6" s="1157"/>
      <c r="E6" s="1157"/>
      <c r="F6" s="1158"/>
      <c r="G6" s="401"/>
      <c r="H6" s="399"/>
      <c r="I6" s="399"/>
      <c r="J6" s="399"/>
      <c r="AL6" s="10"/>
      <c r="AN6" s="10"/>
      <c r="AO6" s="10"/>
      <c r="AP6" s="10"/>
    </row>
    <row r="7" spans="1:53" ht="44.4" customHeight="1" thickBot="1" x14ac:dyDescent="0.35">
      <c r="A7" s="402" t="s">
        <v>3539</v>
      </c>
      <c r="B7" s="1156" t="str">
        <f>template_label_indicates_that_the_cell_is_automatically_calculated_and_that_no_data_entry_is_required</f>
        <v>Indicates that the cell is automatically calculated and that no data entry is required.</v>
      </c>
      <c r="C7" s="1157"/>
      <c r="D7" s="1157"/>
      <c r="E7" s="1157"/>
      <c r="F7" s="1158"/>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c r="B10" s="393"/>
      <c r="C10" s="394"/>
      <c r="D10" s="410" t="str">
        <f>P11</f>
        <v>-</v>
      </c>
      <c r="E10" s="411" t="str">
        <f>P12</f>
        <v>-</v>
      </c>
      <c r="F10" s="412" t="str">
        <f>IF(C10="","-",O22)</f>
        <v>-</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v>
      </c>
      <c r="Q10" s="416"/>
      <c r="S10" s="414" t="s">
        <v>2926</v>
      </c>
      <c r="T10" s="415" t="str">
        <f>IF(A11="","-",A11)</f>
        <v>-</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c r="B11" s="393"/>
      <c r="C11" s="394"/>
      <c r="D11" s="417" t="str">
        <f>T11</f>
        <v>-</v>
      </c>
      <c r="E11" s="418" t="str">
        <f>T12</f>
        <v>-</v>
      </c>
      <c r="F11" s="411" t="str">
        <f>IF(C11="","-",S22)</f>
        <v>-</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v>
      </c>
      <c r="Q11" s="416"/>
      <c r="S11" s="414" t="s">
        <v>3019</v>
      </c>
      <c r="T11" s="402" t="str">
        <f>IF(OR(T10="", T10="-"), "-", IFERROR(IF(INDEX('Fuel Conversion Parameters'!$B$2:$B$61, MATCH(T10, 'Fuel Conversion Parameters'!$A$2:$A$61, 0))="", "MISSING VALUE", INDEX('Fuel Conversion Parameters'!$B$2:$B$61, MATCH(T10, 'Fuel Conversion Parameters'!$A$2:$A$61, 0))), "MISSING VALUE"))</f>
        <v>-</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v>
      </c>
      <c r="Q12" s="416"/>
      <c r="S12" s="414" t="s">
        <v>3577</v>
      </c>
      <c r="T12" s="402" t="str">
        <f>IF(OR(T10="", T10="-"), "-", IFERROR(IF(INDEX('Fuel Conversion Parameters'!$F$2:$F$61, MATCH(T10, 'Fuel Conversion Parameters'!$A$2:$A$61, 0))="", "MISSING VALUE", INDEX('Fuel Conversion Parameters'!$F$2:$F$61, MATCH(T10, 'Fuel Conversion Parameters'!$A$2:$A$61, 0))), "MISSING VALUE"))</f>
        <v>-</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f>B10</f>
        <v>0</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f>B11</f>
        <v>0</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0</v>
      </c>
      <c r="Q17" s="416"/>
      <c r="S17" s="414" t="s">
        <v>3024</v>
      </c>
      <c r="T17" s="425">
        <f>C11</f>
        <v>0</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t="str">
        <f>IF(P16="g - gram",P17*0.000000001,
IF(P16="Kg - Kilogram",P17*0.000001,
IF(P16="t - tonne",P17*0.001,
IF(P16="Gg - Gigagram",P17*1,
IF(P16="m³ - cubic meters",P17*1000,
IF(P16="L - Liter",P17*1,
""))))))</f>
        <v/>
      </c>
      <c r="Q18" s="416"/>
      <c r="S18" s="420"/>
      <c r="T18" s="427" t="str">
        <f>IF(T16="g - gram",T17*0.000000001,
IF(T16="Kg - Kilogram",T17*0.000001,
IF(T16="t - tonne",T17*0.001,
IF(T16="Gg - Gigagram",T17*1,
IF(T16="m³ - cubic meters",T17*1000,
IF(T16="L - Liter",T17*1,
""))))))</f>
        <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t="str">
        <f>IF(OR(
   O23="",
   P17="",
   Q16="Liquid fuel: please change unit of measurement, select one among m³ and L",
   Q16="Gaseous fuel: please change unit of measurement, select one among m³ and L",
   Q16="Solid fuel: please change unit of measurement, select one among Gg, t, Kg and g"
),
"-",
IFERROR(O23*277.778, "")
)</f>
        <v>-</v>
      </c>
      <c r="P22" s="10" t="str">
        <f>IFERROR(IF(AND(P17&lt;&gt;0,O22=0),"ERROR",""),"")</f>
        <v/>
      </c>
      <c r="Q22" s="416"/>
      <c r="S22" s="431" t="str">
        <f>IF(OR(
   S23="",
   T17="",
   U16="Liquid fuel: please change unit of measurement, select one among m³ and L",
   U16="Gaseous fuel: please change unit of measurement, select one among m³ and L",
   U16="Solid fuel: please change unit of measurement, select one among Gg, t, Kg and g"
),
"-",
IFERROR(S23*277.778, "")
)</f>
        <v>-</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44" t="str">
        <f>template_label_transfer_the_total_results_to_the_b3_fuel_energy_consumption_reporting_cell</f>
        <v>Transfer the total calculated results to the B3 "Fuel Energy Consumption" reporting cell</v>
      </c>
      <c r="B23" s="1145"/>
      <c r="C23" s="1146"/>
      <c r="D23" s="1150" t="b">
        <v>0</v>
      </c>
      <c r="E23" s="1151"/>
      <c r="F23" s="1152"/>
      <c r="O23" s="432" t="str">
        <f>IFERROR(A27, "")</f>
        <v/>
      </c>
      <c r="P23" s="403"/>
      <c r="Q23" s="433"/>
      <c r="S23" s="432" t="str">
        <f>IFERROR(L26, "")</f>
        <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47"/>
      <c r="B24" s="1148"/>
      <c r="C24" s="1149"/>
      <c r="D24" s="1153"/>
      <c r="E24" s="1154"/>
      <c r="F24" s="1155"/>
      <c r="O24" s="434" t="str">
        <f>IFERROR(
    IF(AND(T11="Solid"),T18,
        IF(AND(T11="Liquid"),T18*_xlfn.XLOOKUP(T10,'Fuel Conversion Parameters'!$A$2:$A$51,'Fuel Conversion Parameters'!$D$2:$D$51)*10^(-6),
            IF(AND(T11="Gaseous"),T18*_xlfn.XLOOKUP(T10,'Fuel Conversion Parameters'!$A$2:$A$51,'Fuel Conversion Parameters'!$E$2:$E$51)*10^(-3)*10^(-6),"")
        )
    ),
    ""
)</f>
        <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t="str">
        <f>IFERROR(
    IF(AND(P11="Solid"),P18,
        IF(AND(P11="Liquid"),P18*_xlfn.XLOOKUP(P10,'Fuel Conversion Parameters'!$A$2:$A$51,'Fuel Conversion Parameters'!$D$2:$D$51)*10^(-6),
            IF(AND(P11="Gaseous"),P18*_xlfn.XLOOKUP(P10,'Fuel Conversion Parameters'!$A$2:$A$51,'Fuel Conversion Parameters'!$E$2:$E$51)*10^(-3)*10^(-6),"")
        )
    ),
    ""
)</f>
        <v/>
      </c>
      <c r="B25" s="10"/>
      <c r="L25" s="434" t="str">
        <f>IFERROR(VLOOKUP(T10, 'Fuel Conversion Parameters'!$A:$C, 3, FALSE), "")</f>
        <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t="str">
        <f>IFERROR(VLOOKUP(P10, 'Fuel Conversion Parameters'!$A:$C, 3, FALSE), "")</f>
        <v/>
      </c>
      <c r="B26" s="434" t="str">
        <f>IF(B24="m³ - cubic meters",B25*1000,
IF(B24="L - Liter",B25*1,
""))</f>
        <v/>
      </c>
      <c r="L26" s="435" t="str">
        <f>IFERROR(IF(OR(O24="", L25=""), "", O24*L25), "")</f>
        <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t="str">
        <f>IFERROR(IF(OR(A25="", A26=""), "", A25*A26), "")</f>
        <v/>
      </c>
      <c r="B27" s="10"/>
      <c r="AL27" s="10"/>
      <c r="AN27" s="10"/>
      <c r="AO27" s="10"/>
      <c r="AP27" s="10"/>
    </row>
    <row r="28" spans="1:53" ht="15" thickBot="1" x14ac:dyDescent="0.35">
      <c r="A28" s="1140" t="str">
        <f>template_label_total_energy</f>
        <v>Total Energy [MWh]</v>
      </c>
      <c r="B28" s="1141"/>
      <c r="AL28" s="10"/>
      <c r="AN28" s="10"/>
      <c r="AO28" s="10"/>
      <c r="AP28" s="10"/>
    </row>
    <row r="29" spans="1:53" ht="15" thickBot="1" x14ac:dyDescent="0.35">
      <c r="A29" s="1142" t="str">
        <f>IFERROR(A32+B32, "-")</f>
        <v>-</v>
      </c>
      <c r="B29" s="1143"/>
      <c r="AL29" s="10"/>
      <c r="AN29" s="10"/>
      <c r="AO29" s="10"/>
      <c r="AP29" s="10"/>
    </row>
    <row r="30" spans="1:53" ht="15" thickBot="1" x14ac:dyDescent="0.35">
      <c r="A30" s="10"/>
      <c r="B30" s="10"/>
      <c r="L30" s="435" t="str">
        <f>IFERROR(L33, "")</f>
        <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t="str">
        <f>IFERROR(
    IF(AND(T17&lt;&gt;"",T21="",M25=""),T18,
        IF(AND(T17="",T21&lt;&gt;"",M25=""),T22*_xlfn.XLOOKUP(T10,'Fuel Conversion Parameters'!$A$2:$A$51,'Fuel Conversion Parameters'!$D$2:$D$51)*10^(-6),
            IF(AND(T17="",T21="",M25&lt;&gt;""),M26*_xlfn.XLOOKUP(T10,'Fuel Conversion Parameters'!$A$2:$A$51,'Fuel Conversion Parameters'!$E$2:$E$51)*10^(-3)*10^(-6),"")
        )
    ),
    ""
)</f>
        <v/>
      </c>
      <c r="AL31" s="10"/>
      <c r="AN31" s="10"/>
      <c r="AO31" s="10"/>
      <c r="AP31" s="10"/>
    </row>
    <row r="32" spans="1:53" ht="15" thickBot="1" x14ac:dyDescent="0.35">
      <c r="A32" s="431" t="str">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v>
      </c>
      <c r="B32" s="431" t="str">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v>
      </c>
      <c r="L32" s="435" t="str">
        <f>IFERROR(VLOOKUP(T10, 'Fuel Conversion Parameters'!$A:$C, 3, FALSE), "")</f>
        <v/>
      </c>
      <c r="AL32" s="10"/>
      <c r="AN32" s="10"/>
      <c r="AO32" s="10"/>
      <c r="AP32" s="10"/>
    </row>
    <row r="33" spans="1:42" x14ac:dyDescent="0.3">
      <c r="A33" s="435"/>
      <c r="B33" s="10"/>
      <c r="L33" s="435" t="str">
        <f>IFERROR(IF(OR(L31="", L32=""), "", L31*L32), "")</f>
        <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948"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48"/>
      <c r="AL37" s="10"/>
      <c r="AN37" s="10"/>
      <c r="AO37" s="10"/>
      <c r="AP37" s="10"/>
    </row>
    <row r="38" spans="1:42" x14ac:dyDescent="0.3">
      <c r="A38" s="10"/>
      <c r="B38" s="10"/>
      <c r="AL38" s="10"/>
      <c r="AN38" s="10"/>
      <c r="AO38" s="10"/>
      <c r="AP38" s="10"/>
    </row>
    <row r="39" spans="1:42" x14ac:dyDescent="0.3">
      <c r="A39" s="1138" t="str">
        <f>template_label_energy_consumption_per_hour_in_mwh_for_solid_fuels</f>
        <v>Energy Consumption per Hour in MWh for Solid Fuels:</v>
      </c>
      <c r="B39" s="1138"/>
      <c r="AL39" s="10"/>
      <c r="AN39" s="10"/>
      <c r="AO39" s="10"/>
      <c r="AP39" s="10"/>
    </row>
    <row r="40" spans="1:42" ht="18" x14ac:dyDescent="0.35">
      <c r="A40" s="1139" t="str">
        <f>template_label_energy_solid_fuels</f>
        <v>Energy [MWh] = Mass [t] * NCV [MWh/t]</v>
      </c>
      <c r="B40" s="1139"/>
      <c r="AL40" s="10"/>
      <c r="AN40" s="10"/>
      <c r="AO40" s="10"/>
      <c r="AP40" s="10"/>
    </row>
    <row r="41" spans="1:42" x14ac:dyDescent="0.3">
      <c r="A41" s="1138"/>
      <c r="B41" s="1138"/>
      <c r="AL41" s="10"/>
      <c r="AN41" s="10"/>
      <c r="AO41" s="10"/>
      <c r="AP41" s="10"/>
    </row>
    <row r="42" spans="1:42" x14ac:dyDescent="0.3">
      <c r="A42" s="1138" t="str">
        <f>template_label_energy_consumption_per_hour_in_mwh_for_liquid_fuels</f>
        <v>Energy Consumption per Hour in MWh for Liquid Fuels:</v>
      </c>
      <c r="B42" s="1138"/>
      <c r="AL42" s="10"/>
      <c r="AN42" s="10"/>
      <c r="AO42" s="10"/>
      <c r="AP42" s="10"/>
    </row>
    <row r="43" spans="1:42" ht="18" x14ac:dyDescent="0.35">
      <c r="A43" s="1139" t="str">
        <f>template_label_mass_liquid_fuels</f>
        <v>Mass [t] = Volume [L] * Density [t/L]</v>
      </c>
      <c r="B43" s="1139"/>
      <c r="AL43" s="10"/>
      <c r="AN43" s="10"/>
      <c r="AO43" s="10"/>
      <c r="AP43" s="10"/>
    </row>
    <row r="44" spans="1:42" ht="18" x14ac:dyDescent="0.35">
      <c r="A44" s="1139" t="str">
        <f>template_label_energy_liquid_fuels</f>
        <v>Energy [MWh] = Mass [t] * [MWh/t]</v>
      </c>
      <c r="B44" s="1139"/>
      <c r="AL44" s="10"/>
      <c r="AN44" s="10"/>
      <c r="AO44" s="10"/>
      <c r="AP44" s="10"/>
    </row>
    <row r="45" spans="1:42" x14ac:dyDescent="0.3">
      <c r="A45" s="1138"/>
      <c r="B45" s="1138"/>
      <c r="AL45" s="10"/>
      <c r="AN45" s="10"/>
      <c r="AO45" s="10"/>
      <c r="AP45" s="10"/>
    </row>
    <row r="46" spans="1:42" x14ac:dyDescent="0.3">
      <c r="A46" s="1138" t="str">
        <f>template_label_energy_consumption_per_hour_in_mwh_for_gaseous_fuels</f>
        <v>Energy Consumption per Hour in MWh for Gaseous Fuels:</v>
      </c>
      <c r="B46" s="1138"/>
      <c r="AL46" s="10"/>
      <c r="AN46" s="10"/>
      <c r="AO46" s="10"/>
      <c r="AP46" s="10"/>
    </row>
    <row r="47" spans="1:42" ht="18" x14ac:dyDescent="0.35">
      <c r="A47" s="1139" t="str">
        <f>template_label_mass_gaseous_fuels</f>
        <v>Mass [t] = Volume [m³] * Density [t/m³]</v>
      </c>
      <c r="B47" s="1139"/>
      <c r="C47" s="454"/>
      <c r="AL47" s="10"/>
      <c r="AN47" s="10"/>
      <c r="AO47" s="10"/>
      <c r="AP47" s="10"/>
    </row>
    <row r="48" spans="1:42" ht="18" x14ac:dyDescent="0.35">
      <c r="A48" s="1139" t="str">
        <f>template_label_energy_gaseous_fuels</f>
        <v>Energy [MWh] = Mass [t] * NCV [MWh/t]</v>
      </c>
      <c r="B48" s="1139"/>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83" t="s">
        <v>3583</v>
      </c>
      <c r="B62" s="1184"/>
      <c r="C62" s="1184"/>
      <c r="D62" s="1184"/>
      <c r="E62" s="1184"/>
      <c r="F62" s="1184"/>
      <c r="G62" s="1184"/>
      <c r="H62" s="1184"/>
      <c r="I62" s="1184"/>
      <c r="J62" s="1184"/>
      <c r="K62" s="1184"/>
      <c r="L62" s="1184"/>
      <c r="M62" s="1184"/>
      <c r="N62" s="1184"/>
      <c r="O62" s="1184"/>
      <c r="P62" s="1184"/>
      <c r="Q62" s="1184"/>
      <c r="R62" s="1184"/>
      <c r="S62" s="1184"/>
      <c r="T62" s="1184"/>
      <c r="U62" s="1184"/>
      <c r="V62" s="1184"/>
      <c r="W62" s="1184"/>
      <c r="X62" s="1184"/>
      <c r="Y62" s="1184"/>
      <c r="Z62" s="1184"/>
      <c r="AA62" s="1184"/>
      <c r="AB62" s="1184"/>
      <c r="AC62" s="1184"/>
      <c r="AD62" s="1184"/>
      <c r="AE62" s="1184"/>
      <c r="AF62" s="1184"/>
      <c r="AG62" s="1184"/>
      <c r="AH62" s="1184"/>
      <c r="AI62" s="1184"/>
      <c r="AJ62" s="1184"/>
      <c r="AK62" s="1184"/>
      <c r="AL62" s="1184"/>
      <c r="AM62" s="1184"/>
      <c r="AN62" s="1184"/>
      <c r="AO62" s="1184"/>
      <c r="AP62" s="1184"/>
      <c r="AQ62" s="1184"/>
      <c r="AR62" s="1184"/>
      <c r="AS62" s="1184"/>
      <c r="AT62" s="1184"/>
      <c r="AU62" s="1184"/>
      <c r="AV62" s="1184"/>
      <c r="AW62" s="1184"/>
      <c r="AX62" s="1184"/>
      <c r="AY62" s="1185"/>
    </row>
    <row r="63" spans="1:51" ht="43.95" customHeight="1" x14ac:dyDescent="0.3">
      <c r="A63" s="1186" t="s">
        <v>3616</v>
      </c>
      <c r="B63" s="1187"/>
      <c r="C63" s="1187"/>
      <c r="D63" s="1187"/>
      <c r="E63" s="1187"/>
      <c r="F63" s="1187"/>
      <c r="G63" s="1187"/>
      <c r="H63" s="1187"/>
      <c r="I63" s="1187"/>
      <c r="J63" s="1187"/>
      <c r="K63" s="1187"/>
      <c r="L63" s="1187"/>
      <c r="M63" s="1187"/>
      <c r="N63" s="1187"/>
      <c r="O63" s="1187"/>
      <c r="P63" s="1187"/>
      <c r="Q63" s="1187"/>
      <c r="R63" s="1187"/>
      <c r="S63" s="1187"/>
      <c r="T63" s="1187"/>
      <c r="U63" s="1187"/>
      <c r="V63" s="1187"/>
      <c r="W63" s="1187"/>
      <c r="X63" s="1187"/>
      <c r="Y63" s="1187"/>
      <c r="Z63" s="1187"/>
      <c r="AA63" s="1187"/>
      <c r="AB63" s="1187"/>
      <c r="AC63" s="1187"/>
      <c r="AD63" s="1187"/>
      <c r="AE63" s="1187"/>
      <c r="AF63" s="1187"/>
      <c r="AG63" s="1187"/>
      <c r="AH63" s="1187"/>
      <c r="AI63" s="1187"/>
      <c r="AJ63" s="1187"/>
      <c r="AK63" s="1187"/>
      <c r="AL63" s="1187"/>
      <c r="AM63" s="1187"/>
      <c r="AN63" s="1187"/>
      <c r="AO63" s="1187"/>
      <c r="AP63" s="1187"/>
      <c r="AQ63" s="1187"/>
      <c r="AR63" s="1187"/>
      <c r="AS63" s="1187"/>
      <c r="AT63" s="1187"/>
      <c r="AU63" s="1187"/>
      <c r="AV63" s="1187"/>
      <c r="AW63" s="1187"/>
      <c r="AX63" s="1187"/>
      <c r="AY63" s="1188"/>
    </row>
    <row r="64" spans="1:51" x14ac:dyDescent="0.3">
      <c r="A64" s="1189" t="s">
        <v>3617</v>
      </c>
      <c r="B64" s="1190"/>
      <c r="C64" s="1190"/>
      <c r="D64" s="1190"/>
      <c r="E64" s="1190"/>
      <c r="F64" s="1190"/>
      <c r="G64" s="1190"/>
      <c r="H64" s="1190"/>
      <c r="I64" s="1190"/>
      <c r="J64" s="1190"/>
      <c r="K64" s="1190"/>
      <c r="L64" s="1190"/>
      <c r="M64" s="1190"/>
      <c r="N64" s="1190"/>
      <c r="O64" s="1190"/>
      <c r="P64" s="1190"/>
      <c r="Q64" s="1190"/>
      <c r="R64" s="1190"/>
      <c r="S64" s="1190"/>
      <c r="T64" s="1190"/>
      <c r="U64" s="1190"/>
      <c r="V64" s="1190"/>
      <c r="W64" s="1190"/>
      <c r="X64" s="1190"/>
      <c r="Y64" s="1190"/>
      <c r="Z64" s="1190"/>
      <c r="AA64" s="1190"/>
      <c r="AB64" s="1190"/>
      <c r="AC64" s="1190"/>
      <c r="AD64" s="1190"/>
      <c r="AE64" s="1190"/>
      <c r="AF64" s="1190"/>
      <c r="AG64" s="1190"/>
      <c r="AH64" s="1190"/>
      <c r="AI64" s="1190"/>
      <c r="AJ64" s="1190"/>
      <c r="AK64" s="1190"/>
      <c r="AL64" s="1190"/>
      <c r="AM64" s="1190"/>
      <c r="AN64" s="1190"/>
      <c r="AO64" s="1190"/>
      <c r="AP64" s="1190"/>
      <c r="AQ64" s="1190"/>
      <c r="AR64" s="1190"/>
      <c r="AS64" s="1190"/>
      <c r="AT64" s="1190"/>
      <c r="AU64" s="1190"/>
      <c r="AV64" s="1190"/>
      <c r="AW64" s="1190"/>
      <c r="AX64" s="1190"/>
      <c r="AY64" s="1191"/>
    </row>
    <row r="65" spans="1:51" x14ac:dyDescent="0.3">
      <c r="A65" s="1180" t="s">
        <v>3584</v>
      </c>
      <c r="B65" s="1181"/>
      <c r="C65" s="1181"/>
      <c r="D65" s="1181"/>
      <c r="E65" s="1181"/>
      <c r="F65" s="1181"/>
      <c r="G65" s="1181"/>
      <c r="H65" s="1181"/>
      <c r="I65" s="1181"/>
      <c r="J65" s="1181"/>
      <c r="K65" s="1181"/>
      <c r="L65" s="1181"/>
      <c r="M65" s="1181"/>
      <c r="N65" s="1181"/>
      <c r="O65" s="1181"/>
      <c r="P65" s="1181"/>
      <c r="Q65" s="1181"/>
      <c r="R65" s="1181"/>
      <c r="S65" s="1181"/>
      <c r="T65" s="1181"/>
      <c r="U65" s="1181"/>
      <c r="V65" s="1181"/>
      <c r="W65" s="1181"/>
      <c r="X65" s="1181"/>
      <c r="Y65" s="1181"/>
      <c r="Z65" s="1181"/>
      <c r="AA65" s="1181"/>
      <c r="AB65" s="1181"/>
      <c r="AC65" s="1181"/>
      <c r="AD65" s="1181"/>
      <c r="AE65" s="1181"/>
      <c r="AF65" s="1181"/>
      <c r="AG65" s="1181"/>
      <c r="AH65" s="1181"/>
      <c r="AI65" s="1181"/>
      <c r="AJ65" s="1181"/>
      <c r="AK65" s="1181"/>
      <c r="AL65" s="1181"/>
      <c r="AM65" s="1181"/>
      <c r="AN65" s="1181"/>
      <c r="AO65" s="1181"/>
      <c r="AP65" s="1181"/>
      <c r="AQ65" s="1181"/>
      <c r="AR65" s="1181"/>
      <c r="AS65" s="1181"/>
      <c r="AT65" s="1181"/>
      <c r="AU65" s="1181"/>
      <c r="AV65" s="1181"/>
      <c r="AW65" s="1181"/>
      <c r="AX65" s="1181"/>
      <c r="AY65" s="1182"/>
    </row>
    <row r="66" spans="1:51" x14ac:dyDescent="0.3">
      <c r="A66" s="1159" t="s">
        <v>3618</v>
      </c>
      <c r="B66" s="1160"/>
      <c r="C66" s="1160"/>
      <c r="D66" s="1160"/>
      <c r="E66" s="1160"/>
      <c r="F66" s="1160"/>
      <c r="G66" s="1160"/>
      <c r="H66" s="1160"/>
      <c r="I66" s="1160"/>
      <c r="J66" s="1160"/>
      <c r="K66" s="1160"/>
      <c r="L66" s="1160"/>
      <c r="M66" s="1160"/>
      <c r="N66" s="1160"/>
      <c r="O66" s="1160"/>
      <c r="P66" s="1160"/>
      <c r="Q66" s="1160"/>
      <c r="R66" s="1160"/>
      <c r="S66" s="1160"/>
      <c r="T66" s="1160"/>
      <c r="U66" s="1160"/>
      <c r="V66" s="1160"/>
      <c r="W66" s="1160"/>
      <c r="X66" s="1160"/>
      <c r="Y66" s="1160"/>
      <c r="Z66" s="1160"/>
      <c r="AA66" s="1160"/>
      <c r="AB66" s="1160"/>
      <c r="AC66" s="1160"/>
      <c r="AD66" s="1160"/>
      <c r="AE66" s="1160"/>
      <c r="AF66" s="1160"/>
      <c r="AG66" s="1160"/>
      <c r="AH66" s="1160"/>
      <c r="AI66" s="1160"/>
      <c r="AJ66" s="1160"/>
      <c r="AK66" s="1160"/>
      <c r="AL66" s="1160"/>
      <c r="AM66" s="1160"/>
      <c r="AN66" s="1160"/>
      <c r="AO66" s="1160"/>
      <c r="AP66" s="1160"/>
      <c r="AQ66" s="1160"/>
      <c r="AR66" s="1160"/>
      <c r="AS66" s="1160"/>
      <c r="AT66" s="1160"/>
      <c r="AU66" s="1160"/>
      <c r="AV66" s="1160"/>
      <c r="AW66" s="1160"/>
      <c r="AX66" s="1160"/>
      <c r="AY66" s="1161"/>
    </row>
    <row r="67" spans="1:51" x14ac:dyDescent="0.3">
      <c r="A67" s="1162" t="s">
        <v>3619</v>
      </c>
      <c r="B67" s="1178"/>
      <c r="C67" s="1178"/>
      <c r="D67" s="1178"/>
      <c r="E67" s="1178"/>
      <c r="F67" s="1178"/>
      <c r="G67" s="1178"/>
      <c r="H67" s="1178"/>
      <c r="I67" s="1178"/>
      <c r="J67" s="1178"/>
      <c r="K67" s="1178"/>
      <c r="L67" s="1178"/>
      <c r="M67" s="1178"/>
      <c r="N67" s="1178"/>
      <c r="O67" s="1178"/>
      <c r="P67" s="1178"/>
      <c r="Q67" s="1178"/>
      <c r="R67" s="1178"/>
      <c r="S67" s="1178"/>
      <c r="T67" s="1178"/>
      <c r="U67" s="1178"/>
      <c r="V67" s="1178"/>
      <c r="W67" s="1178"/>
      <c r="X67" s="1178"/>
      <c r="Y67" s="1178"/>
      <c r="Z67" s="1178"/>
      <c r="AA67" s="1178"/>
      <c r="AB67" s="1178"/>
      <c r="AC67" s="1178"/>
      <c r="AD67" s="1178"/>
      <c r="AE67" s="1178"/>
      <c r="AF67" s="1178"/>
      <c r="AG67" s="1178"/>
      <c r="AH67" s="1178"/>
      <c r="AI67" s="1178"/>
      <c r="AJ67" s="1178"/>
      <c r="AK67" s="1178"/>
      <c r="AL67" s="1178"/>
      <c r="AM67" s="1178"/>
      <c r="AN67" s="1178"/>
      <c r="AO67" s="1178"/>
      <c r="AP67" s="1178"/>
      <c r="AQ67" s="1178"/>
      <c r="AR67" s="1178"/>
      <c r="AS67" s="1178"/>
      <c r="AT67" s="1178"/>
      <c r="AU67" s="1178"/>
      <c r="AV67" s="1178"/>
      <c r="AW67" s="1178"/>
      <c r="AX67" s="1178"/>
      <c r="AY67" s="1179"/>
    </row>
    <row r="68" spans="1:51" x14ac:dyDescent="0.3">
      <c r="A68" s="1159" t="s">
        <v>3620</v>
      </c>
      <c r="B68" s="1160"/>
      <c r="C68" s="1160"/>
      <c r="D68" s="1160"/>
      <c r="E68" s="1160"/>
      <c r="F68" s="1160"/>
      <c r="G68" s="1160"/>
      <c r="H68" s="1160"/>
      <c r="I68" s="1160"/>
      <c r="J68" s="1160"/>
      <c r="K68" s="1160"/>
      <c r="L68" s="1160"/>
      <c r="M68" s="1160"/>
      <c r="N68" s="1160"/>
      <c r="O68" s="1160"/>
      <c r="P68" s="1160"/>
      <c r="Q68" s="1160"/>
      <c r="R68" s="1160"/>
      <c r="S68" s="1160"/>
      <c r="T68" s="1160"/>
      <c r="U68" s="1160"/>
      <c r="V68" s="1160"/>
      <c r="W68" s="1160"/>
      <c r="X68" s="1160"/>
      <c r="Y68" s="1160"/>
      <c r="Z68" s="1160"/>
      <c r="AA68" s="1160"/>
      <c r="AB68" s="1160"/>
      <c r="AC68" s="1160"/>
      <c r="AD68" s="1160"/>
      <c r="AE68" s="1160"/>
      <c r="AF68" s="1160"/>
      <c r="AG68" s="1160"/>
      <c r="AH68" s="1160"/>
      <c r="AI68" s="1160"/>
      <c r="AJ68" s="1160"/>
      <c r="AK68" s="1160"/>
      <c r="AL68" s="1160"/>
      <c r="AM68" s="1160"/>
      <c r="AN68" s="1160"/>
      <c r="AO68" s="1160"/>
      <c r="AP68" s="1160"/>
      <c r="AQ68" s="1160"/>
      <c r="AR68" s="1160"/>
      <c r="AS68" s="1160"/>
      <c r="AT68" s="1160"/>
      <c r="AU68" s="1160"/>
      <c r="AV68" s="1160"/>
      <c r="AW68" s="1160"/>
      <c r="AX68" s="1160"/>
      <c r="AY68" s="1161"/>
    </row>
    <row r="69" spans="1:51" x14ac:dyDescent="0.3">
      <c r="A69" s="1162" t="s">
        <v>3621</v>
      </c>
      <c r="B69" s="1178"/>
      <c r="C69" s="1178"/>
      <c r="D69" s="1178"/>
      <c r="E69" s="1178"/>
      <c r="F69" s="1178"/>
      <c r="G69" s="1178"/>
      <c r="H69" s="1178"/>
      <c r="I69" s="1178"/>
      <c r="J69" s="1178"/>
      <c r="K69" s="1178"/>
      <c r="L69" s="1178"/>
      <c r="M69" s="1178"/>
      <c r="N69" s="1178"/>
      <c r="O69" s="1178"/>
      <c r="P69" s="1178"/>
      <c r="Q69" s="1178"/>
      <c r="R69" s="1178"/>
      <c r="S69" s="1178"/>
      <c r="T69" s="1178"/>
      <c r="U69" s="1178"/>
      <c r="V69" s="1178"/>
      <c r="W69" s="1178"/>
      <c r="X69" s="1178"/>
      <c r="Y69" s="1178"/>
      <c r="Z69" s="1178"/>
      <c r="AA69" s="1178"/>
      <c r="AB69" s="1178"/>
      <c r="AC69" s="1178"/>
      <c r="AD69" s="1178"/>
      <c r="AE69" s="1178"/>
      <c r="AF69" s="1178"/>
      <c r="AG69" s="1178"/>
      <c r="AH69" s="1178"/>
      <c r="AI69" s="1178"/>
      <c r="AJ69" s="1178"/>
      <c r="AK69" s="1178"/>
      <c r="AL69" s="1178"/>
      <c r="AM69" s="1178"/>
      <c r="AN69" s="1178"/>
      <c r="AO69" s="1178"/>
      <c r="AP69" s="1178"/>
      <c r="AQ69" s="1178"/>
      <c r="AR69" s="1178"/>
      <c r="AS69" s="1178"/>
      <c r="AT69" s="1178"/>
      <c r="AU69" s="1178"/>
      <c r="AV69" s="1178"/>
      <c r="AW69" s="1178"/>
      <c r="AX69" s="1178"/>
      <c r="AY69" s="1179"/>
    </row>
    <row r="70" spans="1:51" x14ac:dyDescent="0.3">
      <c r="A70" s="1159" t="s">
        <v>3622</v>
      </c>
      <c r="B70" s="1160"/>
      <c r="C70" s="1160"/>
      <c r="D70" s="1160"/>
      <c r="E70" s="1160"/>
      <c r="F70" s="1160"/>
      <c r="G70" s="1160"/>
      <c r="H70" s="1160"/>
      <c r="I70" s="1160"/>
      <c r="J70" s="1160"/>
      <c r="K70" s="1160"/>
      <c r="L70" s="1160"/>
      <c r="M70" s="1160"/>
      <c r="N70" s="1160"/>
      <c r="O70" s="1160"/>
      <c r="P70" s="1160"/>
      <c r="Q70" s="1160"/>
      <c r="R70" s="1160"/>
      <c r="S70" s="1160"/>
      <c r="T70" s="1160"/>
      <c r="U70" s="1160"/>
      <c r="V70" s="1160"/>
      <c r="W70" s="1160"/>
      <c r="X70" s="1160"/>
      <c r="Y70" s="1160"/>
      <c r="Z70" s="1160"/>
      <c r="AA70" s="1160"/>
      <c r="AB70" s="1160"/>
      <c r="AC70" s="1160"/>
      <c r="AD70" s="1160"/>
      <c r="AE70" s="1160"/>
      <c r="AF70" s="1160"/>
      <c r="AG70" s="1160"/>
      <c r="AH70" s="1160"/>
      <c r="AI70" s="1160"/>
      <c r="AJ70" s="1160"/>
      <c r="AK70" s="1160"/>
      <c r="AL70" s="1160"/>
      <c r="AM70" s="1160"/>
      <c r="AN70" s="1160"/>
      <c r="AO70" s="1160"/>
      <c r="AP70" s="1160"/>
      <c r="AQ70" s="1160"/>
      <c r="AR70" s="1160"/>
      <c r="AS70" s="1160"/>
      <c r="AT70" s="1160"/>
      <c r="AU70" s="1160"/>
      <c r="AV70" s="1160"/>
      <c r="AW70" s="1160"/>
      <c r="AX70" s="1160"/>
      <c r="AY70" s="1161"/>
    </row>
    <row r="71" spans="1:51" x14ac:dyDescent="0.3">
      <c r="A71" s="1162" t="s">
        <v>3623</v>
      </c>
      <c r="B71" s="1178"/>
      <c r="C71" s="1178"/>
      <c r="D71" s="1178"/>
      <c r="E71" s="1178"/>
      <c r="F71" s="1178"/>
      <c r="G71" s="1178"/>
      <c r="H71" s="1178"/>
      <c r="I71" s="1178"/>
      <c r="J71" s="1178"/>
      <c r="K71" s="1178"/>
      <c r="L71" s="1178"/>
      <c r="M71" s="1178"/>
      <c r="N71" s="1178"/>
      <c r="O71" s="1178"/>
      <c r="P71" s="1178"/>
      <c r="Q71" s="1178"/>
      <c r="R71" s="1178"/>
      <c r="S71" s="1178"/>
      <c r="T71" s="1178"/>
      <c r="U71" s="1178"/>
      <c r="V71" s="1178"/>
      <c r="W71" s="1178"/>
      <c r="X71" s="1178"/>
      <c r="Y71" s="1178"/>
      <c r="Z71" s="1178"/>
      <c r="AA71" s="1178"/>
      <c r="AB71" s="1178"/>
      <c r="AC71" s="1178"/>
      <c r="AD71" s="1178"/>
      <c r="AE71" s="1178"/>
      <c r="AF71" s="1178"/>
      <c r="AG71" s="1178"/>
      <c r="AH71" s="1178"/>
      <c r="AI71" s="1178"/>
      <c r="AJ71" s="1178"/>
      <c r="AK71" s="1178"/>
      <c r="AL71" s="1178"/>
      <c r="AM71" s="1178"/>
      <c r="AN71" s="1178"/>
      <c r="AO71" s="1178"/>
      <c r="AP71" s="1178"/>
      <c r="AQ71" s="1178"/>
      <c r="AR71" s="1178"/>
      <c r="AS71" s="1178"/>
      <c r="AT71" s="1178"/>
      <c r="AU71" s="1178"/>
      <c r="AV71" s="1178"/>
      <c r="AW71" s="1178"/>
      <c r="AX71" s="1178"/>
      <c r="AY71" s="1179"/>
    </row>
    <row r="72" spans="1:51" x14ac:dyDescent="0.3">
      <c r="A72" s="1159" t="s">
        <v>3624</v>
      </c>
      <c r="B72" s="1160"/>
      <c r="C72" s="1160"/>
      <c r="D72" s="1160"/>
      <c r="E72" s="1160"/>
      <c r="F72" s="1160"/>
      <c r="G72" s="1160"/>
      <c r="H72" s="1160"/>
      <c r="I72" s="1160"/>
      <c r="J72" s="1160"/>
      <c r="K72" s="1160"/>
      <c r="L72" s="1160"/>
      <c r="M72" s="1160"/>
      <c r="N72" s="1160"/>
      <c r="O72" s="1160"/>
      <c r="P72" s="1160"/>
      <c r="Q72" s="1160"/>
      <c r="R72" s="1160"/>
      <c r="S72" s="1160"/>
      <c r="T72" s="1160"/>
      <c r="U72" s="1160"/>
      <c r="V72" s="1160"/>
      <c r="W72" s="1160"/>
      <c r="X72" s="1160"/>
      <c r="Y72" s="1160"/>
      <c r="Z72" s="1160"/>
      <c r="AA72" s="1160"/>
      <c r="AB72" s="1160"/>
      <c r="AC72" s="1160"/>
      <c r="AD72" s="1160"/>
      <c r="AE72" s="1160"/>
      <c r="AF72" s="1160"/>
      <c r="AG72" s="1160"/>
      <c r="AH72" s="1160"/>
      <c r="AI72" s="1160"/>
      <c r="AJ72" s="1160"/>
      <c r="AK72" s="1160"/>
      <c r="AL72" s="1160"/>
      <c r="AM72" s="1160"/>
      <c r="AN72" s="1160"/>
      <c r="AO72" s="1160"/>
      <c r="AP72" s="1160"/>
      <c r="AQ72" s="1160"/>
      <c r="AR72" s="1160"/>
      <c r="AS72" s="1160"/>
      <c r="AT72" s="1160"/>
      <c r="AU72" s="1160"/>
      <c r="AV72" s="1160"/>
      <c r="AW72" s="1160"/>
      <c r="AX72" s="1160"/>
      <c r="AY72" s="1161"/>
    </row>
    <row r="73" spans="1:51" x14ac:dyDescent="0.3">
      <c r="A73" s="1162" t="s">
        <v>3625</v>
      </c>
      <c r="B73" s="1178"/>
      <c r="C73" s="1178"/>
      <c r="D73" s="1178"/>
      <c r="E73" s="1178"/>
      <c r="F73" s="1178"/>
      <c r="G73" s="1178"/>
      <c r="H73" s="1178"/>
      <c r="I73" s="1178"/>
      <c r="J73" s="1178"/>
      <c r="K73" s="1178"/>
      <c r="L73" s="1178"/>
      <c r="M73" s="1178"/>
      <c r="N73" s="1178"/>
      <c r="O73" s="1178"/>
      <c r="P73" s="1178"/>
      <c r="Q73" s="1178"/>
      <c r="R73" s="1178"/>
      <c r="S73" s="1178"/>
      <c r="T73" s="1178"/>
      <c r="U73" s="1178"/>
      <c r="V73" s="1178"/>
      <c r="W73" s="1178"/>
      <c r="X73" s="1178"/>
      <c r="Y73" s="1178"/>
      <c r="Z73" s="1178"/>
      <c r="AA73" s="1178"/>
      <c r="AB73" s="1178"/>
      <c r="AC73" s="1178"/>
      <c r="AD73" s="1178"/>
      <c r="AE73" s="1178"/>
      <c r="AF73" s="1178"/>
      <c r="AG73" s="1178"/>
      <c r="AH73" s="1178"/>
      <c r="AI73" s="1178"/>
      <c r="AJ73" s="1178"/>
      <c r="AK73" s="1178"/>
      <c r="AL73" s="1178"/>
      <c r="AM73" s="1178"/>
      <c r="AN73" s="1178"/>
      <c r="AO73" s="1178"/>
      <c r="AP73" s="1178"/>
      <c r="AQ73" s="1178"/>
      <c r="AR73" s="1178"/>
      <c r="AS73" s="1178"/>
      <c r="AT73" s="1178"/>
      <c r="AU73" s="1178"/>
      <c r="AV73" s="1178"/>
      <c r="AW73" s="1178"/>
      <c r="AX73" s="1178"/>
      <c r="AY73" s="1179"/>
    </row>
    <row r="74" spans="1:51" x14ac:dyDescent="0.3">
      <c r="A74" s="1159" t="s">
        <v>3626</v>
      </c>
      <c r="B74" s="1160"/>
      <c r="C74" s="1160"/>
      <c r="D74" s="1160"/>
      <c r="E74" s="1160"/>
      <c r="F74" s="1160"/>
      <c r="G74" s="1160"/>
      <c r="H74" s="1160"/>
      <c r="I74" s="1160"/>
      <c r="J74" s="1160"/>
      <c r="K74" s="1160"/>
      <c r="L74" s="1160"/>
      <c r="M74" s="1160"/>
      <c r="N74" s="1160"/>
      <c r="O74" s="1160"/>
      <c r="P74" s="1160"/>
      <c r="Q74" s="1160"/>
      <c r="R74" s="1160"/>
      <c r="S74" s="1160"/>
      <c r="T74" s="1160"/>
      <c r="U74" s="1160"/>
      <c r="V74" s="1160"/>
      <c r="W74" s="1160"/>
      <c r="X74" s="1160"/>
      <c r="Y74" s="1160"/>
      <c r="Z74" s="1160"/>
      <c r="AA74" s="1160"/>
      <c r="AB74" s="1160"/>
      <c r="AC74" s="1160"/>
      <c r="AD74" s="1160"/>
      <c r="AE74" s="1160"/>
      <c r="AF74" s="1160"/>
      <c r="AG74" s="1160"/>
      <c r="AH74" s="1160"/>
      <c r="AI74" s="1160"/>
      <c r="AJ74" s="1160"/>
      <c r="AK74" s="1160"/>
      <c r="AL74" s="1160"/>
      <c r="AM74" s="1160"/>
      <c r="AN74" s="1160"/>
      <c r="AO74" s="1160"/>
      <c r="AP74" s="1160"/>
      <c r="AQ74" s="1160"/>
      <c r="AR74" s="1160"/>
      <c r="AS74" s="1160"/>
      <c r="AT74" s="1160"/>
      <c r="AU74" s="1160"/>
      <c r="AV74" s="1160"/>
      <c r="AW74" s="1160"/>
      <c r="AX74" s="1160"/>
      <c r="AY74" s="1161"/>
    </row>
    <row r="75" spans="1:51" x14ac:dyDescent="0.3">
      <c r="A75" s="1162" t="s">
        <v>3627</v>
      </c>
      <c r="B75" s="1178"/>
      <c r="C75" s="1178"/>
      <c r="D75" s="1178"/>
      <c r="E75" s="1178"/>
      <c r="F75" s="1178"/>
      <c r="G75" s="1178"/>
      <c r="H75" s="1178"/>
      <c r="I75" s="1178"/>
      <c r="J75" s="1178"/>
      <c r="K75" s="1178"/>
      <c r="L75" s="1178"/>
      <c r="M75" s="1178"/>
      <c r="N75" s="1178"/>
      <c r="O75" s="1178"/>
      <c r="P75" s="1178"/>
      <c r="Q75" s="1178"/>
      <c r="R75" s="1178"/>
      <c r="S75" s="1178"/>
      <c r="T75" s="1178"/>
      <c r="U75" s="1178"/>
      <c r="V75" s="1178"/>
      <c r="W75" s="1178"/>
      <c r="X75" s="1178"/>
      <c r="Y75" s="1178"/>
      <c r="Z75" s="1178"/>
      <c r="AA75" s="1178"/>
      <c r="AB75" s="1178"/>
      <c r="AC75" s="1178"/>
      <c r="AD75" s="1178"/>
      <c r="AE75" s="1178"/>
      <c r="AF75" s="1178"/>
      <c r="AG75" s="1178"/>
      <c r="AH75" s="1178"/>
      <c r="AI75" s="1178"/>
      <c r="AJ75" s="1178"/>
      <c r="AK75" s="1178"/>
      <c r="AL75" s="1178"/>
      <c r="AM75" s="1178"/>
      <c r="AN75" s="1178"/>
      <c r="AO75" s="1178"/>
      <c r="AP75" s="1178"/>
      <c r="AQ75" s="1178"/>
      <c r="AR75" s="1178"/>
      <c r="AS75" s="1178"/>
      <c r="AT75" s="1178"/>
      <c r="AU75" s="1178"/>
      <c r="AV75" s="1178"/>
      <c r="AW75" s="1178"/>
      <c r="AX75" s="1178"/>
      <c r="AY75" s="1179"/>
    </row>
    <row r="76" spans="1:51" x14ac:dyDescent="0.3">
      <c r="A76" s="1200" t="s">
        <v>3628</v>
      </c>
      <c r="B76" s="1201"/>
      <c r="C76" s="1201"/>
      <c r="D76" s="1201"/>
      <c r="E76" s="1201"/>
      <c r="F76" s="1201"/>
      <c r="G76" s="1201"/>
      <c r="H76" s="1201"/>
      <c r="I76" s="1201"/>
      <c r="J76" s="1201"/>
      <c r="K76" s="1201"/>
      <c r="L76" s="1201"/>
      <c r="M76" s="1201"/>
      <c r="N76" s="1201"/>
      <c r="O76" s="1201"/>
      <c r="P76" s="1201"/>
      <c r="Q76" s="1201"/>
      <c r="R76" s="1201"/>
      <c r="S76" s="1201"/>
      <c r="T76" s="1201"/>
      <c r="U76" s="1201"/>
      <c r="V76" s="1201"/>
      <c r="W76" s="1201"/>
      <c r="X76" s="1201"/>
      <c r="Y76" s="1201"/>
      <c r="Z76" s="1201"/>
      <c r="AA76" s="1201"/>
      <c r="AB76" s="1201"/>
      <c r="AC76" s="1201"/>
      <c r="AD76" s="1201"/>
      <c r="AE76" s="1201"/>
      <c r="AF76" s="1201"/>
      <c r="AG76" s="1201"/>
      <c r="AH76" s="1201"/>
      <c r="AI76" s="1201"/>
      <c r="AJ76" s="1201"/>
      <c r="AK76" s="1201"/>
      <c r="AL76" s="1201"/>
      <c r="AM76" s="1201"/>
      <c r="AN76" s="1201"/>
      <c r="AO76" s="1201"/>
      <c r="AP76" s="1201"/>
      <c r="AQ76" s="1201"/>
      <c r="AR76" s="1201"/>
      <c r="AS76" s="1201"/>
      <c r="AT76" s="1201"/>
      <c r="AU76" s="1201"/>
      <c r="AV76" s="1201"/>
      <c r="AW76" s="1201"/>
      <c r="AX76" s="1201"/>
      <c r="AY76" s="1202"/>
    </row>
    <row r="77" spans="1:51" x14ac:dyDescent="0.3">
      <c r="A77" s="1197" t="s">
        <v>3629</v>
      </c>
      <c r="B77" s="1198"/>
      <c r="C77" s="1198"/>
      <c r="D77" s="1198"/>
      <c r="E77" s="1198"/>
      <c r="F77" s="1198"/>
      <c r="G77" s="1198"/>
      <c r="H77" s="1198"/>
      <c r="I77" s="1198"/>
      <c r="J77" s="1198"/>
      <c r="K77" s="1198"/>
      <c r="L77" s="1198"/>
      <c r="M77" s="1198"/>
      <c r="N77" s="1198"/>
      <c r="O77" s="1198"/>
      <c r="P77" s="1198"/>
      <c r="Q77" s="1198"/>
      <c r="R77" s="1198"/>
      <c r="S77" s="1198"/>
      <c r="T77" s="1198"/>
      <c r="U77" s="1198"/>
      <c r="V77" s="1198"/>
      <c r="W77" s="1198"/>
      <c r="X77" s="1198"/>
      <c r="Y77" s="1198"/>
      <c r="Z77" s="1198"/>
      <c r="AA77" s="1198"/>
      <c r="AB77" s="1198"/>
      <c r="AC77" s="1198"/>
      <c r="AD77" s="1198"/>
      <c r="AE77" s="1198"/>
      <c r="AF77" s="1198"/>
      <c r="AG77" s="1198"/>
      <c r="AH77" s="1198"/>
      <c r="AI77" s="1198"/>
      <c r="AJ77" s="1198"/>
      <c r="AK77" s="1198"/>
      <c r="AL77" s="1198"/>
      <c r="AM77" s="1198"/>
      <c r="AN77" s="1198"/>
      <c r="AO77" s="1198"/>
      <c r="AP77" s="1198"/>
      <c r="AQ77" s="1198"/>
      <c r="AR77" s="1198"/>
      <c r="AS77" s="1198"/>
      <c r="AT77" s="1198"/>
      <c r="AU77" s="1198"/>
      <c r="AV77" s="1198"/>
      <c r="AW77" s="1198"/>
      <c r="AX77" s="1198"/>
      <c r="AY77" s="1199"/>
    </row>
    <row r="78" spans="1:51" x14ac:dyDescent="0.3">
      <c r="A78" s="1172" t="s">
        <v>3630</v>
      </c>
      <c r="B78" s="1173"/>
      <c r="C78" s="1173"/>
      <c r="D78" s="1173"/>
      <c r="E78" s="1173"/>
      <c r="F78" s="1173"/>
      <c r="G78" s="1173"/>
      <c r="H78" s="1173"/>
      <c r="I78" s="1173"/>
      <c r="J78" s="1173"/>
      <c r="K78" s="1173"/>
      <c r="L78" s="1173"/>
      <c r="M78" s="1173"/>
      <c r="N78" s="1173"/>
      <c r="O78" s="1173"/>
      <c r="P78" s="1173"/>
      <c r="Q78" s="1173"/>
      <c r="R78" s="1173"/>
      <c r="S78" s="1173"/>
      <c r="T78" s="1173"/>
      <c r="U78" s="1173"/>
      <c r="V78" s="1173"/>
      <c r="W78" s="1173"/>
      <c r="X78" s="1173"/>
      <c r="Y78" s="1173"/>
      <c r="Z78" s="1173"/>
      <c r="AA78" s="1173"/>
      <c r="AB78" s="1173"/>
      <c r="AC78" s="1173"/>
      <c r="AD78" s="1173"/>
      <c r="AE78" s="1173"/>
      <c r="AF78" s="1173"/>
      <c r="AG78" s="1173"/>
      <c r="AH78" s="1173"/>
      <c r="AI78" s="1173"/>
      <c r="AJ78" s="1173"/>
      <c r="AK78" s="1173"/>
      <c r="AL78" s="1173"/>
      <c r="AM78" s="1173"/>
      <c r="AN78" s="1173"/>
      <c r="AO78" s="1173"/>
      <c r="AP78" s="1173"/>
      <c r="AQ78" s="1173"/>
      <c r="AR78" s="1173"/>
      <c r="AS78" s="1173"/>
      <c r="AT78" s="1173"/>
      <c r="AU78" s="1173"/>
      <c r="AV78" s="1173"/>
      <c r="AW78" s="1173"/>
      <c r="AX78" s="1173"/>
      <c r="AY78" s="1174"/>
    </row>
    <row r="79" spans="1:51" x14ac:dyDescent="0.3">
      <c r="A79" s="1194" t="s">
        <v>3631</v>
      </c>
      <c r="B79" s="1195"/>
      <c r="C79" s="1195"/>
      <c r="D79" s="1195"/>
      <c r="E79" s="1195"/>
      <c r="F79" s="1195"/>
      <c r="G79" s="1195"/>
      <c r="H79" s="1195"/>
      <c r="I79" s="1195"/>
      <c r="J79" s="1195"/>
      <c r="K79" s="1195"/>
      <c r="L79" s="1195"/>
      <c r="M79" s="1195"/>
      <c r="N79" s="1195"/>
      <c r="O79" s="1195"/>
      <c r="P79" s="1195"/>
      <c r="Q79" s="1195"/>
      <c r="R79" s="1195"/>
      <c r="S79" s="1195"/>
      <c r="T79" s="1195"/>
      <c r="U79" s="1195"/>
      <c r="V79" s="1195"/>
      <c r="W79" s="1195"/>
      <c r="X79" s="1195"/>
      <c r="Y79" s="1195"/>
      <c r="Z79" s="1195"/>
      <c r="AA79" s="1195"/>
      <c r="AB79" s="1195"/>
      <c r="AC79" s="1195"/>
      <c r="AD79" s="1195"/>
      <c r="AE79" s="1195"/>
      <c r="AF79" s="1195"/>
      <c r="AG79" s="1195"/>
      <c r="AH79" s="1195"/>
      <c r="AI79" s="1195"/>
      <c r="AJ79" s="1195"/>
      <c r="AK79" s="1195"/>
      <c r="AL79" s="1195"/>
      <c r="AM79" s="1195"/>
      <c r="AN79" s="1195"/>
      <c r="AO79" s="1195"/>
      <c r="AP79" s="1195"/>
      <c r="AQ79" s="1195"/>
      <c r="AR79" s="1195"/>
      <c r="AS79" s="1195"/>
      <c r="AT79" s="1195"/>
      <c r="AU79" s="1195"/>
      <c r="AV79" s="1195"/>
      <c r="AW79" s="1195"/>
      <c r="AX79" s="1195"/>
      <c r="AY79" s="1196"/>
    </row>
    <row r="80" spans="1:51" x14ac:dyDescent="0.3">
      <c r="A80" s="1171" t="s">
        <v>3632</v>
      </c>
      <c r="B80" s="1192"/>
      <c r="C80" s="1192"/>
      <c r="D80" s="1192"/>
      <c r="E80" s="1192"/>
      <c r="F80" s="1192"/>
      <c r="G80" s="1192"/>
      <c r="H80" s="1192"/>
      <c r="I80" s="1192"/>
      <c r="J80" s="1192"/>
      <c r="K80" s="1192"/>
      <c r="L80" s="1192"/>
      <c r="M80" s="1192"/>
      <c r="N80" s="1192"/>
      <c r="O80" s="1192"/>
      <c r="P80" s="1192"/>
      <c r="Q80" s="1192"/>
      <c r="R80" s="1192"/>
      <c r="S80" s="1192"/>
      <c r="T80" s="1192"/>
      <c r="U80" s="1192"/>
      <c r="V80" s="1192"/>
      <c r="W80" s="1192"/>
      <c r="X80" s="1192"/>
      <c r="Y80" s="1192"/>
      <c r="Z80" s="1192"/>
      <c r="AA80" s="1192"/>
      <c r="AB80" s="1192"/>
      <c r="AC80" s="1192"/>
      <c r="AD80" s="1192"/>
      <c r="AE80" s="1192"/>
      <c r="AF80" s="1192"/>
      <c r="AG80" s="1192"/>
      <c r="AH80" s="1192"/>
      <c r="AI80" s="1192"/>
      <c r="AJ80" s="1192"/>
      <c r="AK80" s="1192"/>
      <c r="AL80" s="1192"/>
      <c r="AM80" s="1192"/>
      <c r="AN80" s="1192"/>
      <c r="AO80" s="1192"/>
      <c r="AP80" s="1192"/>
      <c r="AQ80" s="1192"/>
      <c r="AR80" s="1192"/>
      <c r="AS80" s="1192"/>
      <c r="AT80" s="1192"/>
      <c r="AU80" s="1192"/>
      <c r="AV80" s="1192"/>
      <c r="AW80" s="1192"/>
      <c r="AX80" s="1192"/>
      <c r="AY80" s="1193"/>
    </row>
    <row r="81" spans="1:51" x14ac:dyDescent="0.3">
      <c r="A81" s="1172" t="s">
        <v>3633</v>
      </c>
      <c r="B81" s="1173"/>
      <c r="C81" s="1173"/>
      <c r="D81" s="1173"/>
      <c r="E81" s="1173"/>
      <c r="F81" s="1173"/>
      <c r="G81" s="1173"/>
      <c r="H81" s="1173"/>
      <c r="I81" s="1173"/>
      <c r="J81" s="1173"/>
      <c r="K81" s="1173"/>
      <c r="L81" s="1173"/>
      <c r="M81" s="1173"/>
      <c r="N81" s="1173"/>
      <c r="O81" s="1173"/>
      <c r="P81" s="1173"/>
      <c r="Q81" s="1173"/>
      <c r="R81" s="1173"/>
      <c r="S81" s="1173"/>
      <c r="T81" s="1173"/>
      <c r="U81" s="1173"/>
      <c r="V81" s="1173"/>
      <c r="W81" s="1173"/>
      <c r="X81" s="1173"/>
      <c r="Y81" s="1173"/>
      <c r="Z81" s="1173"/>
      <c r="AA81" s="1173"/>
      <c r="AB81" s="1173"/>
      <c r="AC81" s="1173"/>
      <c r="AD81" s="1173"/>
      <c r="AE81" s="1173"/>
      <c r="AF81" s="1173"/>
      <c r="AG81" s="1173"/>
      <c r="AH81" s="1173"/>
      <c r="AI81" s="1173"/>
      <c r="AJ81" s="1173"/>
      <c r="AK81" s="1173"/>
      <c r="AL81" s="1173"/>
      <c r="AM81" s="1173"/>
      <c r="AN81" s="1173"/>
      <c r="AO81" s="1173"/>
      <c r="AP81" s="1173"/>
      <c r="AQ81" s="1173"/>
      <c r="AR81" s="1173"/>
      <c r="AS81" s="1173"/>
      <c r="AT81" s="1173"/>
      <c r="AU81" s="1173"/>
      <c r="AV81" s="1173"/>
      <c r="AW81" s="1173"/>
      <c r="AX81" s="1173"/>
      <c r="AY81" s="1174"/>
    </row>
    <row r="82" spans="1:51" x14ac:dyDescent="0.3">
      <c r="A82" s="1159" t="s">
        <v>3634</v>
      </c>
      <c r="B82" s="1160"/>
      <c r="C82" s="1160"/>
      <c r="D82" s="1160"/>
      <c r="E82" s="1160"/>
      <c r="F82" s="1160"/>
      <c r="G82" s="1160"/>
      <c r="H82" s="1160"/>
      <c r="I82" s="1160"/>
      <c r="J82" s="1160"/>
      <c r="K82" s="1160"/>
      <c r="L82" s="1160"/>
      <c r="M82" s="1160"/>
      <c r="N82" s="1160"/>
      <c r="O82" s="1160"/>
      <c r="P82" s="1160"/>
      <c r="Q82" s="1160"/>
      <c r="R82" s="1160"/>
      <c r="S82" s="1160"/>
      <c r="T82" s="1160"/>
      <c r="U82" s="1160"/>
      <c r="V82" s="1160"/>
      <c r="W82" s="1160"/>
      <c r="X82" s="1160"/>
      <c r="Y82" s="1160"/>
      <c r="Z82" s="1160"/>
      <c r="AA82" s="1160"/>
      <c r="AB82" s="1160"/>
      <c r="AC82" s="1160"/>
      <c r="AD82" s="1160"/>
      <c r="AE82" s="1160"/>
      <c r="AF82" s="1160"/>
      <c r="AG82" s="1160"/>
      <c r="AH82" s="1160"/>
      <c r="AI82" s="1160"/>
      <c r="AJ82" s="1160"/>
      <c r="AK82" s="1160"/>
      <c r="AL82" s="1160"/>
      <c r="AM82" s="1160"/>
      <c r="AN82" s="1160"/>
      <c r="AO82" s="1160"/>
      <c r="AP82" s="1160"/>
      <c r="AQ82" s="1160"/>
      <c r="AR82" s="1160"/>
      <c r="AS82" s="1160"/>
      <c r="AT82" s="1160"/>
      <c r="AU82" s="1160"/>
      <c r="AV82" s="1160"/>
      <c r="AW82" s="1160"/>
      <c r="AX82" s="1160"/>
      <c r="AY82" s="1161"/>
    </row>
    <row r="83" spans="1:51" x14ac:dyDescent="0.3">
      <c r="A83" s="1162" t="s">
        <v>3635</v>
      </c>
      <c r="B83" s="1178"/>
      <c r="C83" s="1178"/>
      <c r="D83" s="1178"/>
      <c r="E83" s="1178"/>
      <c r="F83" s="1178"/>
      <c r="G83" s="1178"/>
      <c r="H83" s="1178"/>
      <c r="I83" s="1178"/>
      <c r="J83" s="1178"/>
      <c r="K83" s="1178"/>
      <c r="L83" s="1178"/>
      <c r="M83" s="1178"/>
      <c r="N83" s="1178"/>
      <c r="O83" s="1178"/>
      <c r="P83" s="1178"/>
      <c r="Q83" s="1178"/>
      <c r="R83" s="1178"/>
      <c r="S83" s="1178"/>
      <c r="T83" s="1178"/>
      <c r="U83" s="1178"/>
      <c r="V83" s="1178"/>
      <c r="W83" s="1178"/>
      <c r="X83" s="1178"/>
      <c r="Y83" s="1178"/>
      <c r="Z83" s="1178"/>
      <c r="AA83" s="1178"/>
      <c r="AB83" s="1178"/>
      <c r="AC83" s="1178"/>
      <c r="AD83" s="1178"/>
      <c r="AE83" s="1178"/>
      <c r="AF83" s="1178"/>
      <c r="AG83" s="1178"/>
      <c r="AH83" s="1178"/>
      <c r="AI83" s="1178"/>
      <c r="AJ83" s="1178"/>
      <c r="AK83" s="1178"/>
      <c r="AL83" s="1178"/>
      <c r="AM83" s="1178"/>
      <c r="AN83" s="1178"/>
      <c r="AO83" s="1178"/>
      <c r="AP83" s="1178"/>
      <c r="AQ83" s="1178"/>
      <c r="AR83" s="1178"/>
      <c r="AS83" s="1178"/>
      <c r="AT83" s="1178"/>
      <c r="AU83" s="1178"/>
      <c r="AV83" s="1178"/>
      <c r="AW83" s="1178"/>
      <c r="AX83" s="1178"/>
      <c r="AY83" s="1179"/>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71" t="s">
        <v>3637</v>
      </c>
      <c r="B85" s="1166"/>
      <c r="C85" s="1166"/>
      <c r="D85" s="1166"/>
      <c r="E85" s="1166"/>
      <c r="F85" s="1166"/>
      <c r="G85" s="1166"/>
      <c r="H85" s="1166"/>
      <c r="I85" s="1166"/>
      <c r="J85" s="1166"/>
      <c r="K85" s="1166"/>
      <c r="L85" s="1166"/>
      <c r="M85" s="1166"/>
      <c r="N85" s="1166"/>
      <c r="O85" s="1166"/>
      <c r="P85" s="1166"/>
      <c r="Q85" s="1166"/>
      <c r="R85" s="1166"/>
      <c r="S85" s="1166"/>
      <c r="T85" s="1166"/>
      <c r="U85" s="1166"/>
      <c r="V85" s="1166"/>
      <c r="W85" s="1166"/>
      <c r="X85" s="1166"/>
      <c r="Y85" s="1166"/>
      <c r="Z85" s="1166"/>
      <c r="AA85" s="1166"/>
      <c r="AB85" s="1166"/>
      <c r="AC85" s="1166"/>
      <c r="AD85" s="1166"/>
      <c r="AE85" s="1166"/>
      <c r="AF85" s="1166"/>
      <c r="AG85" s="1166"/>
      <c r="AH85" s="1166"/>
      <c r="AI85" s="1166"/>
      <c r="AJ85" s="1166"/>
      <c r="AK85" s="1166"/>
      <c r="AL85" s="1166"/>
      <c r="AM85" s="1166"/>
      <c r="AN85" s="1166"/>
      <c r="AO85" s="1166"/>
      <c r="AP85" s="1166"/>
      <c r="AQ85" s="1166"/>
      <c r="AR85" s="1166"/>
      <c r="AS85" s="1166"/>
      <c r="AT85" s="1166"/>
      <c r="AU85" s="1166"/>
      <c r="AV85" s="1166"/>
      <c r="AW85" s="1166"/>
      <c r="AX85" s="1166"/>
      <c r="AY85" s="1167"/>
    </row>
    <row r="86" spans="1:51" x14ac:dyDescent="0.3">
      <c r="A86" s="1172" t="s">
        <v>3638</v>
      </c>
      <c r="B86" s="1173"/>
      <c r="C86" s="1173"/>
      <c r="D86" s="1173"/>
      <c r="E86" s="1173"/>
      <c r="F86" s="1173"/>
      <c r="G86" s="1173"/>
      <c r="H86" s="1173"/>
      <c r="I86" s="1173"/>
      <c r="J86" s="1173"/>
      <c r="K86" s="1173"/>
      <c r="L86" s="1173"/>
      <c r="M86" s="1173"/>
      <c r="N86" s="1173"/>
      <c r="O86" s="1173"/>
      <c r="P86" s="1173"/>
      <c r="Q86" s="1173"/>
      <c r="R86" s="1173"/>
      <c r="S86" s="1173"/>
      <c r="T86" s="1173"/>
      <c r="U86" s="1173"/>
      <c r="V86" s="1173"/>
      <c r="W86" s="1173"/>
      <c r="X86" s="1173"/>
      <c r="Y86" s="1173"/>
      <c r="Z86" s="1173"/>
      <c r="AA86" s="1173"/>
      <c r="AB86" s="1173"/>
      <c r="AC86" s="1173"/>
      <c r="AD86" s="1173"/>
      <c r="AE86" s="1173"/>
      <c r="AF86" s="1173"/>
      <c r="AG86" s="1173"/>
      <c r="AH86" s="1173"/>
      <c r="AI86" s="1173"/>
      <c r="AJ86" s="1173"/>
      <c r="AK86" s="1173"/>
      <c r="AL86" s="1173"/>
      <c r="AM86" s="1173"/>
      <c r="AN86" s="1173"/>
      <c r="AO86" s="1173"/>
      <c r="AP86" s="1173"/>
      <c r="AQ86" s="1173"/>
      <c r="AR86" s="1173"/>
      <c r="AS86" s="1173"/>
      <c r="AT86" s="1173"/>
      <c r="AU86" s="1173"/>
      <c r="AV86" s="1173"/>
      <c r="AW86" s="1173"/>
      <c r="AX86" s="1173"/>
      <c r="AY86" s="1174"/>
    </row>
    <row r="87" spans="1:51" x14ac:dyDescent="0.3">
      <c r="A87" s="1175" t="s">
        <v>3639</v>
      </c>
      <c r="B87" s="1176"/>
      <c r="C87" s="1176"/>
      <c r="D87" s="1176"/>
      <c r="E87" s="1176"/>
      <c r="F87" s="1176"/>
      <c r="G87" s="1176"/>
      <c r="H87" s="1176"/>
      <c r="I87" s="1176"/>
      <c r="J87" s="1176"/>
      <c r="K87" s="1176"/>
      <c r="L87" s="1176"/>
      <c r="M87" s="1176"/>
      <c r="N87" s="1176"/>
      <c r="O87" s="1176"/>
      <c r="P87" s="1176"/>
      <c r="Q87" s="1176"/>
      <c r="R87" s="1176"/>
      <c r="S87" s="1176"/>
      <c r="T87" s="1176"/>
      <c r="U87" s="1176"/>
      <c r="V87" s="1176"/>
      <c r="W87" s="1176"/>
      <c r="X87" s="1176"/>
      <c r="Y87" s="1176"/>
      <c r="Z87" s="1176"/>
      <c r="AA87" s="1176"/>
      <c r="AB87" s="1176"/>
      <c r="AC87" s="1176"/>
      <c r="AD87" s="1176"/>
      <c r="AE87" s="1176"/>
      <c r="AF87" s="1176"/>
      <c r="AG87" s="1176"/>
      <c r="AH87" s="1176"/>
      <c r="AI87" s="1176"/>
      <c r="AJ87" s="1176"/>
      <c r="AK87" s="1176"/>
      <c r="AL87" s="1176"/>
      <c r="AM87" s="1176"/>
      <c r="AN87" s="1176"/>
      <c r="AO87" s="1176"/>
      <c r="AP87" s="1176"/>
      <c r="AQ87" s="1176"/>
      <c r="AR87" s="1176"/>
      <c r="AS87" s="1176"/>
      <c r="AT87" s="1176"/>
      <c r="AU87" s="1176"/>
      <c r="AV87" s="1176"/>
      <c r="AW87" s="1176"/>
      <c r="AX87" s="1176"/>
      <c r="AY87" s="1177"/>
    </row>
    <row r="88" spans="1:51" x14ac:dyDescent="0.3">
      <c r="A88" s="1162" t="s">
        <v>3640</v>
      </c>
      <c r="B88" s="1163"/>
      <c r="C88" s="1163"/>
      <c r="D88" s="1163"/>
      <c r="E88" s="1163"/>
      <c r="F88" s="1163"/>
      <c r="G88" s="1163"/>
      <c r="H88" s="1163"/>
      <c r="I88" s="1163"/>
      <c r="J88" s="1163"/>
      <c r="K88" s="1163"/>
      <c r="L88" s="1163"/>
      <c r="M88" s="1163"/>
      <c r="N88" s="1163"/>
      <c r="O88" s="1163"/>
      <c r="P88" s="1163"/>
      <c r="Q88" s="1163"/>
      <c r="R88" s="1163"/>
      <c r="S88" s="1163"/>
      <c r="T88" s="1163"/>
      <c r="U88" s="1163"/>
      <c r="V88" s="1163"/>
      <c r="W88" s="1163"/>
      <c r="X88" s="1163"/>
      <c r="Y88" s="1163"/>
      <c r="Z88" s="1163"/>
      <c r="AA88" s="1163"/>
      <c r="AB88" s="1163"/>
      <c r="AC88" s="1163"/>
      <c r="AD88" s="1163"/>
      <c r="AE88" s="1163"/>
      <c r="AF88" s="1163"/>
      <c r="AG88" s="1163"/>
      <c r="AH88" s="1163"/>
      <c r="AI88" s="1163"/>
      <c r="AJ88" s="1163"/>
      <c r="AK88" s="1163"/>
      <c r="AL88" s="1163"/>
      <c r="AM88" s="1163"/>
      <c r="AN88" s="1163"/>
      <c r="AO88" s="1163"/>
      <c r="AP88" s="1163"/>
      <c r="AQ88" s="1163"/>
      <c r="AR88" s="1163"/>
      <c r="AS88" s="1163"/>
      <c r="AT88" s="1163"/>
      <c r="AU88" s="1163"/>
      <c r="AV88" s="1163"/>
      <c r="AW88" s="1163"/>
      <c r="AX88" s="1163"/>
      <c r="AY88" s="1164"/>
    </row>
    <row r="89" spans="1:51" x14ac:dyDescent="0.3">
      <c r="A89" s="1159" t="s">
        <v>3641</v>
      </c>
      <c r="B89" s="1160"/>
      <c r="C89" s="1160"/>
      <c r="D89" s="1160"/>
      <c r="E89" s="1160"/>
      <c r="F89" s="1160"/>
      <c r="G89" s="1160"/>
      <c r="H89" s="1160"/>
      <c r="I89" s="1160"/>
      <c r="J89" s="1160"/>
      <c r="K89" s="1160"/>
      <c r="L89" s="1160"/>
      <c r="M89" s="1160"/>
      <c r="N89" s="1160"/>
      <c r="O89" s="1160"/>
      <c r="P89" s="1160"/>
      <c r="Q89" s="1160"/>
      <c r="R89" s="1160"/>
      <c r="S89" s="1160"/>
      <c r="T89" s="1160"/>
      <c r="U89" s="1160"/>
      <c r="V89" s="1160"/>
      <c r="W89" s="1160"/>
      <c r="X89" s="1160"/>
      <c r="Y89" s="1160"/>
      <c r="Z89" s="1160"/>
      <c r="AA89" s="1160"/>
      <c r="AB89" s="1160"/>
      <c r="AC89" s="1160"/>
      <c r="AD89" s="1160"/>
      <c r="AE89" s="1160"/>
      <c r="AF89" s="1160"/>
      <c r="AG89" s="1160"/>
      <c r="AH89" s="1160"/>
      <c r="AI89" s="1160"/>
      <c r="AJ89" s="1160"/>
      <c r="AK89" s="1160"/>
      <c r="AL89" s="1160"/>
      <c r="AM89" s="1160"/>
      <c r="AN89" s="1160"/>
      <c r="AO89" s="1160"/>
      <c r="AP89" s="1160"/>
      <c r="AQ89" s="1160"/>
      <c r="AR89" s="1160"/>
      <c r="AS89" s="1160"/>
      <c r="AT89" s="1160"/>
      <c r="AU89" s="1160"/>
      <c r="AV89" s="1160"/>
      <c r="AW89" s="1160"/>
      <c r="AX89" s="1160"/>
      <c r="AY89" s="1161"/>
    </row>
    <row r="90" spans="1:51" x14ac:dyDescent="0.3">
      <c r="A90" s="1162" t="s">
        <v>3642</v>
      </c>
      <c r="B90" s="1163"/>
      <c r="C90" s="1163"/>
      <c r="D90" s="1163"/>
      <c r="E90" s="1163"/>
      <c r="F90" s="1163"/>
      <c r="G90" s="1163"/>
      <c r="H90" s="1163"/>
      <c r="I90" s="1163"/>
      <c r="J90" s="1163"/>
      <c r="K90" s="1163"/>
      <c r="L90" s="1163"/>
      <c r="M90" s="1163"/>
      <c r="N90" s="1163"/>
      <c r="O90" s="1163"/>
      <c r="P90" s="1163"/>
      <c r="Q90" s="1163"/>
      <c r="R90" s="1163"/>
      <c r="S90" s="1163"/>
      <c r="T90" s="1163"/>
      <c r="U90" s="1163"/>
      <c r="V90" s="1163"/>
      <c r="W90" s="1163"/>
      <c r="X90" s="1163"/>
      <c r="Y90" s="1163"/>
      <c r="Z90" s="1163"/>
      <c r="AA90" s="1163"/>
      <c r="AB90" s="1163"/>
      <c r="AC90" s="1163"/>
      <c r="AD90" s="1163"/>
      <c r="AE90" s="1163"/>
      <c r="AF90" s="1163"/>
      <c r="AG90" s="1163"/>
      <c r="AH90" s="1163"/>
      <c r="AI90" s="1163"/>
      <c r="AJ90" s="1163"/>
      <c r="AK90" s="1163"/>
      <c r="AL90" s="1163"/>
      <c r="AM90" s="1163"/>
      <c r="AN90" s="1163"/>
      <c r="AO90" s="1163"/>
      <c r="AP90" s="1163"/>
      <c r="AQ90" s="1163"/>
      <c r="AR90" s="1163"/>
      <c r="AS90" s="1163"/>
      <c r="AT90" s="1163"/>
      <c r="AU90" s="1163"/>
      <c r="AV90" s="1163"/>
      <c r="AW90" s="1163"/>
      <c r="AX90" s="1163"/>
      <c r="AY90" s="1164"/>
    </row>
    <row r="91" spans="1:51" x14ac:dyDescent="0.3">
      <c r="A91" s="1159" t="s">
        <v>3643</v>
      </c>
      <c r="B91" s="1160"/>
      <c r="C91" s="1160"/>
      <c r="D91" s="1160"/>
      <c r="E91" s="1160"/>
      <c r="F91" s="1160"/>
      <c r="G91" s="1160"/>
      <c r="H91" s="1160"/>
      <c r="I91" s="1160"/>
      <c r="J91" s="1160"/>
      <c r="K91" s="1160"/>
      <c r="L91" s="1160"/>
      <c r="M91" s="1160"/>
      <c r="N91" s="1160"/>
      <c r="O91" s="1160"/>
      <c r="P91" s="1160"/>
      <c r="Q91" s="1160"/>
      <c r="R91" s="1160"/>
      <c r="S91" s="1160"/>
      <c r="T91" s="1160"/>
      <c r="U91" s="1160"/>
      <c r="V91" s="1160"/>
      <c r="W91" s="1160"/>
      <c r="X91" s="1160"/>
      <c r="Y91" s="1160"/>
      <c r="Z91" s="1160"/>
      <c r="AA91" s="1160"/>
      <c r="AB91" s="1160"/>
      <c r="AC91" s="1160"/>
      <c r="AD91" s="1160"/>
      <c r="AE91" s="1160"/>
      <c r="AF91" s="1160"/>
      <c r="AG91" s="1160"/>
      <c r="AH91" s="1160"/>
      <c r="AI91" s="1160"/>
      <c r="AJ91" s="1160"/>
      <c r="AK91" s="1160"/>
      <c r="AL91" s="1160"/>
      <c r="AM91" s="1160"/>
      <c r="AN91" s="1160"/>
      <c r="AO91" s="1160"/>
      <c r="AP91" s="1160"/>
      <c r="AQ91" s="1160"/>
      <c r="AR91" s="1160"/>
      <c r="AS91" s="1160"/>
      <c r="AT91" s="1160"/>
      <c r="AU91" s="1160"/>
      <c r="AV91" s="1160"/>
      <c r="AW91" s="1160"/>
      <c r="AX91" s="1160"/>
      <c r="AY91" s="1161"/>
    </row>
    <row r="92" spans="1:51" x14ac:dyDescent="0.3">
      <c r="A92" s="1162" t="s">
        <v>3644</v>
      </c>
      <c r="B92" s="1163"/>
      <c r="C92" s="1163"/>
      <c r="D92" s="1163"/>
      <c r="E92" s="1163"/>
      <c r="F92" s="1163"/>
      <c r="G92" s="1163"/>
      <c r="H92" s="1163"/>
      <c r="I92" s="1163"/>
      <c r="J92" s="1163"/>
      <c r="K92" s="1163"/>
      <c r="L92" s="1163"/>
      <c r="M92" s="1163"/>
      <c r="N92" s="1163"/>
      <c r="O92" s="1163"/>
      <c r="P92" s="1163"/>
      <c r="Q92" s="1163"/>
      <c r="R92" s="1163"/>
      <c r="S92" s="1163"/>
      <c r="T92" s="1163"/>
      <c r="U92" s="1163"/>
      <c r="V92" s="1163"/>
      <c r="W92" s="1163"/>
      <c r="X92" s="1163"/>
      <c r="Y92" s="1163"/>
      <c r="Z92" s="1163"/>
      <c r="AA92" s="1163"/>
      <c r="AB92" s="1163"/>
      <c r="AC92" s="1163"/>
      <c r="AD92" s="1163"/>
      <c r="AE92" s="1163"/>
      <c r="AF92" s="1163"/>
      <c r="AG92" s="1163"/>
      <c r="AH92" s="1163"/>
      <c r="AI92" s="1163"/>
      <c r="AJ92" s="1163"/>
      <c r="AK92" s="1163"/>
      <c r="AL92" s="1163"/>
      <c r="AM92" s="1163"/>
      <c r="AN92" s="1163"/>
      <c r="AO92" s="1163"/>
      <c r="AP92" s="1163"/>
      <c r="AQ92" s="1163"/>
      <c r="AR92" s="1163"/>
      <c r="AS92" s="1163"/>
      <c r="AT92" s="1163"/>
      <c r="AU92" s="1163"/>
      <c r="AV92" s="1163"/>
      <c r="AW92" s="1163"/>
      <c r="AX92" s="1163"/>
      <c r="AY92" s="1164"/>
    </row>
    <row r="93" spans="1:51" x14ac:dyDescent="0.3">
      <c r="A93" s="1159" t="s">
        <v>3645</v>
      </c>
      <c r="B93" s="1160"/>
      <c r="C93" s="1160"/>
      <c r="D93" s="1160"/>
      <c r="E93" s="1160"/>
      <c r="F93" s="1160"/>
      <c r="G93" s="1160"/>
      <c r="H93" s="1160"/>
      <c r="I93" s="1160"/>
      <c r="J93" s="1160"/>
      <c r="K93" s="1160"/>
      <c r="L93" s="1160"/>
      <c r="M93" s="1160"/>
      <c r="N93" s="1160"/>
      <c r="O93" s="1160"/>
      <c r="P93" s="1160"/>
      <c r="Q93" s="1160"/>
      <c r="R93" s="1160"/>
      <c r="S93" s="1160"/>
      <c r="T93" s="1160"/>
      <c r="U93" s="1160"/>
      <c r="V93" s="1160"/>
      <c r="W93" s="1160"/>
      <c r="X93" s="1160"/>
      <c r="Y93" s="1160"/>
      <c r="Z93" s="1160"/>
      <c r="AA93" s="1160"/>
      <c r="AB93" s="1160"/>
      <c r="AC93" s="1160"/>
      <c r="AD93" s="1160"/>
      <c r="AE93" s="1160"/>
      <c r="AF93" s="1160"/>
      <c r="AG93" s="1160"/>
      <c r="AH93" s="1160"/>
      <c r="AI93" s="1160"/>
      <c r="AJ93" s="1160"/>
      <c r="AK93" s="1160"/>
      <c r="AL93" s="1160"/>
      <c r="AM93" s="1160"/>
      <c r="AN93" s="1160"/>
      <c r="AO93" s="1160"/>
      <c r="AP93" s="1160"/>
      <c r="AQ93" s="1160"/>
      <c r="AR93" s="1160"/>
      <c r="AS93" s="1160"/>
      <c r="AT93" s="1160"/>
      <c r="AU93" s="1160"/>
      <c r="AV93" s="1160"/>
      <c r="AW93" s="1160"/>
      <c r="AX93" s="1160"/>
      <c r="AY93" s="1161"/>
    </row>
    <row r="94" spans="1:51" x14ac:dyDescent="0.3">
      <c r="A94" s="1162" t="s">
        <v>3646</v>
      </c>
      <c r="B94" s="1163"/>
      <c r="C94" s="1163"/>
      <c r="D94" s="1163"/>
      <c r="E94" s="1163"/>
      <c r="F94" s="1163"/>
      <c r="G94" s="1163"/>
      <c r="H94" s="1163"/>
      <c r="I94" s="1163"/>
      <c r="J94" s="1163"/>
      <c r="K94" s="1163"/>
      <c r="L94" s="1163"/>
      <c r="M94" s="1163"/>
      <c r="N94" s="1163"/>
      <c r="O94" s="1163"/>
      <c r="P94" s="1163"/>
      <c r="Q94" s="1163"/>
      <c r="R94" s="1163"/>
      <c r="S94" s="1163"/>
      <c r="T94" s="1163"/>
      <c r="U94" s="1163"/>
      <c r="V94" s="1163"/>
      <c r="W94" s="1163"/>
      <c r="X94" s="1163"/>
      <c r="Y94" s="1163"/>
      <c r="Z94" s="1163"/>
      <c r="AA94" s="1163"/>
      <c r="AB94" s="1163"/>
      <c r="AC94" s="1163"/>
      <c r="AD94" s="1163"/>
      <c r="AE94" s="1163"/>
      <c r="AF94" s="1163"/>
      <c r="AG94" s="1163"/>
      <c r="AH94" s="1163"/>
      <c r="AI94" s="1163"/>
      <c r="AJ94" s="1163"/>
      <c r="AK94" s="1163"/>
      <c r="AL94" s="1163"/>
      <c r="AM94" s="1163"/>
      <c r="AN94" s="1163"/>
      <c r="AO94" s="1163"/>
      <c r="AP94" s="1163"/>
      <c r="AQ94" s="1163"/>
      <c r="AR94" s="1163"/>
      <c r="AS94" s="1163"/>
      <c r="AT94" s="1163"/>
      <c r="AU94" s="1163"/>
      <c r="AV94" s="1163"/>
      <c r="AW94" s="1163"/>
      <c r="AX94" s="1163"/>
      <c r="AY94" s="1164"/>
    </row>
    <row r="95" spans="1:51" x14ac:dyDescent="0.3">
      <c r="A95" s="1159" t="s">
        <v>3647</v>
      </c>
      <c r="B95" s="1160"/>
      <c r="C95" s="1160"/>
      <c r="D95" s="1160"/>
      <c r="E95" s="1160"/>
      <c r="F95" s="1160"/>
      <c r="G95" s="1160"/>
      <c r="H95" s="1160"/>
      <c r="I95" s="1160"/>
      <c r="J95" s="1160"/>
      <c r="K95" s="1160"/>
      <c r="L95" s="1160"/>
      <c r="M95" s="1160"/>
      <c r="N95" s="1160"/>
      <c r="O95" s="1160"/>
      <c r="P95" s="1160"/>
      <c r="Q95" s="1160"/>
      <c r="R95" s="1160"/>
      <c r="S95" s="1160"/>
      <c r="T95" s="1160"/>
      <c r="U95" s="1160"/>
      <c r="V95" s="1160"/>
      <c r="W95" s="1160"/>
      <c r="X95" s="1160"/>
      <c r="Y95" s="1160"/>
      <c r="Z95" s="1160"/>
      <c r="AA95" s="1160"/>
      <c r="AB95" s="1160"/>
      <c r="AC95" s="1160"/>
      <c r="AD95" s="1160"/>
      <c r="AE95" s="1160"/>
      <c r="AF95" s="1160"/>
      <c r="AG95" s="1160"/>
      <c r="AH95" s="1160"/>
      <c r="AI95" s="1160"/>
      <c r="AJ95" s="1160"/>
      <c r="AK95" s="1160"/>
      <c r="AL95" s="1160"/>
      <c r="AM95" s="1160"/>
      <c r="AN95" s="1160"/>
      <c r="AO95" s="1160"/>
      <c r="AP95" s="1160"/>
      <c r="AQ95" s="1160"/>
      <c r="AR95" s="1160"/>
      <c r="AS95" s="1160"/>
      <c r="AT95" s="1160"/>
      <c r="AU95" s="1160"/>
      <c r="AV95" s="1160"/>
      <c r="AW95" s="1160"/>
      <c r="AX95" s="1160"/>
      <c r="AY95" s="1161"/>
    </row>
    <row r="96" spans="1:51" x14ac:dyDescent="0.3">
      <c r="A96" s="1162" t="s">
        <v>3648</v>
      </c>
      <c r="B96" s="1163"/>
      <c r="C96" s="1163"/>
      <c r="D96" s="1163"/>
      <c r="E96" s="1163"/>
      <c r="F96" s="1163"/>
      <c r="G96" s="1163"/>
      <c r="H96" s="1163"/>
      <c r="I96" s="1163"/>
      <c r="J96" s="1163"/>
      <c r="K96" s="1163"/>
      <c r="L96" s="1163"/>
      <c r="M96" s="1163"/>
      <c r="N96" s="1163"/>
      <c r="O96" s="1163"/>
      <c r="P96" s="1163"/>
      <c r="Q96" s="1163"/>
      <c r="R96" s="1163"/>
      <c r="S96" s="1163"/>
      <c r="T96" s="1163"/>
      <c r="U96" s="1163"/>
      <c r="V96" s="1163"/>
      <c r="W96" s="1163"/>
      <c r="X96" s="1163"/>
      <c r="Y96" s="1163"/>
      <c r="Z96" s="1163"/>
      <c r="AA96" s="1163"/>
      <c r="AB96" s="1163"/>
      <c r="AC96" s="1163"/>
      <c r="AD96" s="1163"/>
      <c r="AE96" s="1163"/>
      <c r="AF96" s="1163"/>
      <c r="AG96" s="1163"/>
      <c r="AH96" s="1163"/>
      <c r="AI96" s="1163"/>
      <c r="AJ96" s="1163"/>
      <c r="AK96" s="1163"/>
      <c r="AL96" s="1163"/>
      <c r="AM96" s="1163"/>
      <c r="AN96" s="1163"/>
      <c r="AO96" s="1163"/>
      <c r="AP96" s="1163"/>
      <c r="AQ96" s="1163"/>
      <c r="AR96" s="1163"/>
      <c r="AS96" s="1163"/>
      <c r="AT96" s="1163"/>
      <c r="AU96" s="1163"/>
      <c r="AV96" s="1163"/>
      <c r="AW96" s="1163"/>
      <c r="AX96" s="1163"/>
      <c r="AY96" s="1164"/>
    </row>
    <row r="97" spans="1:51" x14ac:dyDescent="0.3">
      <c r="A97" s="1159" t="s">
        <v>3649</v>
      </c>
      <c r="B97" s="1160"/>
      <c r="C97" s="1160"/>
      <c r="D97" s="1160"/>
      <c r="E97" s="1160"/>
      <c r="F97" s="1160"/>
      <c r="G97" s="1160"/>
      <c r="H97" s="1160"/>
      <c r="I97" s="1160"/>
      <c r="J97" s="1160"/>
      <c r="K97" s="1160"/>
      <c r="L97" s="1160"/>
      <c r="M97" s="1160"/>
      <c r="N97" s="1160"/>
      <c r="O97" s="1160"/>
      <c r="P97" s="1160"/>
      <c r="Q97" s="1160"/>
      <c r="R97" s="1160"/>
      <c r="S97" s="1160"/>
      <c r="T97" s="1160"/>
      <c r="U97" s="1160"/>
      <c r="V97" s="1160"/>
      <c r="W97" s="1160"/>
      <c r="X97" s="1160"/>
      <c r="Y97" s="1160"/>
      <c r="Z97" s="1160"/>
      <c r="AA97" s="1160"/>
      <c r="AB97" s="1160"/>
      <c r="AC97" s="1160"/>
      <c r="AD97" s="1160"/>
      <c r="AE97" s="1160"/>
      <c r="AF97" s="1160"/>
      <c r="AG97" s="1160"/>
      <c r="AH97" s="1160"/>
      <c r="AI97" s="1160"/>
      <c r="AJ97" s="1160"/>
      <c r="AK97" s="1160"/>
      <c r="AL97" s="1160"/>
      <c r="AM97" s="1160"/>
      <c r="AN97" s="1160"/>
      <c r="AO97" s="1160"/>
      <c r="AP97" s="1160"/>
      <c r="AQ97" s="1160"/>
      <c r="AR97" s="1160"/>
      <c r="AS97" s="1160"/>
      <c r="AT97" s="1160"/>
      <c r="AU97" s="1160"/>
      <c r="AV97" s="1160"/>
      <c r="AW97" s="1160"/>
      <c r="AX97" s="1160"/>
      <c r="AY97" s="1161"/>
    </row>
    <row r="98" spans="1:51" x14ac:dyDescent="0.3">
      <c r="A98" s="1162" t="s">
        <v>3650</v>
      </c>
      <c r="B98" s="1163"/>
      <c r="C98" s="1163"/>
      <c r="D98" s="1163"/>
      <c r="E98" s="1163"/>
      <c r="F98" s="1163"/>
      <c r="G98" s="1163"/>
      <c r="H98" s="1163"/>
      <c r="I98" s="1163"/>
      <c r="J98" s="1163"/>
      <c r="K98" s="1163"/>
      <c r="L98" s="1163"/>
      <c r="M98" s="1163"/>
      <c r="N98" s="1163"/>
      <c r="O98" s="1163"/>
      <c r="P98" s="1163"/>
      <c r="Q98" s="1163"/>
      <c r="R98" s="1163"/>
      <c r="S98" s="1163"/>
      <c r="T98" s="1163"/>
      <c r="U98" s="1163"/>
      <c r="V98" s="1163"/>
      <c r="W98" s="1163"/>
      <c r="X98" s="1163"/>
      <c r="Y98" s="1163"/>
      <c r="Z98" s="1163"/>
      <c r="AA98" s="1163"/>
      <c r="AB98" s="1163"/>
      <c r="AC98" s="1163"/>
      <c r="AD98" s="1163"/>
      <c r="AE98" s="1163"/>
      <c r="AF98" s="1163"/>
      <c r="AG98" s="1163"/>
      <c r="AH98" s="1163"/>
      <c r="AI98" s="1163"/>
      <c r="AJ98" s="1163"/>
      <c r="AK98" s="1163"/>
      <c r="AL98" s="1163"/>
      <c r="AM98" s="1163"/>
      <c r="AN98" s="1163"/>
      <c r="AO98" s="1163"/>
      <c r="AP98" s="1163"/>
      <c r="AQ98" s="1163"/>
      <c r="AR98" s="1163"/>
      <c r="AS98" s="1163"/>
      <c r="AT98" s="1163"/>
      <c r="AU98" s="1163"/>
      <c r="AV98" s="1163"/>
      <c r="AW98" s="1163"/>
      <c r="AX98" s="1163"/>
      <c r="AY98" s="1164"/>
    </row>
    <row r="99" spans="1:51" x14ac:dyDescent="0.3">
      <c r="A99" s="1159" t="s">
        <v>3651</v>
      </c>
      <c r="B99" s="1160"/>
      <c r="C99" s="1160"/>
      <c r="D99" s="1160"/>
      <c r="E99" s="1160"/>
      <c r="F99" s="1160"/>
      <c r="G99" s="1160"/>
      <c r="H99" s="1160"/>
      <c r="I99" s="1160"/>
      <c r="J99" s="1160"/>
      <c r="K99" s="1160"/>
      <c r="L99" s="1160"/>
      <c r="M99" s="1160"/>
      <c r="N99" s="1160"/>
      <c r="O99" s="1160"/>
      <c r="P99" s="1160"/>
      <c r="Q99" s="1160"/>
      <c r="R99" s="1160"/>
      <c r="S99" s="1160"/>
      <c r="T99" s="1160"/>
      <c r="U99" s="1160"/>
      <c r="V99" s="1160"/>
      <c r="W99" s="1160"/>
      <c r="X99" s="1160"/>
      <c r="Y99" s="1160"/>
      <c r="Z99" s="1160"/>
      <c r="AA99" s="1160"/>
      <c r="AB99" s="1160"/>
      <c r="AC99" s="1160"/>
      <c r="AD99" s="1160"/>
      <c r="AE99" s="1160"/>
      <c r="AF99" s="1160"/>
      <c r="AG99" s="1160"/>
      <c r="AH99" s="1160"/>
      <c r="AI99" s="1160"/>
      <c r="AJ99" s="1160"/>
      <c r="AK99" s="1160"/>
      <c r="AL99" s="1160"/>
      <c r="AM99" s="1160"/>
      <c r="AN99" s="1160"/>
      <c r="AO99" s="1160"/>
      <c r="AP99" s="1160"/>
      <c r="AQ99" s="1160"/>
      <c r="AR99" s="1160"/>
      <c r="AS99" s="1160"/>
      <c r="AT99" s="1160"/>
      <c r="AU99" s="1160"/>
      <c r="AV99" s="1160"/>
      <c r="AW99" s="1160"/>
      <c r="AX99" s="1160"/>
      <c r="AY99" s="1161"/>
    </row>
    <row r="100" spans="1:51" x14ac:dyDescent="0.3">
      <c r="A100" s="1162" t="s">
        <v>3652</v>
      </c>
      <c r="B100" s="1163"/>
      <c r="C100" s="1163"/>
      <c r="D100" s="1163"/>
      <c r="E100" s="1163"/>
      <c r="F100" s="1163"/>
      <c r="G100" s="1163"/>
      <c r="H100" s="1163"/>
      <c r="I100" s="1163"/>
      <c r="J100" s="1163"/>
      <c r="K100" s="1163"/>
      <c r="L100" s="1163"/>
      <c r="M100" s="1163"/>
      <c r="N100" s="1163"/>
      <c r="O100" s="1163"/>
      <c r="P100" s="1163"/>
      <c r="Q100" s="1163"/>
      <c r="R100" s="1163"/>
      <c r="S100" s="1163"/>
      <c r="T100" s="1163"/>
      <c r="U100" s="1163"/>
      <c r="V100" s="1163"/>
      <c r="W100" s="1163"/>
      <c r="X100" s="1163"/>
      <c r="Y100" s="1163"/>
      <c r="Z100" s="1163"/>
      <c r="AA100" s="1163"/>
      <c r="AB100" s="1163"/>
      <c r="AC100" s="1163"/>
      <c r="AD100" s="1163"/>
      <c r="AE100" s="1163"/>
      <c r="AF100" s="1163"/>
      <c r="AG100" s="1163"/>
      <c r="AH100" s="1163"/>
      <c r="AI100" s="1163"/>
      <c r="AJ100" s="1163"/>
      <c r="AK100" s="1163"/>
      <c r="AL100" s="1163"/>
      <c r="AM100" s="1163"/>
      <c r="AN100" s="1163"/>
      <c r="AO100" s="1163"/>
      <c r="AP100" s="1163"/>
      <c r="AQ100" s="1163"/>
      <c r="AR100" s="1163"/>
      <c r="AS100" s="1163"/>
      <c r="AT100" s="1163"/>
      <c r="AU100" s="1163"/>
      <c r="AV100" s="1163"/>
      <c r="AW100" s="1163"/>
      <c r="AX100" s="1163"/>
      <c r="AY100" s="1164"/>
    </row>
    <row r="101" spans="1:51" x14ac:dyDescent="0.3">
      <c r="A101" s="1159" t="s">
        <v>3653</v>
      </c>
      <c r="B101" s="1160"/>
      <c r="C101" s="1160"/>
      <c r="D101" s="1160"/>
      <c r="E101" s="1160"/>
      <c r="F101" s="1160"/>
      <c r="G101" s="1160"/>
      <c r="H101" s="1160"/>
      <c r="I101" s="1160"/>
      <c r="J101" s="1160"/>
      <c r="K101" s="1160"/>
      <c r="L101" s="1160"/>
      <c r="M101" s="1160"/>
      <c r="N101" s="1160"/>
      <c r="O101" s="1160"/>
      <c r="P101" s="1160"/>
      <c r="Q101" s="1160"/>
      <c r="R101" s="1160"/>
      <c r="S101" s="1160"/>
      <c r="T101" s="1160"/>
      <c r="U101" s="1160"/>
      <c r="V101" s="1160"/>
      <c r="W101" s="1160"/>
      <c r="X101" s="1160"/>
      <c r="Y101" s="1160"/>
      <c r="Z101" s="1160"/>
      <c r="AA101" s="1160"/>
      <c r="AB101" s="1160"/>
      <c r="AC101" s="1160"/>
      <c r="AD101" s="1160"/>
      <c r="AE101" s="1160"/>
      <c r="AF101" s="1160"/>
      <c r="AG101" s="1160"/>
      <c r="AH101" s="1160"/>
      <c r="AI101" s="1160"/>
      <c r="AJ101" s="1160"/>
      <c r="AK101" s="1160"/>
      <c r="AL101" s="1160"/>
      <c r="AM101" s="1160"/>
      <c r="AN101" s="1160"/>
      <c r="AO101" s="1160"/>
      <c r="AP101" s="1160"/>
      <c r="AQ101" s="1160"/>
      <c r="AR101" s="1160"/>
      <c r="AS101" s="1160"/>
      <c r="AT101" s="1160"/>
      <c r="AU101" s="1160"/>
      <c r="AV101" s="1160"/>
      <c r="AW101" s="1160"/>
      <c r="AX101" s="1160"/>
      <c r="AY101" s="1161"/>
    </row>
    <row r="102" spans="1:51" x14ac:dyDescent="0.3">
      <c r="A102" s="1162" t="s">
        <v>3654</v>
      </c>
      <c r="B102" s="1163"/>
      <c r="C102" s="1163"/>
      <c r="D102" s="1163"/>
      <c r="E102" s="1163"/>
      <c r="F102" s="1163"/>
      <c r="G102" s="1163"/>
      <c r="H102" s="1163"/>
      <c r="I102" s="1163"/>
      <c r="J102" s="1163"/>
      <c r="K102" s="1163"/>
      <c r="L102" s="1163"/>
      <c r="M102" s="1163"/>
      <c r="N102" s="1163"/>
      <c r="O102" s="1163"/>
      <c r="P102" s="1163"/>
      <c r="Q102" s="1163"/>
      <c r="R102" s="1163"/>
      <c r="S102" s="1163"/>
      <c r="T102" s="1163"/>
      <c r="U102" s="1163"/>
      <c r="V102" s="1163"/>
      <c r="W102" s="1163"/>
      <c r="X102" s="1163"/>
      <c r="Y102" s="1163"/>
      <c r="Z102" s="1163"/>
      <c r="AA102" s="1163"/>
      <c r="AB102" s="1163"/>
      <c r="AC102" s="1163"/>
      <c r="AD102" s="1163"/>
      <c r="AE102" s="1163"/>
      <c r="AF102" s="1163"/>
      <c r="AG102" s="1163"/>
      <c r="AH102" s="1163"/>
      <c r="AI102" s="1163"/>
      <c r="AJ102" s="1163"/>
      <c r="AK102" s="1163"/>
      <c r="AL102" s="1163"/>
      <c r="AM102" s="1163"/>
      <c r="AN102" s="1163"/>
      <c r="AO102" s="1163"/>
      <c r="AP102" s="1163"/>
      <c r="AQ102" s="1163"/>
      <c r="AR102" s="1163"/>
      <c r="AS102" s="1163"/>
      <c r="AT102" s="1163"/>
      <c r="AU102" s="1163"/>
      <c r="AV102" s="1163"/>
      <c r="AW102" s="1163"/>
      <c r="AX102" s="1163"/>
      <c r="AY102" s="1164"/>
    </row>
    <row r="103" spans="1:51" x14ac:dyDescent="0.3">
      <c r="A103" s="1159" t="s">
        <v>3655</v>
      </c>
      <c r="B103" s="1160"/>
      <c r="C103" s="1160"/>
      <c r="D103" s="1160"/>
      <c r="E103" s="1160"/>
      <c r="F103" s="1160"/>
      <c r="G103" s="1160"/>
      <c r="H103" s="1160"/>
      <c r="I103" s="1160"/>
      <c r="J103" s="1160"/>
      <c r="K103" s="1160"/>
      <c r="L103" s="1160"/>
      <c r="M103" s="1160"/>
      <c r="N103" s="1160"/>
      <c r="O103" s="1160"/>
      <c r="P103" s="1160"/>
      <c r="Q103" s="1160"/>
      <c r="R103" s="1160"/>
      <c r="S103" s="1160"/>
      <c r="T103" s="1160"/>
      <c r="U103" s="1160"/>
      <c r="V103" s="1160"/>
      <c r="W103" s="1160"/>
      <c r="X103" s="1160"/>
      <c r="Y103" s="1160"/>
      <c r="Z103" s="1160"/>
      <c r="AA103" s="1160"/>
      <c r="AB103" s="1160"/>
      <c r="AC103" s="1160"/>
      <c r="AD103" s="1160"/>
      <c r="AE103" s="1160"/>
      <c r="AF103" s="1160"/>
      <c r="AG103" s="1160"/>
      <c r="AH103" s="1160"/>
      <c r="AI103" s="1160"/>
      <c r="AJ103" s="1160"/>
      <c r="AK103" s="1160"/>
      <c r="AL103" s="1160"/>
      <c r="AM103" s="1160"/>
      <c r="AN103" s="1160"/>
      <c r="AO103" s="1160"/>
      <c r="AP103" s="1160"/>
      <c r="AQ103" s="1160"/>
      <c r="AR103" s="1160"/>
      <c r="AS103" s="1160"/>
      <c r="AT103" s="1160"/>
      <c r="AU103" s="1160"/>
      <c r="AV103" s="1160"/>
      <c r="AW103" s="1160"/>
      <c r="AX103" s="1160"/>
      <c r="AY103" s="1161"/>
    </row>
    <row r="104" spans="1:51" x14ac:dyDescent="0.3">
      <c r="A104" s="1162" t="s">
        <v>3656</v>
      </c>
      <c r="B104" s="1163"/>
      <c r="C104" s="1163"/>
      <c r="D104" s="1163"/>
      <c r="E104" s="1163"/>
      <c r="F104" s="1163"/>
      <c r="G104" s="1163"/>
      <c r="H104" s="1163"/>
      <c r="I104" s="1163"/>
      <c r="J104" s="1163"/>
      <c r="K104" s="1163"/>
      <c r="L104" s="1163"/>
      <c r="M104" s="1163"/>
      <c r="N104" s="1163"/>
      <c r="O104" s="1163"/>
      <c r="P104" s="1163"/>
      <c r="Q104" s="1163"/>
      <c r="R104" s="1163"/>
      <c r="S104" s="1163"/>
      <c r="T104" s="1163"/>
      <c r="U104" s="1163"/>
      <c r="V104" s="1163"/>
      <c r="W104" s="1163"/>
      <c r="X104" s="1163"/>
      <c r="Y104" s="1163"/>
      <c r="Z104" s="1163"/>
      <c r="AA104" s="1163"/>
      <c r="AB104" s="1163"/>
      <c r="AC104" s="1163"/>
      <c r="AD104" s="1163"/>
      <c r="AE104" s="1163"/>
      <c r="AF104" s="1163"/>
      <c r="AG104" s="1163"/>
      <c r="AH104" s="1163"/>
      <c r="AI104" s="1163"/>
      <c r="AJ104" s="1163"/>
      <c r="AK104" s="1163"/>
      <c r="AL104" s="1163"/>
      <c r="AM104" s="1163"/>
      <c r="AN104" s="1163"/>
      <c r="AO104" s="1163"/>
      <c r="AP104" s="1163"/>
      <c r="AQ104" s="1163"/>
      <c r="AR104" s="1163"/>
      <c r="AS104" s="1163"/>
      <c r="AT104" s="1163"/>
      <c r="AU104" s="1163"/>
      <c r="AV104" s="1163"/>
      <c r="AW104" s="1163"/>
      <c r="AX104" s="1163"/>
      <c r="AY104" s="1164"/>
    </row>
    <row r="105" spans="1:51" x14ac:dyDescent="0.3">
      <c r="A105" s="1159" t="s">
        <v>3657</v>
      </c>
      <c r="B105" s="1160"/>
      <c r="C105" s="1160"/>
      <c r="D105" s="1160"/>
      <c r="E105" s="1160"/>
      <c r="F105" s="1160"/>
      <c r="G105" s="1160"/>
      <c r="H105" s="1160"/>
      <c r="I105" s="1160"/>
      <c r="J105" s="1160"/>
      <c r="K105" s="1160"/>
      <c r="L105" s="1160"/>
      <c r="M105" s="1160"/>
      <c r="N105" s="1160"/>
      <c r="O105" s="1160"/>
      <c r="P105" s="1160"/>
      <c r="Q105" s="1160"/>
      <c r="R105" s="1160"/>
      <c r="S105" s="1160"/>
      <c r="T105" s="1160"/>
      <c r="U105" s="1160"/>
      <c r="V105" s="1160"/>
      <c r="W105" s="1160"/>
      <c r="X105" s="1160"/>
      <c r="Y105" s="1160"/>
      <c r="Z105" s="1160"/>
      <c r="AA105" s="1160"/>
      <c r="AB105" s="1160"/>
      <c r="AC105" s="1160"/>
      <c r="AD105" s="1160"/>
      <c r="AE105" s="1160"/>
      <c r="AF105" s="1160"/>
      <c r="AG105" s="1160"/>
      <c r="AH105" s="1160"/>
      <c r="AI105" s="1160"/>
      <c r="AJ105" s="1160"/>
      <c r="AK105" s="1160"/>
      <c r="AL105" s="1160"/>
      <c r="AM105" s="1160"/>
      <c r="AN105" s="1160"/>
      <c r="AO105" s="1160"/>
      <c r="AP105" s="1160"/>
      <c r="AQ105" s="1160"/>
      <c r="AR105" s="1160"/>
      <c r="AS105" s="1160"/>
      <c r="AT105" s="1160"/>
      <c r="AU105" s="1160"/>
      <c r="AV105" s="1160"/>
      <c r="AW105" s="1160"/>
      <c r="AX105" s="1160"/>
      <c r="AY105" s="1161"/>
    </row>
    <row r="106" spans="1:51" x14ac:dyDescent="0.3">
      <c r="A106" s="1162" t="s">
        <v>3658</v>
      </c>
      <c r="B106" s="1163"/>
      <c r="C106" s="1163"/>
      <c r="D106" s="1163"/>
      <c r="E106" s="1163"/>
      <c r="F106" s="1163"/>
      <c r="G106" s="1163"/>
      <c r="H106" s="1163"/>
      <c r="I106" s="1163"/>
      <c r="J106" s="1163"/>
      <c r="K106" s="1163"/>
      <c r="L106" s="1163"/>
      <c r="M106" s="1163"/>
      <c r="N106" s="1163"/>
      <c r="O106" s="1163"/>
      <c r="P106" s="1163"/>
      <c r="Q106" s="1163"/>
      <c r="R106" s="1163"/>
      <c r="S106" s="1163"/>
      <c r="T106" s="1163"/>
      <c r="U106" s="1163"/>
      <c r="V106" s="1163"/>
      <c r="W106" s="1163"/>
      <c r="X106" s="1163"/>
      <c r="Y106" s="1163"/>
      <c r="Z106" s="1163"/>
      <c r="AA106" s="1163"/>
      <c r="AB106" s="1163"/>
      <c r="AC106" s="1163"/>
      <c r="AD106" s="1163"/>
      <c r="AE106" s="1163"/>
      <c r="AF106" s="1163"/>
      <c r="AG106" s="1163"/>
      <c r="AH106" s="1163"/>
      <c r="AI106" s="1163"/>
      <c r="AJ106" s="1163"/>
      <c r="AK106" s="1163"/>
      <c r="AL106" s="1163"/>
      <c r="AM106" s="1163"/>
      <c r="AN106" s="1163"/>
      <c r="AO106" s="1163"/>
      <c r="AP106" s="1163"/>
      <c r="AQ106" s="1163"/>
      <c r="AR106" s="1163"/>
      <c r="AS106" s="1163"/>
      <c r="AT106" s="1163"/>
      <c r="AU106" s="1163"/>
      <c r="AV106" s="1163"/>
      <c r="AW106" s="1163"/>
      <c r="AX106" s="1163"/>
      <c r="AY106" s="1164"/>
    </row>
    <row r="107" spans="1:51" x14ac:dyDescent="0.3">
      <c r="A107" s="1165" t="s">
        <v>3659</v>
      </c>
      <c r="B107" s="1166"/>
      <c r="C107" s="1166"/>
      <c r="D107" s="1166"/>
      <c r="E107" s="1166"/>
      <c r="F107" s="1166"/>
      <c r="G107" s="1166"/>
      <c r="H107" s="1166"/>
      <c r="I107" s="1166"/>
      <c r="J107" s="1166"/>
      <c r="K107" s="1166"/>
      <c r="L107" s="1166"/>
      <c r="M107" s="1166"/>
      <c r="N107" s="1166"/>
      <c r="O107" s="1166"/>
      <c r="P107" s="1166"/>
      <c r="Q107" s="1166"/>
      <c r="R107" s="1166"/>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6"/>
      <c r="AM107" s="1166"/>
      <c r="AN107" s="1166"/>
      <c r="AO107" s="1166"/>
      <c r="AP107" s="1166"/>
      <c r="AQ107" s="1166"/>
      <c r="AR107" s="1166"/>
      <c r="AS107" s="1166"/>
      <c r="AT107" s="1166"/>
      <c r="AU107" s="1166"/>
      <c r="AV107" s="1166"/>
      <c r="AW107" s="1166"/>
      <c r="AX107" s="1166"/>
      <c r="AY107" s="1167"/>
    </row>
    <row r="108" spans="1:51" ht="15" thickBot="1" x14ac:dyDescent="0.35">
      <c r="A108" s="1168" t="s">
        <v>3660</v>
      </c>
      <c r="B108" s="1169"/>
      <c r="C108" s="1169"/>
      <c r="D108" s="1169"/>
      <c r="E108" s="1169"/>
      <c r="F108" s="1169"/>
      <c r="G108" s="1169"/>
      <c r="H108" s="1169"/>
      <c r="I108" s="1169"/>
      <c r="J108" s="1169"/>
      <c r="K108" s="1169"/>
      <c r="L108" s="1169"/>
      <c r="M108" s="1169"/>
      <c r="N108" s="1169"/>
      <c r="O108" s="1169"/>
      <c r="P108" s="1169"/>
      <c r="Q108" s="1169"/>
      <c r="R108" s="1169"/>
      <c r="S108" s="1169"/>
      <c r="T108" s="1169"/>
      <c r="U108" s="1169"/>
      <c r="V108" s="1169"/>
      <c r="W108" s="1169"/>
      <c r="X108" s="1169"/>
      <c r="Y108" s="1169"/>
      <c r="Z108" s="1169"/>
      <c r="AA108" s="1169"/>
      <c r="AB108" s="1169"/>
      <c r="AC108" s="1169"/>
      <c r="AD108" s="1169"/>
      <c r="AE108" s="1169"/>
      <c r="AF108" s="1169"/>
      <c r="AG108" s="1169"/>
      <c r="AH108" s="1169"/>
      <c r="AI108" s="1169"/>
      <c r="AJ108" s="1169"/>
      <c r="AK108" s="1169"/>
      <c r="AL108" s="1169"/>
      <c r="AM108" s="1169"/>
      <c r="AN108" s="1169"/>
      <c r="AO108" s="1169"/>
      <c r="AP108" s="1169"/>
      <c r="AQ108" s="1169"/>
      <c r="AR108" s="1169"/>
      <c r="AS108" s="1169"/>
      <c r="AT108" s="1169"/>
      <c r="AU108" s="1169"/>
      <c r="AV108" s="1169"/>
      <c r="AW108" s="1169"/>
      <c r="AX108" s="1169"/>
      <c r="AY108" s="1170"/>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06" t="str">
        <f>template_label_unit_of_measurement_converter</f>
        <v>UNIT OF MEASUREMENT CONVERTER</v>
      </c>
      <c r="B1" s="1207"/>
      <c r="C1" s="1208"/>
    </row>
    <row r="2" spans="1:7" s="10" customFormat="1" ht="15" thickTop="1" x14ac:dyDescent="0.3">
      <c r="A2" s="18"/>
      <c r="B2" s="18"/>
      <c r="C2" s="18"/>
    </row>
    <row r="3" spans="1:7" ht="15" thickBot="1" x14ac:dyDescent="0.35">
      <c r="A3" s="10"/>
      <c r="B3" s="10"/>
      <c r="C3" s="10"/>
      <c r="D3" s="10"/>
    </row>
    <row r="4" spans="1:7" ht="15" thickBot="1" x14ac:dyDescent="0.35">
      <c r="A4" s="1203" t="str">
        <f>template_label_unit_of_measurement_of_mass_converter</f>
        <v>Unit of measurement of Mass Converter</v>
      </c>
      <c r="B4" s="1204"/>
      <c r="C4" s="1204"/>
      <c r="D4" s="1204"/>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03" t="str">
        <f>template_label_unit_of_measurement_of_volume_converter</f>
        <v>Unit of measurement of Volume Converter</v>
      </c>
      <c r="B8" s="1204"/>
      <c r="C8" s="1204"/>
      <c r="D8" s="1205"/>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03" t="str">
        <f>template_label_unit_of_measurement_of_energy_consumption_per_hour</f>
        <v>Unit of measurement of Energy Consumption per Hour</v>
      </c>
      <c r="B12" s="1204"/>
      <c r="C12" s="1204"/>
      <c r="D12" s="1205"/>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4520</v>
      </c>
    </row>
    <row r="15" spans="1:7" s="10" customFormat="1" ht="15" thickBot="1" x14ac:dyDescent="0.35">
      <c r="G15" s="456" t="s">
        <v>4521</v>
      </c>
    </row>
    <row r="16" spans="1:7" s="10" customFormat="1" ht="15" thickBot="1" x14ac:dyDescent="0.35">
      <c r="A16" s="1203" t="str">
        <f>template_label_unit_of_measurement_of_density_converter</f>
        <v>Unit of measurement of Density Converter</v>
      </c>
      <c r="B16" s="1204"/>
      <c r="C16" s="1204"/>
      <c r="D16" s="1205"/>
      <c r="G16" s="456" t="s">
        <v>4522</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4523</v>
      </c>
    </row>
    <row r="19" spans="1:7" s="10" customFormat="1" ht="15" thickBot="1" x14ac:dyDescent="0.35">
      <c r="G19" s="456" t="s">
        <v>4524</v>
      </c>
    </row>
    <row r="20" spans="1:7" s="10" customFormat="1" ht="15" customHeight="1" thickBot="1" x14ac:dyDescent="0.35">
      <c r="A20" s="1203" t="str">
        <f>template_label_unit_of_measurement_of_ncv_converter</f>
        <v>Unit of measurement of NCV Converter</v>
      </c>
      <c r="B20" s="1204"/>
      <c r="C20" s="1204"/>
      <c r="D20" s="1205"/>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4525</v>
      </c>
    </row>
    <row r="22" spans="1:7" s="10" customFormat="1" ht="15" thickBot="1" x14ac:dyDescent="0.35">
      <c r="B22" s="190"/>
      <c r="D22" s="24" t="str">
        <f>IF(OR(B21="",B22="",D21=""), "-", B22 * INDEX('Fuel Conversion Parameters'!V2:AK13, MATCH(B21, 'Fuel Conversion Parameters'!U2:U13, 0), MATCH(D21, 'Fuel Conversion Parameters'!V1:AK1, 0)))</f>
        <v>-</v>
      </c>
      <c r="G22" s="456" t="s">
        <v>4526</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6465</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6465</v>
      </c>
      <c r="I3" t="s">
        <v>2727</v>
      </c>
      <c r="J3" t="s">
        <v>2731</v>
      </c>
      <c r="K3" t="s">
        <v>4658</v>
      </c>
      <c r="L3" t="s">
        <v>2654</v>
      </c>
      <c r="M3" t="s">
        <v>2761</v>
      </c>
      <c r="N3" t="s">
        <v>2878</v>
      </c>
      <c r="O3" t="s">
        <v>2892</v>
      </c>
      <c r="P3" t="s">
        <v>3554</v>
      </c>
      <c r="Q3" t="s">
        <v>2907</v>
      </c>
      <c r="R3" t="s">
        <v>2651</v>
      </c>
      <c r="S3">
        <v>2001</v>
      </c>
      <c r="T3">
        <v>2</v>
      </c>
      <c r="U3" t="s">
        <v>3044</v>
      </c>
      <c r="V3" t="s">
        <v>6466</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6466</v>
      </c>
      <c r="I4" t="s">
        <v>2726</v>
      </c>
      <c r="K4" t="s">
        <v>4659</v>
      </c>
      <c r="L4" t="s">
        <v>2752</v>
      </c>
      <c r="M4" t="s">
        <v>3553</v>
      </c>
      <c r="N4" t="s">
        <v>2879</v>
      </c>
      <c r="O4" t="s">
        <v>2893</v>
      </c>
      <c r="R4" t="s">
        <v>2908</v>
      </c>
      <c r="S4">
        <v>2002</v>
      </c>
      <c r="T4">
        <v>3</v>
      </c>
      <c r="V4" t="s">
        <v>6467</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6467</v>
      </c>
      <c r="I5" t="s">
        <v>2725</v>
      </c>
      <c r="K5" t="s">
        <v>4660</v>
      </c>
      <c r="L5" t="s">
        <v>2753</v>
      </c>
      <c r="O5" t="s">
        <v>2894</v>
      </c>
      <c r="S5">
        <v>2003</v>
      </c>
      <c r="T5">
        <v>4</v>
      </c>
      <c r="V5" t="s">
        <v>6468</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6468</v>
      </c>
      <c r="I6" t="s">
        <v>3509</v>
      </c>
      <c r="K6" t="s">
        <v>4661</v>
      </c>
      <c r="L6" t="s">
        <v>2754</v>
      </c>
      <c r="O6" t="s">
        <v>2895</v>
      </c>
      <c r="S6">
        <v>2004</v>
      </c>
      <c r="T6">
        <v>5</v>
      </c>
      <c r="V6" t="s">
        <v>6469</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6469</v>
      </c>
      <c r="I7" t="s">
        <v>2724</v>
      </c>
      <c r="K7" t="s">
        <v>4662</v>
      </c>
      <c r="O7" t="s">
        <v>2896</v>
      </c>
      <c r="S7">
        <v>2005</v>
      </c>
      <c r="T7">
        <v>6</v>
      </c>
      <c r="V7" t="s">
        <v>6470</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6470</v>
      </c>
      <c r="I8" t="s">
        <v>2723</v>
      </c>
      <c r="K8" t="s">
        <v>4663</v>
      </c>
      <c r="O8" t="s">
        <v>2652</v>
      </c>
      <c r="S8">
        <v>2006</v>
      </c>
      <c r="T8">
        <v>7</v>
      </c>
      <c r="V8" t="s">
        <v>6471</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6471</v>
      </c>
      <c r="I9" t="s">
        <v>2722</v>
      </c>
      <c r="K9" t="s">
        <v>4664</v>
      </c>
      <c r="O9" t="s">
        <v>2897</v>
      </c>
      <c r="S9">
        <v>2007</v>
      </c>
      <c r="T9">
        <v>8</v>
      </c>
      <c r="V9" t="s">
        <v>6472</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6472</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6473</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6473</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6474</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6474</v>
      </c>
      <c r="I15" t="s">
        <v>2717</v>
      </c>
      <c r="K15" t="s">
        <v>4670</v>
      </c>
      <c r="S15">
        <v>2013</v>
      </c>
      <c r="V15" t="s">
        <v>6475</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6475</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6476</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6476</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4679</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4680</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4681</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4682</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4683</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4638</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4686</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4687</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4688</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4689</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4690</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4691</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4692</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4693</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4694</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4695</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4696</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4697</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4698</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4699</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4702</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4703</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4704</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4705</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4708</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4709</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4710</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4711</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4712</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4713</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4716</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4717</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4718</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4721</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4722</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4723</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4724</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4725</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4726</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4727</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4728</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4729</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4730</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4639</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4731</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4732</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4733</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4734</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4735</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4736</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4737</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4740</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4741</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4742</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4743</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4744</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4745</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4746</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4749</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4750</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4640</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4753</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4754</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4755</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4756</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4757</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4760</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4763</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4764</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4765</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4768</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4769</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4772</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4773</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4774</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4775</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4777</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4778</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4779</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4780</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4783</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4784</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4787</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4788</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4789</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4792</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4793</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4794</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4795</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4796</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4799</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4800</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4801</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4802</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4642</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4803</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4804</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5687</v>
      </c>
      <c r="D1" s="493" t="s">
        <v>8498</v>
      </c>
      <c r="E1" s="493" t="s">
        <v>8945</v>
      </c>
      <c r="F1" s="493" t="s">
        <v>7551</v>
      </c>
      <c r="G1" s="493" t="s">
        <v>8947</v>
      </c>
      <c r="H1" s="389" t="s">
        <v>7168</v>
      </c>
      <c r="I1" s="389" t="s">
        <v>6460</v>
      </c>
      <c r="J1" s="389" t="s">
        <v>7531</v>
      </c>
      <c r="K1" s="493" t="s">
        <v>6799</v>
      </c>
    </row>
    <row r="2" spans="1:11" s="452" customFormat="1" x14ac:dyDescent="0.3">
      <c r="A2" s="388"/>
      <c r="B2" s="85"/>
      <c r="C2" s="387" t="s">
        <v>3949</v>
      </c>
      <c r="D2" s="494" t="s">
        <v>8949</v>
      </c>
      <c r="E2" s="494" t="s">
        <v>8946</v>
      </c>
      <c r="F2" s="494" t="s">
        <v>4625</v>
      </c>
      <c r="G2" s="494" t="s">
        <v>8948</v>
      </c>
      <c r="H2" s="387" t="s">
        <v>4626</v>
      </c>
      <c r="I2" s="387" t="s">
        <v>4627</v>
      </c>
      <c r="J2" s="387" t="s">
        <v>4628</v>
      </c>
      <c r="K2" s="494" t="s">
        <v>4629</v>
      </c>
    </row>
    <row r="3" spans="1:11" ht="28.8" x14ac:dyDescent="0.3">
      <c r="A3" s="388"/>
      <c r="B3" s="392"/>
      <c r="C3" s="387" t="str">
        <f>C1&amp; " [" &amp;C2 &amp; "]"</f>
        <v>English - Official [en]</v>
      </c>
      <c r="D3" s="494" t="str">
        <f t="shared" ref="D3" si="0">D1&amp; " [" &amp;D2 &amp; "]"</f>
        <v>Danish - Reviewed translation by Danish Standard Setter [da]</v>
      </c>
      <c r="E3" s="494" t="str">
        <f>E1&amp; " [" &amp;E2 &amp; "]"</f>
        <v>French - Reviewed translation by French Standard Setter [fr]</v>
      </c>
      <c r="F3" s="494" t="str">
        <f t="shared" ref="F3" si="1">F1&amp; " [" &amp;F2 &amp; "]"</f>
        <v>German - Reviewed translation by German Standard Setter [de]</v>
      </c>
      <c r="G3" s="494"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4" t="str">
        <f t="shared" si="3"/>
        <v>Spanish - Reviewed translation by Spanish Standard Setter [es]</v>
      </c>
    </row>
    <row r="4" spans="1:11" s="89" customFormat="1" x14ac:dyDescent="0.3">
      <c r="A4" s="441" t="s">
        <v>5618</v>
      </c>
      <c r="B4" s="442" t="str">
        <f t="shared" ref="B4:B67" si="4">INDEX(C4:K4,MATCH(template_selected_display_language,$C$3:$K$3,0))</f>
        <v>Entity Name</v>
      </c>
      <c r="C4" s="89" t="s">
        <v>5611</v>
      </c>
      <c r="D4" s="489" t="s">
        <v>8022</v>
      </c>
      <c r="E4" s="489" t="s">
        <v>8500</v>
      </c>
      <c r="F4" s="490" t="s">
        <v>7552</v>
      </c>
      <c r="G4" s="89" t="s">
        <v>9061</v>
      </c>
      <c r="H4" s="89" t="s">
        <v>6800</v>
      </c>
      <c r="I4" s="89" t="s">
        <v>5901</v>
      </c>
      <c r="J4" s="89" t="s">
        <v>7177</v>
      </c>
      <c r="K4" s="475" t="s">
        <v>6517</v>
      </c>
    </row>
    <row r="5" spans="1:11" s="89" customFormat="1" x14ac:dyDescent="0.3">
      <c r="A5" s="441" t="s">
        <v>5615</v>
      </c>
      <c r="B5" s="442" t="str">
        <f t="shared" si="4"/>
        <v>Entity Identifier</v>
      </c>
      <c r="C5" s="89" t="s">
        <v>5612</v>
      </c>
      <c r="D5" s="489" t="s">
        <v>8023</v>
      </c>
      <c r="E5" s="489" t="s">
        <v>8501</v>
      </c>
      <c r="F5" s="490" t="s">
        <v>7553</v>
      </c>
      <c r="G5" s="89" t="s">
        <v>9062</v>
      </c>
      <c r="H5" s="89" t="s">
        <v>6801</v>
      </c>
      <c r="I5" s="89" t="s">
        <v>5902</v>
      </c>
      <c r="J5" s="89" t="s">
        <v>7178</v>
      </c>
      <c r="K5" s="475" t="s">
        <v>5700</v>
      </c>
    </row>
    <row r="6" spans="1:11" s="89" customFormat="1" x14ac:dyDescent="0.3">
      <c r="A6" s="441" t="s">
        <v>5616</v>
      </c>
      <c r="B6" s="442" t="str">
        <f t="shared" si="4"/>
        <v>Entity Identifier Scheme</v>
      </c>
      <c r="C6" s="89" t="s">
        <v>5613</v>
      </c>
      <c r="D6" s="489" t="s">
        <v>8024</v>
      </c>
      <c r="E6" s="489" t="s">
        <v>8502</v>
      </c>
      <c r="F6" s="490" t="s">
        <v>7554</v>
      </c>
      <c r="G6" s="89" t="s">
        <v>9063</v>
      </c>
      <c r="H6" s="89" t="s">
        <v>6802</v>
      </c>
      <c r="I6" s="89" t="s">
        <v>6132</v>
      </c>
      <c r="J6" s="89" t="s">
        <v>7179</v>
      </c>
      <c r="K6" s="475" t="s">
        <v>6518</v>
      </c>
    </row>
    <row r="7" spans="1:11" s="89" customFormat="1" x14ac:dyDescent="0.3">
      <c r="A7" s="441" t="s">
        <v>5617</v>
      </c>
      <c r="B7" s="442" t="str">
        <f t="shared" si="4"/>
        <v>Report currency</v>
      </c>
      <c r="C7" s="89" t="s">
        <v>5614</v>
      </c>
      <c r="D7" s="489" t="s">
        <v>8025</v>
      </c>
      <c r="E7" s="489" t="s">
        <v>8503</v>
      </c>
      <c r="F7" s="490" t="s">
        <v>7555</v>
      </c>
      <c r="G7" s="89" t="s">
        <v>9064</v>
      </c>
      <c r="H7" s="89" t="s">
        <v>5988</v>
      </c>
      <c r="I7" s="89" t="s">
        <v>6133</v>
      </c>
      <c r="J7" s="89" t="s">
        <v>7180</v>
      </c>
      <c r="K7" s="475" t="s">
        <v>6500</v>
      </c>
    </row>
    <row r="8" spans="1:11" s="89" customFormat="1" x14ac:dyDescent="0.3">
      <c r="A8" s="441" t="s">
        <v>5620</v>
      </c>
      <c r="B8" s="442" t="str">
        <f t="shared" si="4"/>
        <v>Decimal separator</v>
      </c>
      <c r="C8" s="89" t="s">
        <v>5619</v>
      </c>
      <c r="D8" s="489" t="s">
        <v>5619</v>
      </c>
      <c r="E8" s="489" t="s">
        <v>8504</v>
      </c>
      <c r="F8" s="490" t="s">
        <v>7556</v>
      </c>
      <c r="G8" s="89" t="s">
        <v>9065</v>
      </c>
      <c r="H8" s="89" t="s">
        <v>6803</v>
      </c>
      <c r="I8" s="89" t="s">
        <v>6067</v>
      </c>
      <c r="J8" s="89" t="s">
        <v>5701</v>
      </c>
      <c r="K8" s="475" t="s">
        <v>5701</v>
      </c>
    </row>
    <row r="9" spans="1:11" s="89" customFormat="1" ht="43.2" x14ac:dyDescent="0.3">
      <c r="A9" s="441" t="s">
        <v>5622</v>
      </c>
      <c r="B9" s="442" t="str">
        <f t="shared" si="4"/>
        <v>Report period</v>
      </c>
      <c r="C9" s="89" t="s">
        <v>5621</v>
      </c>
      <c r="D9" s="489" t="s">
        <v>8026</v>
      </c>
      <c r="E9" s="489" t="s">
        <v>8505</v>
      </c>
      <c r="F9" s="490" t="s">
        <v>7557</v>
      </c>
      <c r="G9" s="89" t="s">
        <v>9066</v>
      </c>
      <c r="H9" s="89" t="s">
        <v>6804</v>
      </c>
      <c r="I9" s="89" t="s">
        <v>5903</v>
      </c>
      <c r="J9" s="89" t="s">
        <v>5822</v>
      </c>
      <c r="K9" s="475" t="s">
        <v>6519</v>
      </c>
    </row>
    <row r="10" spans="1:11" s="89" customFormat="1" x14ac:dyDescent="0.3">
      <c r="A10" s="441" t="s">
        <v>5624</v>
      </c>
      <c r="B10" s="442" t="str">
        <f t="shared" si="4"/>
        <v>Report generated</v>
      </c>
      <c r="C10" s="89" t="s">
        <v>5623</v>
      </c>
      <c r="D10" s="489" t="s">
        <v>8027</v>
      </c>
      <c r="E10" s="489" t="s">
        <v>8506</v>
      </c>
      <c r="F10" s="490" t="s">
        <v>7558</v>
      </c>
      <c r="G10" s="89" t="s">
        <v>9067</v>
      </c>
      <c r="H10" s="89" t="s">
        <v>6805</v>
      </c>
      <c r="I10" s="89" t="s">
        <v>6134</v>
      </c>
      <c r="J10" s="89" t="s">
        <v>6084</v>
      </c>
      <c r="K10" s="475" t="s">
        <v>5702</v>
      </c>
    </row>
    <row r="11" spans="1:11" s="89" customFormat="1" ht="28.8" x14ac:dyDescent="0.3">
      <c r="A11" s="441" t="s">
        <v>5626</v>
      </c>
      <c r="B11" s="442" t="str">
        <f t="shared" si="4"/>
        <v>All disclosures are related to the reporting period above unless specified otherwise.</v>
      </c>
      <c r="C11" s="89" t="s">
        <v>5625</v>
      </c>
      <c r="D11" s="489" t="s">
        <v>8028</v>
      </c>
      <c r="E11" s="489" t="s">
        <v>8507</v>
      </c>
      <c r="F11" s="490" t="s">
        <v>7559</v>
      </c>
      <c r="G11" s="89" t="s">
        <v>9068</v>
      </c>
      <c r="H11" s="89" t="s">
        <v>6806</v>
      </c>
      <c r="I11" s="89" t="s">
        <v>6135</v>
      </c>
      <c r="J11" s="89" t="s">
        <v>7181</v>
      </c>
      <c r="K11" s="475" t="s">
        <v>6520</v>
      </c>
    </row>
    <row r="12" spans="1:11" s="89" customFormat="1" ht="43.2" x14ac:dyDescent="0.3">
      <c r="A12" s="441" t="s">
        <v>5627</v>
      </c>
      <c r="B12" s="442" t="str">
        <f t="shared" si="4"/>
        <v>Table of Contents</v>
      </c>
      <c r="C12" s="89" t="s">
        <v>3662</v>
      </c>
      <c r="D12" s="489" t="s">
        <v>8029</v>
      </c>
      <c r="E12" s="489" t="s">
        <v>8508</v>
      </c>
      <c r="F12" s="490" t="s">
        <v>7560</v>
      </c>
      <c r="G12" s="89" t="s">
        <v>9069</v>
      </c>
      <c r="H12" s="89" t="s">
        <v>5989</v>
      </c>
      <c r="I12" s="89" t="s">
        <v>5904</v>
      </c>
      <c r="J12" s="89" t="s">
        <v>5823</v>
      </c>
      <c r="K12" s="475" t="s">
        <v>6521</v>
      </c>
    </row>
    <row r="13" spans="1:11" s="89" customFormat="1" x14ac:dyDescent="0.3">
      <c r="A13" s="441" t="s">
        <v>5629</v>
      </c>
      <c r="B13" s="442" t="str">
        <f t="shared" si="4"/>
        <v>Reporting period:</v>
      </c>
      <c r="C13" s="89" t="s">
        <v>5628</v>
      </c>
      <c r="D13" s="489" t="s">
        <v>8030</v>
      </c>
      <c r="E13" s="489" t="s">
        <v>8509</v>
      </c>
      <c r="F13" s="490" t="s">
        <v>7561</v>
      </c>
      <c r="G13" s="89" t="s">
        <v>9066</v>
      </c>
      <c r="H13" s="89" t="s">
        <v>6807</v>
      </c>
      <c r="I13" s="89" t="s">
        <v>5903</v>
      </c>
      <c r="J13" s="89" t="s">
        <v>5824</v>
      </c>
      <c r="K13" s="475" t="s">
        <v>6522</v>
      </c>
    </row>
    <row r="14" spans="1:11" s="443" customFormat="1" ht="29.4" thickBot="1" x14ac:dyDescent="0.35">
      <c r="A14" s="453" t="s">
        <v>5631</v>
      </c>
      <c r="B14" s="476" t="str">
        <f t="shared" si="4"/>
        <v>This report contains {{ ns.fact_count }} XBRL facts ({{ facts | count }} unique facts).</v>
      </c>
      <c r="C14" s="443" t="s">
        <v>5630</v>
      </c>
      <c r="D14" s="497" t="s">
        <v>8031</v>
      </c>
      <c r="E14" s="497" t="s">
        <v>8510</v>
      </c>
      <c r="F14" s="491" t="s">
        <v>7562</v>
      </c>
      <c r="G14" s="443" t="s">
        <v>9070</v>
      </c>
      <c r="H14" s="443" t="s">
        <v>7533</v>
      </c>
      <c r="I14" s="443" t="s">
        <v>7530</v>
      </c>
      <c r="J14" s="443" t="s">
        <v>7529</v>
      </c>
      <c r="K14" s="495" t="s">
        <v>7532</v>
      </c>
    </row>
    <row r="15" spans="1:11" s="89" customFormat="1" x14ac:dyDescent="0.3">
      <c r="A15" s="441" t="s">
        <v>4467</v>
      </c>
      <c r="B15" s="442" t="str">
        <f t="shared" si="4"/>
        <v>Version:</v>
      </c>
      <c r="C15" s="89" t="s">
        <v>2881</v>
      </c>
      <c r="D15" s="489" t="s">
        <v>2881</v>
      </c>
      <c r="E15" s="489" t="s">
        <v>8511</v>
      </c>
      <c r="F15" s="490" t="s">
        <v>2881</v>
      </c>
      <c r="G15" s="89" t="s">
        <v>9071</v>
      </c>
      <c r="H15" s="89" t="s">
        <v>6048</v>
      </c>
      <c r="I15" s="89" t="s">
        <v>6136</v>
      </c>
      <c r="J15" s="89" t="s">
        <v>5825</v>
      </c>
      <c r="K15" s="475" t="s">
        <v>5703</v>
      </c>
    </row>
    <row r="16" spans="1:11" x14ac:dyDescent="0.3">
      <c r="A16" s="441" t="s">
        <v>4468</v>
      </c>
      <c r="B16" s="442" t="str">
        <f t="shared" si="4"/>
        <v>Publication date:</v>
      </c>
      <c r="C16" s="89" t="s">
        <v>2883</v>
      </c>
      <c r="D16" s="489" t="s">
        <v>8032</v>
      </c>
      <c r="E16" s="489" t="s">
        <v>8512</v>
      </c>
      <c r="F16" s="490" t="s">
        <v>7563</v>
      </c>
      <c r="G16" t="s">
        <v>9072</v>
      </c>
      <c r="H16" s="89" t="s">
        <v>6808</v>
      </c>
      <c r="I16" s="89" t="s">
        <v>5905</v>
      </c>
      <c r="J16" s="89" t="s">
        <v>6085</v>
      </c>
      <c r="K16" s="475" t="s">
        <v>5704</v>
      </c>
    </row>
    <row r="17" spans="1:11" x14ac:dyDescent="0.3">
      <c r="A17" s="441" t="s">
        <v>4469</v>
      </c>
      <c r="B17" s="442" t="str">
        <f t="shared" si="4"/>
        <v>Taxonomy entry point:</v>
      </c>
      <c r="C17" s="89" t="s">
        <v>3615</v>
      </c>
      <c r="D17" s="489" t="s">
        <v>8033</v>
      </c>
      <c r="E17" s="489" t="s">
        <v>8513</v>
      </c>
      <c r="F17" s="490" t="s">
        <v>7564</v>
      </c>
      <c r="G17" t="s">
        <v>9073</v>
      </c>
      <c r="H17" s="89" t="s">
        <v>6809</v>
      </c>
      <c r="I17" s="89" t="s">
        <v>6137</v>
      </c>
      <c r="J17" s="89" t="s">
        <v>7182</v>
      </c>
      <c r="K17" s="475" t="s">
        <v>6523</v>
      </c>
    </row>
    <row r="18" spans="1:11" x14ac:dyDescent="0.3">
      <c r="A18" s="441" t="s">
        <v>4470</v>
      </c>
      <c r="B18" s="442" t="str">
        <f t="shared" si="4"/>
        <v>Select Template Display Language:</v>
      </c>
      <c r="C18" s="89" t="s">
        <v>4027</v>
      </c>
      <c r="D18" s="489" t="s">
        <v>8034</v>
      </c>
      <c r="E18" s="489" t="s">
        <v>8514</v>
      </c>
      <c r="F18" s="490" t="s">
        <v>7565</v>
      </c>
      <c r="G18" t="s">
        <v>9074</v>
      </c>
      <c r="H18" s="89" t="s">
        <v>6810</v>
      </c>
      <c r="I18" s="89" t="s">
        <v>5906</v>
      </c>
      <c r="J18" s="89" t="s">
        <v>7183</v>
      </c>
      <c r="K18" s="475" t="s">
        <v>6524</v>
      </c>
    </row>
    <row r="19" spans="1:11" x14ac:dyDescent="0.3">
      <c r="A19" s="441" t="s">
        <v>6106</v>
      </c>
      <c r="B19" s="442" t="str">
        <f t="shared" si="4"/>
        <v>Main title of the report</v>
      </c>
      <c r="C19" s="89" t="s">
        <v>4633</v>
      </c>
      <c r="D19" s="489" t="s">
        <v>8035</v>
      </c>
      <c r="E19" s="489" t="s">
        <v>8515</v>
      </c>
      <c r="F19" s="490" t="s">
        <v>7566</v>
      </c>
      <c r="G19" t="s">
        <v>9075</v>
      </c>
      <c r="H19" s="89" t="s">
        <v>6107</v>
      </c>
      <c r="I19" s="89" t="s">
        <v>6138</v>
      </c>
      <c r="J19" s="89" t="s">
        <v>6108</v>
      </c>
      <c r="K19" s="475" t="s">
        <v>6109</v>
      </c>
    </row>
    <row r="20" spans="1:11" x14ac:dyDescent="0.3">
      <c r="A20" s="441" t="s">
        <v>6104</v>
      </c>
      <c r="B20" s="442" t="str">
        <f t="shared" si="4"/>
        <v xml:space="preserve">Sustainability Report </v>
      </c>
      <c r="C20" s="89" t="s">
        <v>4634</v>
      </c>
      <c r="D20" s="489" t="s">
        <v>8036</v>
      </c>
      <c r="E20" s="489" t="s">
        <v>8516</v>
      </c>
      <c r="F20" s="490" t="s">
        <v>7567</v>
      </c>
      <c r="G20" t="s">
        <v>9076</v>
      </c>
      <c r="H20" s="89" t="s">
        <v>5990</v>
      </c>
      <c r="I20" s="89" t="s">
        <v>6139</v>
      </c>
      <c r="J20" s="89" t="s">
        <v>6086</v>
      </c>
      <c r="K20" s="475" t="s">
        <v>6525</v>
      </c>
    </row>
    <row r="21" spans="1:11" ht="43.2" x14ac:dyDescent="0.3">
      <c r="A21" s="441" t="s">
        <v>6110</v>
      </c>
      <c r="B21" s="442" t="str">
        <f t="shared" si="4"/>
        <v>Subtitle of the report</v>
      </c>
      <c r="C21" s="89" t="s">
        <v>4657</v>
      </c>
      <c r="D21" s="489" t="s">
        <v>8037</v>
      </c>
      <c r="E21" s="489" t="s">
        <v>8517</v>
      </c>
      <c r="F21" s="490" t="s">
        <v>7568</v>
      </c>
      <c r="G21" t="s">
        <v>9077</v>
      </c>
      <c r="H21" s="89" t="s">
        <v>6811</v>
      </c>
      <c r="I21" s="89" t="s">
        <v>6140</v>
      </c>
      <c r="J21" s="89" t="s">
        <v>6111</v>
      </c>
      <c r="K21" s="475" t="s">
        <v>6526</v>
      </c>
    </row>
    <row r="22" spans="1:11" ht="57.6" x14ac:dyDescent="0.3">
      <c r="A22" s="441" t="s">
        <v>6105</v>
      </c>
      <c r="B22" s="442" t="str">
        <f t="shared" si="4"/>
        <v>Prepared in accordance with the Voluntary Sustainability Reporting Standard for small and medium-sized undertakings (VSME), released by the European Commission on 30 July 2025.</v>
      </c>
      <c r="C22" s="89" t="s">
        <v>6463</v>
      </c>
      <c r="D22" s="489" t="s">
        <v>8038</v>
      </c>
      <c r="E22" s="489" t="s">
        <v>8518</v>
      </c>
      <c r="F22" s="490" t="s">
        <v>7569</v>
      </c>
      <c r="G22" t="s">
        <v>9078</v>
      </c>
      <c r="H22" s="89" t="s">
        <v>7175</v>
      </c>
      <c r="I22" s="89" t="s">
        <v>7173</v>
      </c>
      <c r="J22" s="89" t="s">
        <v>7534</v>
      </c>
      <c r="K22" s="475" t="s">
        <v>7171</v>
      </c>
    </row>
    <row r="23" spans="1:11" x14ac:dyDescent="0.3">
      <c r="A23" s="441" t="s">
        <v>4471</v>
      </c>
      <c r="B23" s="442" t="str">
        <f t="shared" si="4"/>
        <v>VSME Digital Template</v>
      </c>
      <c r="C23" s="89" t="s">
        <v>3724</v>
      </c>
      <c r="D23" s="489" t="s">
        <v>8039</v>
      </c>
      <c r="E23" s="489" t="s">
        <v>8519</v>
      </c>
      <c r="F23" s="490" t="s">
        <v>7570</v>
      </c>
      <c r="G23" t="s">
        <v>9079</v>
      </c>
      <c r="H23" s="89" t="s">
        <v>6812</v>
      </c>
      <c r="I23" s="89" t="s">
        <v>6141</v>
      </c>
      <c r="J23" s="89" t="s">
        <v>6087</v>
      </c>
      <c r="K23" s="475" t="s">
        <v>6527</v>
      </c>
    </row>
    <row r="24" spans="1:11" ht="16.05" customHeight="1" x14ac:dyDescent="0.3">
      <c r="A24" s="441" t="s">
        <v>4472</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75" t="s">
        <v>5686</v>
      </c>
      <c r="D24" s="489" t="s">
        <v>8040</v>
      </c>
      <c r="E24" s="489" t="s">
        <v>8520</v>
      </c>
      <c r="F24" s="490" t="s">
        <v>7571</v>
      </c>
      <c r="G24" t="s">
        <v>9080</v>
      </c>
      <c r="H24" s="89" t="s">
        <v>6813</v>
      </c>
      <c r="I24" s="89" t="s">
        <v>6142</v>
      </c>
      <c r="J24" s="89" t="s">
        <v>7278</v>
      </c>
      <c r="K24" s="475" t="s">
        <v>6501</v>
      </c>
    </row>
    <row r="25" spans="1:11" x14ac:dyDescent="0.3">
      <c r="A25" s="441" t="s">
        <v>4473</v>
      </c>
      <c r="B25" s="442" t="str">
        <f t="shared" si="4"/>
        <v>How to use it:</v>
      </c>
      <c r="C25" s="89" t="s">
        <v>2882</v>
      </c>
      <c r="D25" s="489" t="s">
        <v>8041</v>
      </c>
      <c r="E25" s="489" t="s">
        <v>8521</v>
      </c>
      <c r="F25" s="490" t="s">
        <v>7572</v>
      </c>
      <c r="G25" t="s">
        <v>9081</v>
      </c>
      <c r="H25" s="89" t="s">
        <v>6814</v>
      </c>
      <c r="I25" s="89" t="s">
        <v>6143</v>
      </c>
      <c r="J25" s="89" t="s">
        <v>7184</v>
      </c>
      <c r="K25" s="475" t="s">
        <v>6528</v>
      </c>
    </row>
    <row r="26" spans="1:11" ht="28.8" x14ac:dyDescent="0.3">
      <c r="A26" s="441" t="s">
        <v>4474</v>
      </c>
      <c r="B26" s="442" t="str">
        <f t="shared" si="4"/>
        <v>0. Provide information that is mandatory in order to generate the VSME and XBRL Report.</v>
      </c>
      <c r="C26" s="89" t="s">
        <v>3531</v>
      </c>
      <c r="D26" s="489" t="s">
        <v>8042</v>
      </c>
      <c r="E26" s="489" t="s">
        <v>8522</v>
      </c>
      <c r="F26" s="490" t="s">
        <v>7573</v>
      </c>
      <c r="G26" t="s">
        <v>9082</v>
      </c>
      <c r="H26" s="89" t="s">
        <v>6815</v>
      </c>
      <c r="I26" s="89" t="s">
        <v>6144</v>
      </c>
      <c r="J26" s="89" t="s">
        <v>7185</v>
      </c>
      <c r="K26" s="475" t="s">
        <v>6780</v>
      </c>
    </row>
    <row r="27" spans="1:11" ht="129.6" x14ac:dyDescent="0.3">
      <c r="A27" s="441" t="s">
        <v>4475</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4466</v>
      </c>
      <c r="D27" s="489" t="s">
        <v>8043</v>
      </c>
      <c r="E27" s="489" t="s">
        <v>8523</v>
      </c>
      <c r="F27" s="490" t="s">
        <v>7574</v>
      </c>
      <c r="G27" t="s">
        <v>9083</v>
      </c>
      <c r="H27" s="89" t="s">
        <v>6816</v>
      </c>
      <c r="I27" s="89" t="s">
        <v>6145</v>
      </c>
      <c r="J27" s="89" t="s">
        <v>7518</v>
      </c>
      <c r="K27" s="475" t="s">
        <v>6781</v>
      </c>
    </row>
    <row r="28" spans="1:11" ht="86.4" x14ac:dyDescent="0.3">
      <c r="A28" s="441" t="s">
        <v>4491</v>
      </c>
      <c r="B28" s="442" t="str">
        <f t="shared" si="4"/>
        <v>2. Find more information on the actual disclosure requirements in the VSME Standard and the related guidance linked to each cell. Additional or entity-specific disclosures can be provided in each text box at the end of each worksheet.</v>
      </c>
      <c r="C28" s="89" t="s">
        <v>3772</v>
      </c>
      <c r="D28" s="489" t="s">
        <v>8044</v>
      </c>
      <c r="E28" s="489" t="s">
        <v>8524</v>
      </c>
      <c r="F28" s="490" t="s">
        <v>7575</v>
      </c>
      <c r="G28" t="s">
        <v>9084</v>
      </c>
      <c r="H28" s="89" t="s">
        <v>6817</v>
      </c>
      <c r="I28" s="89" t="s">
        <v>6146</v>
      </c>
      <c r="J28" s="89" t="s">
        <v>7519</v>
      </c>
      <c r="K28" s="475" t="s">
        <v>6529</v>
      </c>
    </row>
    <row r="29" spans="1:11" ht="115.2" x14ac:dyDescent="0.3">
      <c r="A29" s="441" t="s">
        <v>4495</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7544</v>
      </c>
      <c r="D29" s="489" t="s">
        <v>8045</v>
      </c>
      <c r="E29" s="489" t="s">
        <v>8525</v>
      </c>
      <c r="F29" s="490" t="s">
        <v>7576</v>
      </c>
      <c r="G29" t="s">
        <v>9085</v>
      </c>
      <c r="H29" s="89" t="s">
        <v>6818</v>
      </c>
      <c r="I29" s="89" t="s">
        <v>6147</v>
      </c>
      <c r="J29" s="89" t="s">
        <v>7520</v>
      </c>
      <c r="K29" s="475" t="s">
        <v>6782</v>
      </c>
    </row>
    <row r="30" spans="1:11" ht="86.4" x14ac:dyDescent="0.3">
      <c r="A30" s="441" t="s">
        <v>4492</v>
      </c>
      <c r="B30" s="442" t="str">
        <f t="shared" si="4"/>
        <v>4. Validate the data entered by checking the validation status. The report is considered incomplete or erroneous if the validation fails, which might result in an invalid XBRL report.</v>
      </c>
      <c r="C30" s="89" t="s">
        <v>7545</v>
      </c>
      <c r="D30" s="489" t="s">
        <v>8046</v>
      </c>
      <c r="E30" s="489" t="s">
        <v>8526</v>
      </c>
      <c r="F30" s="490" t="s">
        <v>7577</v>
      </c>
      <c r="G30" t="s">
        <v>9086</v>
      </c>
      <c r="H30" s="89" t="s">
        <v>6819</v>
      </c>
      <c r="I30" s="89" t="s">
        <v>6148</v>
      </c>
      <c r="J30" s="89" t="s">
        <v>7186</v>
      </c>
      <c r="K30" s="475" t="s">
        <v>6530</v>
      </c>
    </row>
    <row r="31" spans="1:11" ht="57.6" x14ac:dyDescent="0.3">
      <c r="A31" s="441" t="s">
        <v>4493</v>
      </c>
      <c r="B31" s="442" t="str">
        <f t="shared" si="4"/>
        <v>5. Convert this template to an Inline XBRL report (or XBRL-JSON, XBRL-CSV), using the online converter. Pay attention to the XBRL validation performed by the validator.</v>
      </c>
      <c r="C31" s="89" t="s">
        <v>6464</v>
      </c>
      <c r="D31" s="489" t="s">
        <v>8047</v>
      </c>
      <c r="E31" s="489" t="s">
        <v>8527</v>
      </c>
      <c r="F31" s="490" t="s">
        <v>7578</v>
      </c>
      <c r="G31" t="s">
        <v>9087</v>
      </c>
      <c r="H31" s="89" t="s">
        <v>7176</v>
      </c>
      <c r="I31" s="89" t="s">
        <v>7174</v>
      </c>
      <c r="J31" s="89" t="s">
        <v>7535</v>
      </c>
      <c r="K31" s="475" t="s">
        <v>7172</v>
      </c>
    </row>
    <row r="32" spans="1:11" ht="28.8" x14ac:dyDescent="0.3">
      <c r="A32" s="441" t="s">
        <v>4494</v>
      </c>
      <c r="B32" s="442" t="str">
        <f t="shared" si="4"/>
        <v>6. The undertaking may also upload the report to public repositories or a webpage.</v>
      </c>
      <c r="C32" s="89" t="s">
        <v>3095</v>
      </c>
      <c r="D32" s="489" t="s">
        <v>8048</v>
      </c>
      <c r="E32" s="489" t="s">
        <v>8528</v>
      </c>
      <c r="F32" s="490" t="s">
        <v>7579</v>
      </c>
      <c r="G32" t="s">
        <v>9088</v>
      </c>
      <c r="H32" s="89" t="s">
        <v>6820</v>
      </c>
      <c r="I32" s="89" t="s">
        <v>6149</v>
      </c>
      <c r="J32" s="89" t="s">
        <v>7521</v>
      </c>
      <c r="K32" s="475" t="s">
        <v>6783</v>
      </c>
    </row>
    <row r="33" spans="1:11" ht="28.8" x14ac:dyDescent="0.3">
      <c r="A33" s="441" t="s">
        <v>4476</v>
      </c>
      <c r="B33" s="442" t="str">
        <f t="shared" si="4"/>
        <v>Cell background color index:</v>
      </c>
      <c r="C33" s="89" t="s">
        <v>2887</v>
      </c>
      <c r="D33" s="489" t="s">
        <v>8049</v>
      </c>
      <c r="E33" s="489" t="s">
        <v>8529</v>
      </c>
      <c r="F33" s="490" t="s">
        <v>7580</v>
      </c>
      <c r="G33" t="s">
        <v>9089</v>
      </c>
      <c r="H33" s="89" t="s">
        <v>5991</v>
      </c>
      <c r="I33" s="89" t="s">
        <v>6068</v>
      </c>
      <c r="J33" s="89" t="s">
        <v>7187</v>
      </c>
      <c r="K33" s="475" t="s">
        <v>5705</v>
      </c>
    </row>
    <row r="34" spans="1:11" ht="43.2" x14ac:dyDescent="0.3">
      <c r="A34" s="441" t="s">
        <v>4477</v>
      </c>
      <c r="B34" s="442" t="str">
        <f t="shared" si="4"/>
        <v>General Principles</v>
      </c>
      <c r="C34" s="89" t="s">
        <v>2911</v>
      </c>
      <c r="D34" s="489" t="s">
        <v>8050</v>
      </c>
      <c r="E34" s="489" t="s">
        <v>8530</v>
      </c>
      <c r="F34" s="490" t="s">
        <v>7581</v>
      </c>
      <c r="G34" t="s">
        <v>9090</v>
      </c>
      <c r="H34" s="89" t="s">
        <v>5992</v>
      </c>
      <c r="I34" s="89" t="s">
        <v>5907</v>
      </c>
      <c r="J34" s="89" t="s">
        <v>5826</v>
      </c>
      <c r="K34" s="475" t="s">
        <v>6531</v>
      </c>
    </row>
    <row r="35" spans="1:11" ht="28.8" x14ac:dyDescent="0.3">
      <c r="A35" s="441" t="s">
        <v>4478</v>
      </c>
      <c r="B35" s="442" t="str">
        <f t="shared" si="4"/>
        <v>Indicates that the disclosure is from the general principles of the VSME.</v>
      </c>
      <c r="C35" s="89" t="s">
        <v>2912</v>
      </c>
      <c r="D35" s="489" t="s">
        <v>8051</v>
      </c>
      <c r="E35" s="489" t="s">
        <v>8531</v>
      </c>
      <c r="F35" s="490" t="s">
        <v>7582</v>
      </c>
      <c r="G35" t="s">
        <v>9091</v>
      </c>
      <c r="H35" s="89" t="s">
        <v>6821</v>
      </c>
      <c r="I35" s="89" t="s">
        <v>6150</v>
      </c>
      <c r="J35" s="89" t="s">
        <v>7188</v>
      </c>
      <c r="K35" s="475" t="s">
        <v>6532</v>
      </c>
    </row>
    <row r="36" spans="1:11" x14ac:dyDescent="0.3">
      <c r="A36" s="441" t="s">
        <v>4479</v>
      </c>
      <c r="B36" s="442" t="str">
        <f t="shared" si="4"/>
        <v>Basic Module</v>
      </c>
      <c r="C36" s="89" t="s">
        <v>2884</v>
      </c>
      <c r="D36" s="489" t="s">
        <v>8052</v>
      </c>
      <c r="E36" s="489" t="s">
        <v>8532</v>
      </c>
      <c r="F36" s="490" t="s">
        <v>7583</v>
      </c>
      <c r="G36" t="s">
        <v>9092</v>
      </c>
      <c r="H36" s="89" t="s">
        <v>6822</v>
      </c>
      <c r="I36" s="89" t="s">
        <v>5908</v>
      </c>
      <c r="J36" s="89" t="s">
        <v>7189</v>
      </c>
      <c r="K36" s="475" t="s">
        <v>5706</v>
      </c>
    </row>
    <row r="37" spans="1:11" ht="28.8" x14ac:dyDescent="0.3">
      <c r="A37" s="441" t="s">
        <v>4480</v>
      </c>
      <c r="B37" s="442" t="str">
        <f t="shared" si="4"/>
        <v>Indicates that the disclosure is from the VSME Basic Module.</v>
      </c>
      <c r="C37" s="89" t="s">
        <v>2910</v>
      </c>
      <c r="D37" s="489" t="s">
        <v>8053</v>
      </c>
      <c r="E37" s="489" t="s">
        <v>8533</v>
      </c>
      <c r="F37" s="490" t="s">
        <v>7584</v>
      </c>
      <c r="G37" t="s">
        <v>9093</v>
      </c>
      <c r="H37" s="89" t="s">
        <v>6823</v>
      </c>
      <c r="I37" s="89" t="s">
        <v>5909</v>
      </c>
      <c r="J37" s="89" t="s">
        <v>7190</v>
      </c>
      <c r="K37" s="475" t="s">
        <v>6533</v>
      </c>
    </row>
    <row r="38" spans="1:11" x14ac:dyDescent="0.3">
      <c r="A38" s="441" t="s">
        <v>4481</v>
      </c>
      <c r="B38" s="442" t="str">
        <f t="shared" si="4"/>
        <v>Comprehensive Module</v>
      </c>
      <c r="C38" s="89" t="s">
        <v>2885</v>
      </c>
      <c r="D38" s="489" t="s">
        <v>8054</v>
      </c>
      <c r="E38" s="489" t="s">
        <v>8534</v>
      </c>
      <c r="F38" s="490" t="s">
        <v>7585</v>
      </c>
      <c r="G38" t="s">
        <v>9094</v>
      </c>
      <c r="H38" s="89" t="s">
        <v>6824</v>
      </c>
      <c r="I38" s="89" t="s">
        <v>6151</v>
      </c>
      <c r="J38" s="89" t="s">
        <v>7190</v>
      </c>
      <c r="K38" s="475" t="s">
        <v>5707</v>
      </c>
    </row>
    <row r="39" spans="1:11" ht="28.8" x14ac:dyDescent="0.3">
      <c r="A39" s="441" t="s">
        <v>4482</v>
      </c>
      <c r="B39" s="442" t="str">
        <f t="shared" si="4"/>
        <v>Indicates that the disclosure is from the VSME Comprehensive Module.</v>
      </c>
      <c r="C39" s="89" t="s">
        <v>2909</v>
      </c>
      <c r="D39" s="489" t="s">
        <v>8055</v>
      </c>
      <c r="E39" s="489" t="s">
        <v>8535</v>
      </c>
      <c r="F39" s="490" t="s">
        <v>7586</v>
      </c>
      <c r="G39" t="s">
        <v>9095</v>
      </c>
      <c r="H39" s="89" t="s">
        <v>6825</v>
      </c>
      <c r="I39" s="89" t="s">
        <v>6152</v>
      </c>
      <c r="J39" s="89" t="s">
        <v>7190</v>
      </c>
      <c r="K39" s="475" t="s">
        <v>6534</v>
      </c>
    </row>
    <row r="40" spans="1:11" ht="57.6" x14ac:dyDescent="0.3">
      <c r="A40" s="441" t="s">
        <v>4483</v>
      </c>
      <c r="B40" s="442" t="str">
        <f t="shared" si="4"/>
        <v>Indicates that the cell is automatically calculated and that no data entry is required.</v>
      </c>
      <c r="C40" s="89" t="s">
        <v>3773</v>
      </c>
      <c r="D40" s="489" t="s">
        <v>8056</v>
      </c>
      <c r="E40" s="489" t="s">
        <v>8535</v>
      </c>
      <c r="F40" s="490" t="s">
        <v>7587</v>
      </c>
      <c r="G40" t="s">
        <v>9096</v>
      </c>
      <c r="H40" s="89" t="s">
        <v>6826</v>
      </c>
      <c r="I40" s="89" t="s">
        <v>6153</v>
      </c>
      <c r="J40" s="89" t="s">
        <v>7191</v>
      </c>
      <c r="K40" s="475" t="s">
        <v>6535</v>
      </c>
    </row>
    <row r="41" spans="1:11" ht="144" x14ac:dyDescent="0.3">
      <c r="A41" s="441" t="s">
        <v>4496</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489" t="s">
        <v>8057</v>
      </c>
      <c r="E41" s="489" t="s">
        <v>8536</v>
      </c>
      <c r="F41" s="490" t="s">
        <v>7588</v>
      </c>
      <c r="G41" t="s">
        <v>9097</v>
      </c>
      <c r="H41" s="89" t="s">
        <v>6827</v>
      </c>
      <c r="I41" s="89" t="s">
        <v>6154</v>
      </c>
      <c r="J41" s="89" t="s">
        <v>7192</v>
      </c>
      <c r="K41" s="475" t="s">
        <v>6536</v>
      </c>
    </row>
    <row r="42" spans="1:11" ht="57.6" x14ac:dyDescent="0.3">
      <c r="A42" s="441" t="s">
        <v>4484</v>
      </c>
      <c r="B42" s="442" t="str">
        <f t="shared" si="4"/>
        <v>Indicates that no data entry is required unless certain logics are selected in the disclosure itself. When one of these logics is selected, then this cell will turn white.</v>
      </c>
      <c r="C42" s="89" t="s">
        <v>3066</v>
      </c>
      <c r="D42" s="489" t="s">
        <v>8058</v>
      </c>
      <c r="E42" s="489" t="s">
        <v>8537</v>
      </c>
      <c r="F42" s="490" t="s">
        <v>7589</v>
      </c>
      <c r="G42" t="s">
        <v>9098</v>
      </c>
      <c r="H42" s="89" t="s">
        <v>6828</v>
      </c>
      <c r="I42" s="89" t="s">
        <v>6155</v>
      </c>
      <c r="J42" s="89" t="s">
        <v>7193</v>
      </c>
      <c r="K42" s="475" t="s">
        <v>6537</v>
      </c>
    </row>
    <row r="43" spans="1:11" ht="43.2" x14ac:dyDescent="0.3">
      <c r="A43" s="441" t="s">
        <v>4497</v>
      </c>
      <c r="B43" s="442" t="str">
        <f t="shared" si="4"/>
        <v>Validation MISSING VALUE/ERROR/VALUE INCONSISTENCY/INVALID URL</v>
      </c>
      <c r="C43" s="442" t="s">
        <v>3774</v>
      </c>
      <c r="D43" s="489" t="s">
        <v>8059</v>
      </c>
      <c r="E43" s="489" t="s">
        <v>8538</v>
      </c>
      <c r="F43" s="490" t="s">
        <v>7590</v>
      </c>
      <c r="G43" t="s">
        <v>9099</v>
      </c>
      <c r="H43" s="89" t="s">
        <v>6829</v>
      </c>
      <c r="I43" s="89" t="s">
        <v>6156</v>
      </c>
      <c r="J43" s="89" t="s">
        <v>7194</v>
      </c>
      <c r="K43" s="475" t="s">
        <v>6477</v>
      </c>
    </row>
    <row r="44" spans="1:11" ht="43.2" x14ac:dyDescent="0.3">
      <c r="A44" s="441" t="s">
        <v>4485</v>
      </c>
      <c r="B44" s="442" t="str">
        <f t="shared" si="4"/>
        <v>Indicates that either data entry is incorrect in terms of format or that certain information is missing in order to correctly report on the disclosure.</v>
      </c>
      <c r="C44" s="89" t="s">
        <v>3015</v>
      </c>
      <c r="D44" s="489" t="s">
        <v>8060</v>
      </c>
      <c r="E44" s="489" t="s">
        <v>8539</v>
      </c>
      <c r="F44" s="490" t="s">
        <v>7591</v>
      </c>
      <c r="G44" t="s">
        <v>9100</v>
      </c>
      <c r="H44" s="89" t="s">
        <v>6830</v>
      </c>
      <c r="I44" s="89" t="s">
        <v>6157</v>
      </c>
      <c r="J44" s="89" t="s">
        <v>7195</v>
      </c>
      <c r="K44" s="475" t="s">
        <v>6538</v>
      </c>
    </row>
    <row r="45" spans="1:11" x14ac:dyDescent="0.3">
      <c r="A45" s="441" t="s">
        <v>4498</v>
      </c>
      <c r="B45" s="442" t="str">
        <f t="shared" si="4"/>
        <v>Validation OK</v>
      </c>
      <c r="C45" s="89" t="s">
        <v>2886</v>
      </c>
      <c r="D45" s="489" t="s">
        <v>8061</v>
      </c>
      <c r="E45" s="489" t="s">
        <v>2886</v>
      </c>
      <c r="F45" s="490" t="s">
        <v>7592</v>
      </c>
      <c r="G45" t="s">
        <v>9101</v>
      </c>
      <c r="H45" s="89" t="s">
        <v>9533</v>
      </c>
      <c r="I45" s="89" t="s">
        <v>5910</v>
      </c>
      <c r="J45" s="89" t="s">
        <v>5827</v>
      </c>
      <c r="K45" s="475" t="s">
        <v>6478</v>
      </c>
    </row>
    <row r="46" spans="1:11" ht="28.8" x14ac:dyDescent="0.3">
      <c r="A46" s="441" t="s">
        <v>4486</v>
      </c>
      <c r="B46" s="442" t="str">
        <f t="shared" si="4"/>
        <v>Indicates that data entry is OK and the undertaking can proceed to the next disclosure.</v>
      </c>
      <c r="C46" s="89" t="s">
        <v>2913</v>
      </c>
      <c r="D46" s="489" t="s">
        <v>8062</v>
      </c>
      <c r="E46" s="489" t="s">
        <v>8540</v>
      </c>
      <c r="F46" s="490" t="s">
        <v>7593</v>
      </c>
      <c r="G46" t="s">
        <v>9102</v>
      </c>
      <c r="H46" s="89" t="s">
        <v>6831</v>
      </c>
      <c r="I46" s="89" t="s">
        <v>6158</v>
      </c>
      <c r="J46" s="89" t="s">
        <v>7196</v>
      </c>
      <c r="K46" s="475" t="s">
        <v>5708</v>
      </c>
    </row>
    <row r="47" spans="1:11" x14ac:dyDescent="0.3">
      <c r="A47" s="441" t="s">
        <v>4487</v>
      </c>
      <c r="B47" s="442" t="str">
        <f t="shared" si="4"/>
        <v>No value can be entered in the cell.</v>
      </c>
      <c r="C47" s="89" t="s">
        <v>3063</v>
      </c>
      <c r="D47" s="489" t="s">
        <v>8063</v>
      </c>
      <c r="E47" s="489" t="s">
        <v>8541</v>
      </c>
      <c r="F47" s="490" t="s">
        <v>7594</v>
      </c>
      <c r="G47" t="s">
        <v>9103</v>
      </c>
      <c r="H47" s="89" t="s">
        <v>6051</v>
      </c>
      <c r="I47" s="89" t="s">
        <v>5911</v>
      </c>
      <c r="J47" s="89" t="s">
        <v>5828</v>
      </c>
      <c r="K47" s="475" t="s">
        <v>5709</v>
      </c>
    </row>
    <row r="48" spans="1:11" ht="72" x14ac:dyDescent="0.3">
      <c r="A48" s="441" t="s">
        <v>4488</v>
      </c>
      <c r="B48" s="442" t="str">
        <f t="shared" si="4"/>
        <v>Lists can be expanded using the plus [+] button on the left. If the number of rows is not sufficient, additional rows can be added by right clicking the second row and selecting "Insert row".</v>
      </c>
      <c r="C48" s="89" t="s">
        <v>3016</v>
      </c>
      <c r="D48" s="489" t="s">
        <v>8064</v>
      </c>
      <c r="E48" s="489" t="s">
        <v>8542</v>
      </c>
      <c r="F48" s="490" t="s">
        <v>7595</v>
      </c>
      <c r="G48" t="s">
        <v>9104</v>
      </c>
      <c r="H48" s="89" t="s">
        <v>6832</v>
      </c>
      <c r="I48" s="89" t="s">
        <v>6159</v>
      </c>
      <c r="J48" s="89" t="s">
        <v>7197</v>
      </c>
      <c r="K48" s="475" t="s">
        <v>6539</v>
      </c>
    </row>
    <row r="49" spans="1:11" ht="201.6" x14ac:dyDescent="0.3">
      <c r="A49" s="441" t="s">
        <v>4489</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489" t="s">
        <v>8065</v>
      </c>
      <c r="E49" s="489" t="s">
        <v>8543</v>
      </c>
      <c r="F49" s="490" t="s">
        <v>7596</v>
      </c>
      <c r="G49" t="s">
        <v>9105</v>
      </c>
      <c r="H49" s="89" t="s">
        <v>6833</v>
      </c>
      <c r="I49" s="89" t="s">
        <v>6160</v>
      </c>
      <c r="J49" s="89" t="s">
        <v>7198</v>
      </c>
      <c r="K49" s="475" t="s">
        <v>6540</v>
      </c>
    </row>
    <row r="50" spans="1:11" s="12" customFormat="1" ht="72.599999999999994" thickBot="1" x14ac:dyDescent="0.35">
      <c r="A50" s="453" t="s">
        <v>4490</v>
      </c>
      <c r="B50" s="476" t="str">
        <f t="shared" si="4"/>
        <v>Reproduction and use rights are strictly limited. For further details please contact efragsecretariat@efrag.org</v>
      </c>
      <c r="C50" s="443" t="s">
        <v>2922</v>
      </c>
      <c r="D50" s="497" t="s">
        <v>8066</v>
      </c>
      <c r="E50" s="497" t="s">
        <v>8544</v>
      </c>
      <c r="F50" s="491" t="s">
        <v>7597</v>
      </c>
      <c r="G50" s="12" t="s">
        <v>9106</v>
      </c>
      <c r="H50" s="443" t="s">
        <v>6834</v>
      </c>
      <c r="I50" s="443" t="s">
        <v>6161</v>
      </c>
      <c r="J50" s="443" t="s">
        <v>7199</v>
      </c>
      <c r="K50" s="495" t="s">
        <v>6541</v>
      </c>
    </row>
    <row r="51" spans="1:11" ht="43.2" x14ac:dyDescent="0.3">
      <c r="A51" s="441" t="s">
        <v>4404</v>
      </c>
      <c r="B51" s="442" t="str">
        <f t="shared" si="4"/>
        <v>Overall Validation Status</v>
      </c>
      <c r="C51" s="441" t="s">
        <v>3661</v>
      </c>
      <c r="D51" s="489" t="s">
        <v>8067</v>
      </c>
      <c r="E51" s="489" t="s">
        <v>8545</v>
      </c>
      <c r="F51" s="490" t="s">
        <v>7598</v>
      </c>
      <c r="G51" t="s">
        <v>9107</v>
      </c>
      <c r="H51" s="89" t="s">
        <v>6835</v>
      </c>
      <c r="I51" s="89" t="s">
        <v>6162</v>
      </c>
      <c r="J51" s="89" t="s">
        <v>7200</v>
      </c>
      <c r="K51" s="475" t="s">
        <v>6542</v>
      </c>
    </row>
    <row r="52" spans="1:11" x14ac:dyDescent="0.3">
      <c r="A52" s="441" t="s">
        <v>4405</v>
      </c>
      <c r="B52" s="442" t="str">
        <f t="shared" si="4"/>
        <v>Table of Contents</v>
      </c>
      <c r="C52" s="441" t="s">
        <v>3662</v>
      </c>
      <c r="D52" s="489" t="s">
        <v>8068</v>
      </c>
      <c r="E52" s="489" t="s">
        <v>8508</v>
      </c>
      <c r="F52" s="490" t="s">
        <v>7560</v>
      </c>
      <c r="G52" t="s">
        <v>9069</v>
      </c>
      <c r="H52" s="89" t="s">
        <v>5989</v>
      </c>
      <c r="I52" s="89" t="s">
        <v>5904</v>
      </c>
      <c r="J52" s="89" t="s">
        <v>5823</v>
      </c>
      <c r="K52" s="475" t="s">
        <v>5823</v>
      </c>
    </row>
    <row r="53" spans="1:11" ht="28.8" x14ac:dyDescent="0.3">
      <c r="A53" s="441" t="s">
        <v>4406</v>
      </c>
      <c r="B53" s="442" t="str">
        <f t="shared" si="4"/>
        <v>Contents grouping follows template's framework</v>
      </c>
      <c r="C53" s="441" t="s">
        <v>3663</v>
      </c>
      <c r="D53" s="489" t="s">
        <v>8069</v>
      </c>
      <c r="E53" s="489" t="s">
        <v>8546</v>
      </c>
      <c r="F53" s="490" t="s">
        <v>7599</v>
      </c>
      <c r="G53" t="s">
        <v>9108</v>
      </c>
      <c r="H53" s="89" t="s">
        <v>6836</v>
      </c>
      <c r="I53" s="89" t="s">
        <v>6163</v>
      </c>
      <c r="J53" s="89" t="s">
        <v>7201</v>
      </c>
      <c r="K53" s="475" t="s">
        <v>6543</v>
      </c>
    </row>
    <row r="54" spans="1:11" x14ac:dyDescent="0.3">
      <c r="A54" s="441" t="s">
        <v>4407</v>
      </c>
      <c r="B54" s="442" t="str">
        <f t="shared" si="4"/>
        <v>Specific Content Validation Status</v>
      </c>
      <c r="C54" s="441" t="s">
        <v>3664</v>
      </c>
      <c r="D54" s="489" t="s">
        <v>8070</v>
      </c>
      <c r="E54" s="489" t="s">
        <v>8547</v>
      </c>
      <c r="F54" s="490" t="s">
        <v>7600</v>
      </c>
      <c r="G54" t="s">
        <v>9109</v>
      </c>
      <c r="H54" s="89" t="s">
        <v>5993</v>
      </c>
      <c r="I54" s="89" t="s">
        <v>6164</v>
      </c>
      <c r="J54" s="89" t="s">
        <v>7202</v>
      </c>
      <c r="K54" s="475" t="s">
        <v>6544</v>
      </c>
    </row>
    <row r="55" spans="1:11" ht="28.8" x14ac:dyDescent="0.3">
      <c r="A55" s="441" t="s">
        <v>4408</v>
      </c>
      <c r="B55" s="442" t="str">
        <f t="shared" si="4"/>
        <v>General Information</v>
      </c>
      <c r="C55" s="441" t="s">
        <v>3665</v>
      </c>
      <c r="D55" s="489" t="s">
        <v>8071</v>
      </c>
      <c r="E55" s="489" t="s">
        <v>8548</v>
      </c>
      <c r="F55" s="490" t="s">
        <v>7601</v>
      </c>
      <c r="G55" t="s">
        <v>9110</v>
      </c>
      <c r="H55" s="89" t="s">
        <v>6837</v>
      </c>
      <c r="I55" s="89" t="s">
        <v>5912</v>
      </c>
      <c r="J55" s="89" t="s">
        <v>7203</v>
      </c>
      <c r="K55" s="475" t="s">
        <v>5710</v>
      </c>
    </row>
    <row r="56" spans="1:11" ht="28.8" x14ac:dyDescent="0.3">
      <c r="A56" s="441" t="s">
        <v>4403</v>
      </c>
      <c r="B56" s="442" t="str">
        <f t="shared" si="4"/>
        <v>· Information on the report necessary for  XBRL</v>
      </c>
      <c r="C56" s="441" t="s">
        <v>3685</v>
      </c>
      <c r="D56" s="489" t="s">
        <v>8072</v>
      </c>
      <c r="E56" s="489" t="s">
        <v>8549</v>
      </c>
      <c r="F56" s="490" t="s">
        <v>7602</v>
      </c>
      <c r="G56" t="s">
        <v>9111</v>
      </c>
      <c r="H56" s="89" t="s">
        <v>6838</v>
      </c>
      <c r="I56" s="89" t="s">
        <v>9003</v>
      </c>
      <c r="J56" s="89" t="s">
        <v>7528</v>
      </c>
      <c r="K56" s="475" t="s">
        <v>6545</v>
      </c>
    </row>
    <row r="57" spans="1:11" x14ac:dyDescent="0.3">
      <c r="A57" s="441" t="s">
        <v>4409</v>
      </c>
      <c r="B57" s="442" t="str">
        <f t="shared" si="4"/>
        <v>· Information on previous reporting period</v>
      </c>
      <c r="C57" s="441" t="s">
        <v>3686</v>
      </c>
      <c r="D57" s="489" t="s">
        <v>8073</v>
      </c>
      <c r="E57" s="489" t="s">
        <v>8550</v>
      </c>
      <c r="F57" s="490" t="s">
        <v>7603</v>
      </c>
      <c r="G57" t="s">
        <v>9112</v>
      </c>
      <c r="H57" s="89" t="s">
        <v>5994</v>
      </c>
      <c r="I57" s="89" t="s">
        <v>9004</v>
      </c>
      <c r="J57" s="89" t="s">
        <v>7205</v>
      </c>
      <c r="K57" s="475" t="s">
        <v>9042</v>
      </c>
    </row>
    <row r="58" spans="1:11" x14ac:dyDescent="0.3">
      <c r="A58" s="441" t="s">
        <v>4410</v>
      </c>
      <c r="B58" s="442" t="str">
        <f t="shared" si="4"/>
        <v>Basic Module</v>
      </c>
      <c r="C58" s="441" t="s">
        <v>2884</v>
      </c>
      <c r="D58" s="489" t="s">
        <v>7583</v>
      </c>
      <c r="E58" s="489" t="s">
        <v>8551</v>
      </c>
      <c r="F58" s="490" t="s">
        <v>7583</v>
      </c>
      <c r="G58" t="s">
        <v>9092</v>
      </c>
      <c r="H58" s="89" t="s">
        <v>6822</v>
      </c>
      <c r="I58" s="89" t="s">
        <v>5908</v>
      </c>
      <c r="J58" s="89" t="s">
        <v>7189</v>
      </c>
      <c r="K58" s="475" t="s">
        <v>5706</v>
      </c>
    </row>
    <row r="59" spans="1:11" x14ac:dyDescent="0.3">
      <c r="A59" s="441" t="s">
        <v>4411</v>
      </c>
      <c r="B59" s="442" t="str">
        <f t="shared" si="4"/>
        <v>· B1 - Basis for Preparation</v>
      </c>
      <c r="C59" s="441" t="s">
        <v>3687</v>
      </c>
      <c r="D59" s="489" t="s">
        <v>8074</v>
      </c>
      <c r="E59" s="489" t="s">
        <v>8950</v>
      </c>
      <c r="F59" s="490" t="s">
        <v>7604</v>
      </c>
      <c r="G59" t="s">
        <v>9113</v>
      </c>
      <c r="H59" s="89" t="s">
        <v>8980</v>
      </c>
      <c r="I59" s="89" t="s">
        <v>9005</v>
      </c>
      <c r="J59" s="89" t="s">
        <v>7522</v>
      </c>
      <c r="K59" s="475" t="s">
        <v>9043</v>
      </c>
    </row>
    <row r="60" spans="1:11" ht="28.8" x14ac:dyDescent="0.3">
      <c r="A60" s="441" t="s">
        <v>4412</v>
      </c>
      <c r="B60" s="442" t="str">
        <f t="shared" si="4"/>
        <v>Basis for Preparation and other undertaking's general information</v>
      </c>
      <c r="C60" s="441" t="s">
        <v>4378</v>
      </c>
      <c r="D60" s="489" t="s">
        <v>8075</v>
      </c>
      <c r="E60" s="489" t="s">
        <v>8552</v>
      </c>
      <c r="F60" s="490" t="s">
        <v>7605</v>
      </c>
      <c r="G60" t="s">
        <v>9114</v>
      </c>
      <c r="H60" s="89" t="s">
        <v>6839</v>
      </c>
      <c r="I60" s="89" t="s">
        <v>6165</v>
      </c>
      <c r="J60" s="89" t="s">
        <v>7206</v>
      </c>
      <c r="K60" s="475" t="s">
        <v>6547</v>
      </c>
    </row>
    <row r="61" spans="1:11" x14ac:dyDescent="0.3">
      <c r="A61" s="441" t="s">
        <v>4413</v>
      </c>
      <c r="B61" s="442" t="str">
        <f t="shared" si="4"/>
        <v>List of subsidiaries</v>
      </c>
      <c r="C61" s="441" t="s">
        <v>4379</v>
      </c>
      <c r="D61" s="489" t="s">
        <v>8076</v>
      </c>
      <c r="E61" s="489" t="s">
        <v>8553</v>
      </c>
      <c r="F61" s="490" t="s">
        <v>7606</v>
      </c>
      <c r="G61" t="s">
        <v>9115</v>
      </c>
      <c r="H61" s="89" t="s">
        <v>6840</v>
      </c>
      <c r="I61" s="89" t="s">
        <v>6166</v>
      </c>
      <c r="J61" s="89" t="s">
        <v>7207</v>
      </c>
      <c r="K61" s="475" t="s">
        <v>6548</v>
      </c>
    </row>
    <row r="62" spans="1:11" ht="28.8" x14ac:dyDescent="0.3">
      <c r="A62" s="441" t="s">
        <v>4414</v>
      </c>
      <c r="B62" s="442" t="str">
        <f t="shared" si="4"/>
        <v>Disclosure of sustainability-related certification(s) or label(s)</v>
      </c>
      <c r="C62" s="441" t="s">
        <v>4380</v>
      </c>
      <c r="D62" s="489" t="s">
        <v>8077</v>
      </c>
      <c r="E62" s="489" t="s">
        <v>8554</v>
      </c>
      <c r="F62" s="490" t="s">
        <v>7607</v>
      </c>
      <c r="G62" t="s">
        <v>9116</v>
      </c>
      <c r="H62" s="89" t="s">
        <v>6841</v>
      </c>
      <c r="I62" s="89" t="s">
        <v>6167</v>
      </c>
      <c r="J62" s="89" t="s">
        <v>7208</v>
      </c>
      <c r="K62" s="475" t="s">
        <v>6549</v>
      </c>
    </row>
    <row r="63" spans="1:11" x14ac:dyDescent="0.3">
      <c r="A63" s="441" t="s">
        <v>4415</v>
      </c>
      <c r="B63" s="442" t="str">
        <f t="shared" si="4"/>
        <v>List of site(s)</v>
      </c>
      <c r="C63" s="441" t="s">
        <v>4381</v>
      </c>
      <c r="D63" s="489" t="s">
        <v>8078</v>
      </c>
      <c r="E63" s="489" t="s">
        <v>8555</v>
      </c>
      <c r="F63" s="490" t="s">
        <v>7608</v>
      </c>
      <c r="G63" t="s">
        <v>9117</v>
      </c>
      <c r="H63" s="89" t="s">
        <v>6842</v>
      </c>
      <c r="I63" s="89" t="s">
        <v>6168</v>
      </c>
      <c r="J63" s="89" t="s">
        <v>7209</v>
      </c>
      <c r="K63" s="475" t="s">
        <v>6550</v>
      </c>
    </row>
    <row r="64" spans="1:11" ht="28.8" x14ac:dyDescent="0.3">
      <c r="A64" s="441" t="s">
        <v>4416</v>
      </c>
      <c r="B64" s="442" t="str">
        <f t="shared" si="4"/>
        <v>· B2 - Practices, policies and future initiatives for transitioning towards a more sustainable economy</v>
      </c>
      <c r="C64" s="441" t="s">
        <v>3675</v>
      </c>
      <c r="D64" s="489" t="s">
        <v>8079</v>
      </c>
      <c r="E64" s="489" t="s">
        <v>8951</v>
      </c>
      <c r="F64" s="490" t="s">
        <v>7609</v>
      </c>
      <c r="G64" t="s">
        <v>9118</v>
      </c>
      <c r="H64" s="89" t="s">
        <v>8981</v>
      </c>
      <c r="I64" s="89" t="s">
        <v>9006</v>
      </c>
      <c r="J64" s="89" t="s">
        <v>7523</v>
      </c>
      <c r="K64" s="475" t="s">
        <v>9044</v>
      </c>
    </row>
    <row r="65" spans="1:11" ht="28.8" x14ac:dyDescent="0.3">
      <c r="A65" s="441" t="s">
        <v>4417</v>
      </c>
      <c r="B65" s="442" t="str">
        <f t="shared" si="4"/>
        <v>Practices, policies and future initiatives for transitioning towards a more sustainable economy</v>
      </c>
      <c r="C65" s="441" t="s">
        <v>4382</v>
      </c>
      <c r="D65" s="489" t="s">
        <v>8080</v>
      </c>
      <c r="E65" s="489" t="s">
        <v>8557</v>
      </c>
      <c r="F65" s="490" t="s">
        <v>7610</v>
      </c>
      <c r="G65" t="s">
        <v>9119</v>
      </c>
      <c r="H65" s="89" t="s">
        <v>6843</v>
      </c>
      <c r="I65" s="89" t="s">
        <v>6069</v>
      </c>
      <c r="J65" s="89" t="s">
        <v>5829</v>
      </c>
      <c r="K65" s="475" t="s">
        <v>5711</v>
      </c>
    </row>
    <row r="66" spans="1:11" x14ac:dyDescent="0.3">
      <c r="A66" s="441" t="s">
        <v>4418</v>
      </c>
      <c r="B66" s="442" t="str">
        <f t="shared" si="4"/>
        <v>Cooperative specific disclosures</v>
      </c>
      <c r="C66" s="441" t="s">
        <v>4383</v>
      </c>
      <c r="D66" s="489" t="s">
        <v>8081</v>
      </c>
      <c r="E66" s="489" t="s">
        <v>8558</v>
      </c>
      <c r="F66" s="490" t="s">
        <v>7611</v>
      </c>
      <c r="G66" t="s">
        <v>9120</v>
      </c>
      <c r="H66" s="89" t="s">
        <v>6844</v>
      </c>
      <c r="I66" s="89" t="s">
        <v>6169</v>
      </c>
      <c r="J66" s="89" t="s">
        <v>7211</v>
      </c>
      <c r="K66" s="475" t="s">
        <v>6551</v>
      </c>
    </row>
    <row r="67" spans="1:11" x14ac:dyDescent="0.3">
      <c r="A67" s="441" t="s">
        <v>4419</v>
      </c>
      <c r="B67" s="442" t="str">
        <f t="shared" si="4"/>
        <v>Environmental Disclosures</v>
      </c>
      <c r="C67" s="441" t="s">
        <v>3666</v>
      </c>
      <c r="D67" s="489" t="s">
        <v>8082</v>
      </c>
      <c r="E67" s="489" t="s">
        <v>8559</v>
      </c>
      <c r="F67" s="490" t="s">
        <v>7612</v>
      </c>
      <c r="G67" t="s">
        <v>9121</v>
      </c>
      <c r="H67" s="89" t="s">
        <v>6845</v>
      </c>
      <c r="I67" s="89" t="s">
        <v>6170</v>
      </c>
      <c r="J67" s="89" t="s">
        <v>5830</v>
      </c>
      <c r="K67" s="475" t="s">
        <v>6552</v>
      </c>
    </row>
    <row r="68" spans="1:11" x14ac:dyDescent="0.3">
      <c r="A68" s="441" t="s">
        <v>4420</v>
      </c>
      <c r="B68" s="442" t="str">
        <f t="shared" ref="B68:B131" si="5">INDEX(C68:K68,MATCH(template_selected_display_language,$C$3:$K$3,0))</f>
        <v>· B3 - Energy and greenhouse gas emissions</v>
      </c>
      <c r="C68" s="441" t="s">
        <v>3691</v>
      </c>
      <c r="D68" s="489" t="s">
        <v>8083</v>
      </c>
      <c r="E68" s="489" t="s">
        <v>8952</v>
      </c>
      <c r="F68" s="490" t="s">
        <v>7613</v>
      </c>
      <c r="G68" t="s">
        <v>9122</v>
      </c>
      <c r="H68" s="89" t="s">
        <v>6846</v>
      </c>
      <c r="I68" s="89" t="s">
        <v>9007</v>
      </c>
      <c r="J68" s="89" t="s">
        <v>7524</v>
      </c>
      <c r="K68" s="475" t="s">
        <v>9045</v>
      </c>
    </row>
    <row r="69" spans="1:11" x14ac:dyDescent="0.3">
      <c r="A69" s="441" t="s">
        <v>4421</v>
      </c>
      <c r="B69" s="442" t="str">
        <f t="shared" si="5"/>
        <v>Total Energy Consumption (in MWh)</v>
      </c>
      <c r="C69" s="441" t="s">
        <v>4384</v>
      </c>
      <c r="D69" s="489" t="s">
        <v>8084</v>
      </c>
      <c r="E69" s="489" t="s">
        <v>8560</v>
      </c>
      <c r="F69" s="490" t="s">
        <v>7614</v>
      </c>
      <c r="G69" t="s">
        <v>9123</v>
      </c>
      <c r="H69" s="89" t="s">
        <v>6052</v>
      </c>
      <c r="I69" s="89" t="s">
        <v>5913</v>
      </c>
      <c r="J69" s="89" t="s">
        <v>7212</v>
      </c>
      <c r="K69" s="475" t="s">
        <v>5712</v>
      </c>
    </row>
    <row r="70" spans="1:11" x14ac:dyDescent="0.3">
      <c r="A70" s="441" t="s">
        <v>4422</v>
      </c>
      <c r="B70" s="442" t="str">
        <f t="shared" si="5"/>
        <v>Breakdown of energy consumption (in MWh)</v>
      </c>
      <c r="C70" s="441" t="s">
        <v>4385</v>
      </c>
      <c r="D70" s="489" t="s">
        <v>8085</v>
      </c>
      <c r="E70" s="489" t="s">
        <v>8561</v>
      </c>
      <c r="F70" s="490" t="s">
        <v>7615</v>
      </c>
      <c r="G70" t="s">
        <v>9124</v>
      </c>
      <c r="H70" s="89" t="s">
        <v>6847</v>
      </c>
      <c r="I70" s="89" t="s">
        <v>5914</v>
      </c>
      <c r="J70" s="89" t="s">
        <v>7213</v>
      </c>
      <c r="K70" s="475" t="s">
        <v>5713</v>
      </c>
    </row>
    <row r="71" spans="1:11" ht="43.2" x14ac:dyDescent="0.3">
      <c r="A71" s="441" t="s">
        <v>4423</v>
      </c>
      <c r="B71" s="442" t="str">
        <f t="shared" si="5"/>
        <v>Estimated Greenhouse Gas Emissions considering the GHG Protocol Version 2004 (in tCO2e)</v>
      </c>
      <c r="C71" s="441" t="s">
        <v>4386</v>
      </c>
      <c r="D71" s="489" t="s">
        <v>8086</v>
      </c>
      <c r="E71" s="489" t="s">
        <v>8562</v>
      </c>
      <c r="F71" s="490" t="s">
        <v>7616</v>
      </c>
      <c r="G71" t="s">
        <v>9125</v>
      </c>
      <c r="H71" s="89" t="s">
        <v>6848</v>
      </c>
      <c r="I71" s="89" t="s">
        <v>6171</v>
      </c>
      <c r="J71" s="89" t="s">
        <v>7214</v>
      </c>
      <c r="K71" s="475" t="s">
        <v>6553</v>
      </c>
    </row>
    <row r="72" spans="1:11" ht="28.8" x14ac:dyDescent="0.3">
      <c r="A72" s="441" t="s">
        <v>4424</v>
      </c>
      <c r="B72" s="442" t="str">
        <f t="shared" si="5"/>
        <v>Greenhouse gas emission intensity per turnover</v>
      </c>
      <c r="C72" s="441" t="s">
        <v>4387</v>
      </c>
      <c r="D72" s="489" t="s">
        <v>8087</v>
      </c>
      <c r="E72" s="489" t="s">
        <v>8563</v>
      </c>
      <c r="F72" s="490" t="s">
        <v>7617</v>
      </c>
      <c r="G72" t="s">
        <v>9126</v>
      </c>
      <c r="H72" s="89" t="s">
        <v>6849</v>
      </c>
      <c r="I72" s="89" t="s">
        <v>6172</v>
      </c>
      <c r="J72" s="89" t="s">
        <v>5831</v>
      </c>
      <c r="K72" s="475" t="s">
        <v>6554</v>
      </c>
    </row>
    <row r="73" spans="1:11" x14ac:dyDescent="0.3">
      <c r="A73" s="441" t="s">
        <v>4425</v>
      </c>
      <c r="B73" s="442" t="str">
        <f t="shared" si="5"/>
        <v>· B4 - Pollution of air, water and soil</v>
      </c>
      <c r="C73" s="441" t="s">
        <v>3692</v>
      </c>
      <c r="D73" s="489" t="s">
        <v>8088</v>
      </c>
      <c r="E73" s="489" t="s">
        <v>8953</v>
      </c>
      <c r="F73" s="490" t="s">
        <v>7618</v>
      </c>
      <c r="G73" t="s">
        <v>9127</v>
      </c>
      <c r="H73" s="89" t="s">
        <v>8982</v>
      </c>
      <c r="I73" s="89" t="s">
        <v>9008</v>
      </c>
      <c r="J73" s="89" t="s">
        <v>7525</v>
      </c>
      <c r="K73" s="475" t="s">
        <v>9046</v>
      </c>
    </row>
    <row r="74" spans="1:11" ht="43.2" x14ac:dyDescent="0.3">
      <c r="A74" s="441" t="s">
        <v>4426</v>
      </c>
      <c r="B74" s="442" t="str">
        <f t="shared" si="5"/>
        <v>· B5 - Biodiversity</v>
      </c>
      <c r="C74" s="441" t="s">
        <v>3669</v>
      </c>
      <c r="D74" s="489" t="s">
        <v>8089</v>
      </c>
      <c r="E74" s="489" t="s">
        <v>8954</v>
      </c>
      <c r="F74" s="490" t="s">
        <v>7619</v>
      </c>
      <c r="G74" t="s">
        <v>9128</v>
      </c>
      <c r="H74" s="475" t="s">
        <v>8983</v>
      </c>
      <c r="I74" s="89" t="s">
        <v>9009</v>
      </c>
      <c r="J74" s="89" t="s">
        <v>7526</v>
      </c>
      <c r="K74" s="475" t="s">
        <v>9047</v>
      </c>
    </row>
    <row r="75" spans="1:11" ht="28.8" x14ac:dyDescent="0.3">
      <c r="A75" s="441" t="s">
        <v>4427</v>
      </c>
      <c r="B75" s="442" t="str">
        <f t="shared" si="5"/>
        <v>Sites in biodiversity sensitive areas</v>
      </c>
      <c r="C75" s="441" t="s">
        <v>4388</v>
      </c>
      <c r="D75" s="489" t="s">
        <v>8090</v>
      </c>
      <c r="E75" s="489" t="s">
        <v>8564</v>
      </c>
      <c r="F75" s="490" t="s">
        <v>7620</v>
      </c>
      <c r="G75" t="s">
        <v>9129</v>
      </c>
      <c r="H75" s="89" t="s">
        <v>6850</v>
      </c>
      <c r="I75" s="89" t="s">
        <v>6173</v>
      </c>
      <c r="J75" s="89" t="s">
        <v>7216</v>
      </c>
      <c r="K75" s="475" t="s">
        <v>6556</v>
      </c>
    </row>
    <row r="76" spans="1:11" x14ac:dyDescent="0.3">
      <c r="A76" s="441" t="s">
        <v>4428</v>
      </c>
      <c r="B76" s="442" t="str">
        <f t="shared" si="5"/>
        <v>Biodiversity - Land-use</v>
      </c>
      <c r="C76" s="441" t="s">
        <v>4389</v>
      </c>
      <c r="D76" s="489" t="s">
        <v>8091</v>
      </c>
      <c r="E76" s="489" t="s">
        <v>8565</v>
      </c>
      <c r="F76" s="490" t="s">
        <v>7621</v>
      </c>
      <c r="G76" t="s">
        <v>9130</v>
      </c>
      <c r="H76" s="89" t="s">
        <v>6851</v>
      </c>
      <c r="I76" s="89" t="s">
        <v>6174</v>
      </c>
      <c r="J76" s="89" t="s">
        <v>5832</v>
      </c>
      <c r="K76" s="475" t="s">
        <v>5714</v>
      </c>
    </row>
    <row r="77" spans="1:11" x14ac:dyDescent="0.3">
      <c r="A77" s="441" t="s">
        <v>4429</v>
      </c>
      <c r="B77" s="442" t="str">
        <f t="shared" si="5"/>
        <v>· B6 - Water</v>
      </c>
      <c r="C77" s="441" t="s">
        <v>3693</v>
      </c>
      <c r="D77" s="489" t="s">
        <v>8092</v>
      </c>
      <c r="E77" s="489" t="s">
        <v>8955</v>
      </c>
      <c r="F77" s="490" t="s">
        <v>7622</v>
      </c>
      <c r="G77" t="s">
        <v>9131</v>
      </c>
      <c r="H77" s="89" t="s">
        <v>8984</v>
      </c>
      <c r="I77" s="89" t="s">
        <v>9010</v>
      </c>
      <c r="J77" s="89" t="s">
        <v>7527</v>
      </c>
      <c r="K77" s="475" t="s">
        <v>9048</v>
      </c>
    </row>
    <row r="78" spans="1:11" x14ac:dyDescent="0.3">
      <c r="A78" s="441" t="s">
        <v>4430</v>
      </c>
      <c r="B78" s="442" t="str">
        <f t="shared" si="5"/>
        <v>Water Withdrawal</v>
      </c>
      <c r="C78" s="441" t="s">
        <v>4390</v>
      </c>
      <c r="D78" s="489" t="s">
        <v>8093</v>
      </c>
      <c r="E78" s="489" t="s">
        <v>8566</v>
      </c>
      <c r="F78" s="490" t="s">
        <v>7623</v>
      </c>
      <c r="G78" t="s">
        <v>9132</v>
      </c>
      <c r="H78" s="89" t="s">
        <v>6852</v>
      </c>
      <c r="I78" s="89" t="s">
        <v>5915</v>
      </c>
      <c r="J78" s="89" t="s">
        <v>7217</v>
      </c>
      <c r="K78" s="475" t="s">
        <v>5715</v>
      </c>
    </row>
    <row r="79" spans="1:11" x14ac:dyDescent="0.3">
      <c r="A79" s="441" t="s">
        <v>4431</v>
      </c>
      <c r="B79" s="442" t="str">
        <f t="shared" si="5"/>
        <v>Water Consumption</v>
      </c>
      <c r="C79" s="441" t="s">
        <v>4391</v>
      </c>
      <c r="D79" s="489" t="s">
        <v>8094</v>
      </c>
      <c r="E79" s="489" t="s">
        <v>8567</v>
      </c>
      <c r="F79" s="490" t="s">
        <v>7624</v>
      </c>
      <c r="G79" t="s">
        <v>9133</v>
      </c>
      <c r="H79" s="89" t="s">
        <v>5995</v>
      </c>
      <c r="I79" s="89" t="s">
        <v>5916</v>
      </c>
      <c r="J79" s="89" t="s">
        <v>7218</v>
      </c>
      <c r="K79" s="475" t="s">
        <v>5716</v>
      </c>
    </row>
    <row r="80" spans="1:11" ht="28.8" x14ac:dyDescent="0.3">
      <c r="A80" s="441" t="s">
        <v>4432</v>
      </c>
      <c r="B80" s="442" t="str">
        <f t="shared" si="5"/>
        <v>· B7 - Resource use, circular economy and waste management</v>
      </c>
      <c r="C80" s="441" t="s">
        <v>3694</v>
      </c>
      <c r="D80" s="489" t="s">
        <v>8095</v>
      </c>
      <c r="E80" s="489" t="s">
        <v>8956</v>
      </c>
      <c r="F80" s="490" t="s">
        <v>7625</v>
      </c>
      <c r="G80" t="s">
        <v>9134</v>
      </c>
      <c r="H80" s="89" t="s">
        <v>6853</v>
      </c>
      <c r="I80" s="89" t="s">
        <v>9011</v>
      </c>
      <c r="J80" s="89" t="s">
        <v>7517</v>
      </c>
      <c r="K80" s="475" t="s">
        <v>6557</v>
      </c>
    </row>
    <row r="81" spans="1:11" x14ac:dyDescent="0.3">
      <c r="A81" s="441" t="s">
        <v>4433</v>
      </c>
      <c r="B81" s="442" t="str">
        <f t="shared" si="5"/>
        <v>Description of circular economy principles</v>
      </c>
      <c r="C81" s="441" t="s">
        <v>4392</v>
      </c>
      <c r="D81" s="489" t="s">
        <v>8096</v>
      </c>
      <c r="E81" s="489" t="s">
        <v>8568</v>
      </c>
      <c r="F81" s="490" t="s">
        <v>7626</v>
      </c>
      <c r="G81" t="s">
        <v>9135</v>
      </c>
      <c r="H81" s="89" t="s">
        <v>5996</v>
      </c>
      <c r="I81" s="89" t="s">
        <v>6175</v>
      </c>
      <c r="J81" s="89" t="s">
        <v>5833</v>
      </c>
      <c r="K81" s="475" t="s">
        <v>5717</v>
      </c>
    </row>
    <row r="82" spans="1:11" x14ac:dyDescent="0.3">
      <c r="A82" s="441" t="s">
        <v>4434</v>
      </c>
      <c r="B82" s="442" t="str">
        <f t="shared" si="5"/>
        <v>Waste generated</v>
      </c>
      <c r="C82" s="441" t="s">
        <v>4393</v>
      </c>
      <c r="D82" s="489" t="s">
        <v>8097</v>
      </c>
      <c r="E82" s="489" t="s">
        <v>8569</v>
      </c>
      <c r="F82" s="490" t="s">
        <v>7627</v>
      </c>
      <c r="G82" t="s">
        <v>9136</v>
      </c>
      <c r="H82" s="89" t="s">
        <v>5997</v>
      </c>
      <c r="I82" s="89" t="s">
        <v>6176</v>
      </c>
      <c r="J82" s="89" t="s">
        <v>7219</v>
      </c>
      <c r="K82" s="475" t="s">
        <v>5718</v>
      </c>
    </row>
    <row r="83" spans="1:11" ht="28.8" x14ac:dyDescent="0.3">
      <c r="A83" s="441" t="s">
        <v>4435</v>
      </c>
      <c r="B83" s="442" t="str">
        <f t="shared" si="5"/>
        <v>Annual mass-flow of relevant materials used</v>
      </c>
      <c r="C83" s="441" t="s">
        <v>4394</v>
      </c>
      <c r="D83" s="489" t="s">
        <v>8098</v>
      </c>
      <c r="E83" s="498" t="s">
        <v>8570</v>
      </c>
      <c r="F83" s="490" t="s">
        <v>7628</v>
      </c>
      <c r="G83" t="s">
        <v>9137</v>
      </c>
      <c r="H83" s="89" t="s">
        <v>6854</v>
      </c>
      <c r="I83" s="89" t="s">
        <v>6177</v>
      </c>
      <c r="J83" s="89" t="s">
        <v>7220</v>
      </c>
      <c r="K83" s="475" t="s">
        <v>6558</v>
      </c>
    </row>
    <row r="84" spans="1:11" x14ac:dyDescent="0.3">
      <c r="A84" s="441" t="s">
        <v>4436</v>
      </c>
      <c r="B84" s="442" t="str">
        <f t="shared" si="5"/>
        <v>Social Disclosures</v>
      </c>
      <c r="C84" s="441" t="s">
        <v>3667</v>
      </c>
      <c r="D84" s="489" t="s">
        <v>8099</v>
      </c>
      <c r="E84" s="489" t="s">
        <v>8571</v>
      </c>
      <c r="F84" s="490" t="s">
        <v>7629</v>
      </c>
      <c r="G84" t="s">
        <v>9138</v>
      </c>
      <c r="H84" s="89" t="s">
        <v>6855</v>
      </c>
      <c r="I84" s="89" t="s">
        <v>6178</v>
      </c>
      <c r="J84" s="89" t="s">
        <v>7221</v>
      </c>
      <c r="K84" s="475" t="s">
        <v>6559</v>
      </c>
    </row>
    <row r="85" spans="1:11" x14ac:dyDescent="0.3">
      <c r="A85" s="441" t="s">
        <v>4437</v>
      </c>
      <c r="B85" s="442" t="str">
        <f t="shared" si="5"/>
        <v>· B8 - Workforce - General characteristics</v>
      </c>
      <c r="C85" s="441" t="s">
        <v>3697</v>
      </c>
      <c r="D85" s="489" t="s">
        <v>8100</v>
      </c>
      <c r="E85" s="489" t="s">
        <v>8957</v>
      </c>
      <c r="F85" s="490" t="s">
        <v>7630</v>
      </c>
      <c r="G85" t="s">
        <v>9139</v>
      </c>
      <c r="H85" s="89" t="s">
        <v>8985</v>
      </c>
      <c r="I85" s="89" t="s">
        <v>9012</v>
      </c>
      <c r="J85" s="89" t="s">
        <v>7516</v>
      </c>
      <c r="K85" s="475" t="s">
        <v>9049</v>
      </c>
    </row>
    <row r="86" spans="1:11" x14ac:dyDescent="0.3">
      <c r="A86" s="441" t="s">
        <v>4438</v>
      </c>
      <c r="B86" s="442" t="str">
        <f t="shared" si="5"/>
        <v>Type of contract</v>
      </c>
      <c r="C86" s="441" t="s">
        <v>22</v>
      </c>
      <c r="D86" s="489" t="s">
        <v>8101</v>
      </c>
      <c r="E86" s="489" t="s">
        <v>8572</v>
      </c>
      <c r="F86" s="490" t="s">
        <v>7631</v>
      </c>
      <c r="G86" t="s">
        <v>9140</v>
      </c>
      <c r="H86" s="89" t="s">
        <v>6856</v>
      </c>
      <c r="I86" s="89" t="s">
        <v>5917</v>
      </c>
      <c r="J86" s="89" t="s">
        <v>5719</v>
      </c>
      <c r="K86" s="475" t="s">
        <v>5719</v>
      </c>
    </row>
    <row r="87" spans="1:11" x14ac:dyDescent="0.3">
      <c r="A87" s="441" t="s">
        <v>4439</v>
      </c>
      <c r="B87" s="442" t="str">
        <f t="shared" si="5"/>
        <v>Gender</v>
      </c>
      <c r="C87" s="441" t="s">
        <v>25</v>
      </c>
      <c r="D87" s="489" t="s">
        <v>8102</v>
      </c>
      <c r="E87" s="489" t="s">
        <v>8573</v>
      </c>
      <c r="F87" s="490" t="s">
        <v>7632</v>
      </c>
      <c r="G87" t="s">
        <v>9141</v>
      </c>
      <c r="H87" s="89" t="s">
        <v>5998</v>
      </c>
      <c r="I87" s="89" t="s">
        <v>5918</v>
      </c>
      <c r="J87" s="89" t="s">
        <v>5720</v>
      </c>
      <c r="K87" s="475" t="s">
        <v>5720</v>
      </c>
    </row>
    <row r="88" spans="1:11" x14ac:dyDescent="0.3">
      <c r="A88" s="441" t="s">
        <v>4440</v>
      </c>
      <c r="B88" s="442" t="str">
        <f t="shared" si="5"/>
        <v>Country of employment</v>
      </c>
      <c r="C88" s="441" t="s">
        <v>4395</v>
      </c>
      <c r="D88" s="489" t="s">
        <v>8103</v>
      </c>
      <c r="E88" s="489" t="s">
        <v>8574</v>
      </c>
      <c r="F88" s="490" t="s">
        <v>7633</v>
      </c>
      <c r="G88" t="s">
        <v>9142</v>
      </c>
      <c r="H88" s="89" t="s">
        <v>6857</v>
      </c>
      <c r="I88" s="89" t="s">
        <v>5919</v>
      </c>
      <c r="J88" s="89" t="s">
        <v>5834</v>
      </c>
      <c r="K88" s="475" t="s">
        <v>5721</v>
      </c>
    </row>
    <row r="89" spans="1:11" x14ac:dyDescent="0.3">
      <c r="A89" s="441" t="s">
        <v>4441</v>
      </c>
      <c r="B89" s="442" t="str">
        <f t="shared" si="5"/>
        <v>Turnover rate</v>
      </c>
      <c r="C89" s="441" t="s">
        <v>4396</v>
      </c>
      <c r="D89" s="489" t="s">
        <v>8104</v>
      </c>
      <c r="E89" s="489" t="s">
        <v>8575</v>
      </c>
      <c r="F89" s="490" t="s">
        <v>7634</v>
      </c>
      <c r="G89" t="s">
        <v>9143</v>
      </c>
      <c r="H89" s="89" t="s">
        <v>5999</v>
      </c>
      <c r="I89" s="89" t="s">
        <v>5920</v>
      </c>
      <c r="J89" s="89" t="s">
        <v>5835</v>
      </c>
      <c r="K89" s="475" t="s">
        <v>5722</v>
      </c>
    </row>
    <row r="90" spans="1:11" x14ac:dyDescent="0.3">
      <c r="A90" s="441" t="s">
        <v>4442</v>
      </c>
      <c r="B90" s="442" t="str">
        <f t="shared" si="5"/>
        <v>· B9 - Workforce – Health and safety</v>
      </c>
      <c r="C90" s="441" t="s">
        <v>3698</v>
      </c>
      <c r="D90" s="489" t="s">
        <v>8105</v>
      </c>
      <c r="E90" s="489" t="s">
        <v>8958</v>
      </c>
      <c r="F90" s="490" t="s">
        <v>7635</v>
      </c>
      <c r="G90" t="s">
        <v>9144</v>
      </c>
      <c r="H90" s="89" t="s">
        <v>8986</v>
      </c>
      <c r="I90" s="89" t="s">
        <v>9013</v>
      </c>
      <c r="J90" s="89" t="s">
        <v>7515</v>
      </c>
      <c r="K90" s="475" t="s">
        <v>9050</v>
      </c>
    </row>
    <row r="91" spans="1:11" ht="28.8" x14ac:dyDescent="0.3">
      <c r="A91" s="441" t="s">
        <v>4443</v>
      </c>
      <c r="B91" s="442" t="str">
        <f t="shared" si="5"/>
        <v>· B10 - Workforce – Remuneration, collective bargaining and training</v>
      </c>
      <c r="C91" s="441" t="s">
        <v>4397</v>
      </c>
      <c r="D91" s="489" t="s">
        <v>8106</v>
      </c>
      <c r="E91" s="489" t="s">
        <v>8959</v>
      </c>
      <c r="F91" s="490" t="s">
        <v>7636</v>
      </c>
      <c r="G91" t="s">
        <v>9145</v>
      </c>
      <c r="H91" s="89" t="s">
        <v>8987</v>
      </c>
      <c r="I91" s="89" t="s">
        <v>9014</v>
      </c>
      <c r="J91" s="89" t="s">
        <v>6088</v>
      </c>
      <c r="K91" s="475" t="s">
        <v>9051</v>
      </c>
    </row>
    <row r="92" spans="1:11" x14ac:dyDescent="0.3">
      <c r="A92" s="441" t="s">
        <v>4444</v>
      </c>
      <c r="B92" s="442" t="str">
        <f t="shared" si="5"/>
        <v>Governance Disclosures</v>
      </c>
      <c r="C92" s="441" t="s">
        <v>3668</v>
      </c>
      <c r="D92" s="489" t="s">
        <v>8107</v>
      </c>
      <c r="E92" s="489" t="s">
        <v>8577</v>
      </c>
      <c r="F92" s="490" t="s">
        <v>7637</v>
      </c>
      <c r="G92" t="s">
        <v>9146</v>
      </c>
      <c r="H92" s="89" t="s">
        <v>6858</v>
      </c>
      <c r="I92" s="89" t="s">
        <v>6180</v>
      </c>
      <c r="J92" s="89" t="s">
        <v>7223</v>
      </c>
      <c r="K92" s="475" t="s">
        <v>6479</v>
      </c>
    </row>
    <row r="93" spans="1:11" ht="28.8" x14ac:dyDescent="0.3">
      <c r="A93" s="441" t="s">
        <v>4445</v>
      </c>
      <c r="B93" s="442" t="str">
        <f t="shared" si="5"/>
        <v>· B11 - Convictions and fines for corruption and bribery</v>
      </c>
      <c r="C93" s="441" t="s">
        <v>3703</v>
      </c>
      <c r="D93" s="489" t="s">
        <v>8108</v>
      </c>
      <c r="E93" s="489" t="s">
        <v>8960</v>
      </c>
      <c r="F93" s="490" t="s">
        <v>7638</v>
      </c>
      <c r="G93" t="s">
        <v>9147</v>
      </c>
      <c r="H93" s="89" t="s">
        <v>8988</v>
      </c>
      <c r="I93" s="89" t="s">
        <v>9015</v>
      </c>
      <c r="J93" s="89" t="s">
        <v>7514</v>
      </c>
      <c r="K93" s="475" t="s">
        <v>9052</v>
      </c>
    </row>
    <row r="94" spans="1:11" x14ac:dyDescent="0.3">
      <c r="A94" s="441" t="s">
        <v>4446</v>
      </c>
      <c r="B94" s="442" t="str">
        <f t="shared" si="5"/>
        <v>Comprehensive Module</v>
      </c>
      <c r="C94" s="441" t="s">
        <v>2885</v>
      </c>
      <c r="D94" s="489" t="s">
        <v>8109</v>
      </c>
      <c r="E94" s="489" t="s">
        <v>8533</v>
      </c>
      <c r="F94" s="490" t="s">
        <v>7585</v>
      </c>
      <c r="G94" t="s">
        <v>9148</v>
      </c>
      <c r="H94" s="89" t="s">
        <v>6859</v>
      </c>
      <c r="I94" s="89" t="s">
        <v>6151</v>
      </c>
      <c r="J94" s="89" t="s">
        <v>7224</v>
      </c>
      <c r="K94" s="475" t="s">
        <v>5707</v>
      </c>
    </row>
    <row r="95" spans="1:11" ht="57.6" x14ac:dyDescent="0.3">
      <c r="A95" s="441" t="s">
        <v>4447</v>
      </c>
      <c r="B95" s="442" t="str">
        <f t="shared" si="5"/>
        <v>· C1 - Strategy: Business Model and Sustainability – Related Initiatives</v>
      </c>
      <c r="C95" s="441" t="s">
        <v>3688</v>
      </c>
      <c r="D95" s="489" t="s">
        <v>8110</v>
      </c>
      <c r="E95" s="489" t="s">
        <v>8961</v>
      </c>
      <c r="F95" s="490" t="s">
        <v>7639</v>
      </c>
      <c r="G95" t="s">
        <v>9149</v>
      </c>
      <c r="H95" s="89" t="s">
        <v>8989</v>
      </c>
      <c r="I95" s="89" t="s">
        <v>9016</v>
      </c>
      <c r="J95" s="89" t="s">
        <v>7225</v>
      </c>
      <c r="K95" s="475" t="s">
        <v>6502</v>
      </c>
    </row>
    <row r="96" spans="1:11" ht="43.2" x14ac:dyDescent="0.3">
      <c r="A96" s="441" t="s">
        <v>4448</v>
      </c>
      <c r="B96" s="442" t="str">
        <f t="shared" si="5"/>
        <v>· C2 - Description of practices, policies and future initiatives for transitioning towards a more sustainable economy</v>
      </c>
      <c r="C96" s="441" t="s">
        <v>3689</v>
      </c>
      <c r="D96" s="489" t="s">
        <v>8111</v>
      </c>
      <c r="E96" s="489" t="s">
        <v>8962</v>
      </c>
      <c r="F96" s="490" t="s">
        <v>7640</v>
      </c>
      <c r="G96" t="s">
        <v>9150</v>
      </c>
      <c r="H96" s="89" t="s">
        <v>8990</v>
      </c>
      <c r="I96" s="89" t="s">
        <v>9017</v>
      </c>
      <c r="J96" s="89" t="s">
        <v>5836</v>
      </c>
      <c r="K96" s="475" t="s">
        <v>6784</v>
      </c>
    </row>
    <row r="97" spans="1:11" ht="28.8" x14ac:dyDescent="0.3">
      <c r="A97" s="441" t="s">
        <v>4449</v>
      </c>
      <c r="B97" s="442" t="str">
        <f t="shared" si="5"/>
        <v>· C3 - GHG reduction targets and climate transition</v>
      </c>
      <c r="C97" s="441" t="s">
        <v>3695</v>
      </c>
      <c r="D97" s="489" t="s">
        <v>8112</v>
      </c>
      <c r="E97" s="489" t="s">
        <v>8963</v>
      </c>
      <c r="F97" s="490" t="s">
        <v>7641</v>
      </c>
      <c r="G97" t="s">
        <v>9151</v>
      </c>
      <c r="H97" s="89" t="s">
        <v>8991</v>
      </c>
      <c r="I97" s="89" t="s">
        <v>9018</v>
      </c>
      <c r="J97" s="89" t="s">
        <v>7226</v>
      </c>
      <c r="K97" s="475" t="s">
        <v>6561</v>
      </c>
    </row>
    <row r="98" spans="1:11" x14ac:dyDescent="0.3">
      <c r="A98" s="441" t="s">
        <v>4450</v>
      </c>
      <c r="B98" s="442" t="str">
        <f t="shared" si="5"/>
        <v>GHG reduction targets (in tC02e)</v>
      </c>
      <c r="C98" s="441" t="s">
        <v>4398</v>
      </c>
      <c r="D98" s="489" t="s">
        <v>8113</v>
      </c>
      <c r="E98" s="474" t="s">
        <v>8580</v>
      </c>
      <c r="F98" s="490" t="s">
        <v>7642</v>
      </c>
      <c r="G98" t="s">
        <v>9152</v>
      </c>
      <c r="H98" s="89" t="s">
        <v>6860</v>
      </c>
      <c r="I98" s="89" t="s">
        <v>6182</v>
      </c>
      <c r="J98" s="89" t="s">
        <v>7279</v>
      </c>
      <c r="K98" s="475" t="s">
        <v>6562</v>
      </c>
    </row>
    <row r="99" spans="1:11" ht="28.8" x14ac:dyDescent="0.3">
      <c r="A99" s="441" t="s">
        <v>4451</v>
      </c>
      <c r="B99" s="442" t="str">
        <f t="shared" si="5"/>
        <v>Disclosure of list of main actions the entity seeks in order  to achieve its targets</v>
      </c>
      <c r="C99" s="441" t="s">
        <v>4399</v>
      </c>
      <c r="D99" s="489" t="s">
        <v>8114</v>
      </c>
      <c r="E99" s="489" t="s">
        <v>8581</v>
      </c>
      <c r="F99" s="490" t="s">
        <v>7643</v>
      </c>
      <c r="G99" t="s">
        <v>9153</v>
      </c>
      <c r="H99" s="89" t="s">
        <v>6861</v>
      </c>
      <c r="I99" s="89" t="s">
        <v>6183</v>
      </c>
      <c r="J99" s="89" t="s">
        <v>7227</v>
      </c>
      <c r="K99" s="475" t="s">
        <v>6563</v>
      </c>
    </row>
    <row r="100" spans="1:11" ht="28.8" x14ac:dyDescent="0.3">
      <c r="A100" s="441" t="s">
        <v>4452</v>
      </c>
      <c r="B100" s="442" t="str">
        <f t="shared" si="5"/>
        <v>Transition plan for undertakings operating in high climate impact sectors</v>
      </c>
      <c r="C100" s="441" t="s">
        <v>4400</v>
      </c>
      <c r="D100" s="489" t="s">
        <v>8115</v>
      </c>
      <c r="E100" s="489" t="s">
        <v>8582</v>
      </c>
      <c r="F100" s="490" t="s">
        <v>7644</v>
      </c>
      <c r="G100" t="s">
        <v>9154</v>
      </c>
      <c r="H100" s="89" t="s">
        <v>6862</v>
      </c>
      <c r="I100" s="89" t="s">
        <v>6184</v>
      </c>
      <c r="J100" s="89" t="s">
        <v>5837</v>
      </c>
      <c r="K100" s="475" t="s">
        <v>6564</v>
      </c>
    </row>
    <row r="101" spans="1:11" x14ac:dyDescent="0.3">
      <c r="A101" s="441" t="s">
        <v>4453</v>
      </c>
      <c r="B101" s="442" t="str">
        <f t="shared" si="5"/>
        <v>· C4 - Climate risks</v>
      </c>
      <c r="C101" s="441" t="s">
        <v>3696</v>
      </c>
      <c r="D101" s="489" t="s">
        <v>8116</v>
      </c>
      <c r="E101" s="489" t="s">
        <v>8964</v>
      </c>
      <c r="F101" s="490" t="s">
        <v>7645</v>
      </c>
      <c r="G101" t="s">
        <v>9155</v>
      </c>
      <c r="H101" s="89" t="s">
        <v>8992</v>
      </c>
      <c r="I101" s="89" t="s">
        <v>9019</v>
      </c>
      <c r="J101" s="89" t="s">
        <v>7513</v>
      </c>
      <c r="K101" s="475" t="s">
        <v>5723</v>
      </c>
    </row>
    <row r="102" spans="1:11" ht="28.8" x14ac:dyDescent="0.3">
      <c r="A102" s="441" t="s">
        <v>4454</v>
      </c>
      <c r="B102" s="442" t="str">
        <f t="shared" si="5"/>
        <v>· C5 - Additional (general) workforce characteristics</v>
      </c>
      <c r="C102" s="441" t="s">
        <v>3699</v>
      </c>
      <c r="D102" s="489" t="s">
        <v>8117</v>
      </c>
      <c r="E102" s="489" t="s">
        <v>8965</v>
      </c>
      <c r="F102" s="490" t="s">
        <v>7646</v>
      </c>
      <c r="G102" t="s">
        <v>9156</v>
      </c>
      <c r="H102" s="89" t="s">
        <v>6863</v>
      </c>
      <c r="I102" s="89" t="s">
        <v>9020</v>
      </c>
      <c r="J102" s="89" t="s">
        <v>7229</v>
      </c>
      <c r="K102" s="475" t="s">
        <v>9053</v>
      </c>
    </row>
    <row r="103" spans="1:11" ht="43.2" x14ac:dyDescent="0.3">
      <c r="A103" s="441" t="s">
        <v>4455</v>
      </c>
      <c r="B103" s="442" t="str">
        <f t="shared" si="5"/>
        <v>· C6 - Additional own workforce information - Human rights policies and processes</v>
      </c>
      <c r="C103" s="441" t="s">
        <v>3700</v>
      </c>
      <c r="D103" s="489" t="s">
        <v>8118</v>
      </c>
      <c r="E103" s="489" t="s">
        <v>8966</v>
      </c>
      <c r="F103" s="490" t="s">
        <v>7647</v>
      </c>
      <c r="G103" t="s">
        <v>9157</v>
      </c>
      <c r="H103" s="89" t="s">
        <v>8993</v>
      </c>
      <c r="I103" s="89" t="s">
        <v>9021</v>
      </c>
      <c r="J103" s="89" t="s">
        <v>7230</v>
      </c>
      <c r="K103" s="475" t="s">
        <v>9054</v>
      </c>
    </row>
    <row r="104" spans="1:11" ht="28.8" x14ac:dyDescent="0.3">
      <c r="A104" s="441" t="s">
        <v>4456</v>
      </c>
      <c r="B104" s="442" t="str">
        <f t="shared" si="5"/>
        <v>· C7 - Severe negative human rights incidents</v>
      </c>
      <c r="C104" s="441" t="s">
        <v>3701</v>
      </c>
      <c r="D104" s="489" t="s">
        <v>8119</v>
      </c>
      <c r="E104" s="489" t="s">
        <v>8967</v>
      </c>
      <c r="F104" s="490" t="s">
        <v>7648</v>
      </c>
      <c r="G104" t="s">
        <v>9158</v>
      </c>
      <c r="H104" s="89" t="s">
        <v>8994</v>
      </c>
      <c r="I104" s="89" t="s">
        <v>9022</v>
      </c>
      <c r="J104" s="89" t="s">
        <v>7231</v>
      </c>
      <c r="K104" s="475" t="s">
        <v>6567</v>
      </c>
    </row>
    <row r="105" spans="1:11" ht="28.8" x14ac:dyDescent="0.3">
      <c r="A105" s="441" t="s">
        <v>4457</v>
      </c>
      <c r="B105" s="442" t="str">
        <f t="shared" si="5"/>
        <v>· C8 - Revenues from certain activities and exclusion from EU reference benchmarks</v>
      </c>
      <c r="C105" s="441" t="s">
        <v>6461</v>
      </c>
      <c r="D105" s="489" t="s">
        <v>8120</v>
      </c>
      <c r="E105" s="489" t="s">
        <v>8968</v>
      </c>
      <c r="F105" s="490" t="s">
        <v>7649</v>
      </c>
      <c r="G105" t="s">
        <v>9159</v>
      </c>
      <c r="H105" s="89" t="s">
        <v>8995</v>
      </c>
      <c r="I105" s="89" t="s">
        <v>9023</v>
      </c>
      <c r="J105" s="89" t="s">
        <v>7537</v>
      </c>
      <c r="K105" s="475" t="s">
        <v>9055</v>
      </c>
    </row>
    <row r="106" spans="1:11" x14ac:dyDescent="0.3">
      <c r="A106" s="441" t="s">
        <v>4458</v>
      </c>
      <c r="B106" s="442" t="str">
        <f t="shared" si="5"/>
        <v>Revenues from certain activities</v>
      </c>
      <c r="C106" s="441" t="s">
        <v>6462</v>
      </c>
      <c r="D106" s="489" t="s">
        <v>8121</v>
      </c>
      <c r="E106" s="489" t="s">
        <v>8586</v>
      </c>
      <c r="F106" s="490" t="s">
        <v>7650</v>
      </c>
      <c r="G106" t="s">
        <v>9160</v>
      </c>
      <c r="H106" t="s">
        <v>7169</v>
      </c>
      <c r="I106" s="89" t="s">
        <v>6188</v>
      </c>
      <c r="J106" s="89" t="s">
        <v>7536</v>
      </c>
      <c r="K106" s="475" t="s">
        <v>6798</v>
      </c>
    </row>
    <row r="107" spans="1:11" x14ac:dyDescent="0.3">
      <c r="A107" s="441" t="s">
        <v>4459</v>
      </c>
      <c r="B107" s="442" t="str">
        <f t="shared" si="5"/>
        <v>Exclusion from EU reference benchmarks</v>
      </c>
      <c r="C107" s="441" t="s">
        <v>4401</v>
      </c>
      <c r="D107" s="489" t="s">
        <v>8122</v>
      </c>
      <c r="E107" s="489" t="s">
        <v>8587</v>
      </c>
      <c r="F107" s="490" t="s">
        <v>7651</v>
      </c>
      <c r="G107" t="s">
        <v>9161</v>
      </c>
      <c r="H107" s="89" t="s">
        <v>6864</v>
      </c>
      <c r="I107" s="89" t="s">
        <v>5921</v>
      </c>
      <c r="J107" s="89" t="s">
        <v>5838</v>
      </c>
      <c r="K107" s="475" t="s">
        <v>5724</v>
      </c>
    </row>
    <row r="108" spans="1:11" x14ac:dyDescent="0.3">
      <c r="A108" s="441" t="s">
        <v>4460</v>
      </c>
      <c r="B108" s="442" t="str">
        <f t="shared" si="5"/>
        <v>· C9 - Gender diversity ratio in the governance body</v>
      </c>
      <c r="C108" s="441" t="s">
        <v>3704</v>
      </c>
      <c r="D108" s="489" t="s">
        <v>8123</v>
      </c>
      <c r="E108" s="489" t="s">
        <v>8969</v>
      </c>
      <c r="F108" s="490" t="s">
        <v>7652</v>
      </c>
      <c r="G108" t="s">
        <v>9162</v>
      </c>
      <c r="H108" s="89" t="s">
        <v>8996</v>
      </c>
      <c r="I108" s="89" t="s">
        <v>9024</v>
      </c>
      <c r="J108" s="89" t="s">
        <v>5839</v>
      </c>
      <c r="K108" s="475" t="s">
        <v>9056</v>
      </c>
    </row>
    <row r="109" spans="1:11" x14ac:dyDescent="0.3">
      <c r="A109" s="441" t="s">
        <v>4461</v>
      </c>
      <c r="B109" s="442" t="str">
        <f t="shared" si="5"/>
        <v>Additional Disclosures</v>
      </c>
      <c r="C109" s="441" t="s">
        <v>3723</v>
      </c>
      <c r="D109" s="489" t="s">
        <v>8124</v>
      </c>
      <c r="E109" s="489" t="s">
        <v>8589</v>
      </c>
      <c r="F109" s="490" t="s">
        <v>7653</v>
      </c>
      <c r="G109" t="s">
        <v>9163</v>
      </c>
      <c r="H109" s="89" t="s">
        <v>6865</v>
      </c>
      <c r="I109" s="89" t="s">
        <v>6189</v>
      </c>
      <c r="J109" s="89" t="s">
        <v>7232</v>
      </c>
      <c r="K109" s="475" t="s">
        <v>5725</v>
      </c>
    </row>
    <row r="110" spans="1:11" ht="57.6" x14ac:dyDescent="0.3">
      <c r="A110" s="441" t="s">
        <v>4462</v>
      </c>
      <c r="B110" s="442" t="str">
        <f t="shared" si="5"/>
        <v>· Disclosure of any other general and/or entity specific information on the reporting period</v>
      </c>
      <c r="C110" s="441" t="s">
        <v>3690</v>
      </c>
      <c r="D110" s="489" t="s">
        <v>8125</v>
      </c>
      <c r="E110" s="489" t="s">
        <v>8970</v>
      </c>
      <c r="F110" s="490" t="s">
        <v>7654</v>
      </c>
      <c r="G110" t="s">
        <v>9164</v>
      </c>
      <c r="H110" s="89" t="s">
        <v>6866</v>
      </c>
      <c r="I110" s="89" t="s">
        <v>9025</v>
      </c>
      <c r="J110" s="89" t="s">
        <v>9038</v>
      </c>
      <c r="K110" s="475" t="s">
        <v>9057</v>
      </c>
    </row>
    <row r="111" spans="1:11" ht="28.8" x14ac:dyDescent="0.3">
      <c r="A111" s="441" t="s">
        <v>4463</v>
      </c>
      <c r="B111" s="442" t="str">
        <f t="shared" si="5"/>
        <v>· Disclosure of any other environmental and/or entity specific environmental disclosures</v>
      </c>
      <c r="C111" s="441" t="s">
        <v>4402</v>
      </c>
      <c r="D111" s="489" t="s">
        <v>8126</v>
      </c>
      <c r="E111" s="489" t="s">
        <v>8971</v>
      </c>
      <c r="F111" s="490" t="s">
        <v>7655</v>
      </c>
      <c r="G111" t="s">
        <v>9165</v>
      </c>
      <c r="H111" s="89" t="s">
        <v>6867</v>
      </c>
      <c r="I111" s="89" t="s">
        <v>9026</v>
      </c>
      <c r="J111" s="89" t="s">
        <v>9039</v>
      </c>
      <c r="K111" s="475" t="s">
        <v>9058</v>
      </c>
    </row>
    <row r="112" spans="1:11" ht="28.8" x14ac:dyDescent="0.3">
      <c r="A112" s="441" t="s">
        <v>4464</v>
      </c>
      <c r="B112" s="442" t="str">
        <f t="shared" si="5"/>
        <v>· Disclosure of any other social and/or entity specific social disclosures</v>
      </c>
      <c r="C112" s="441" t="s">
        <v>3702</v>
      </c>
      <c r="D112" s="489" t="s">
        <v>8127</v>
      </c>
      <c r="E112" s="489" t="s">
        <v>8972</v>
      </c>
      <c r="F112" s="490" t="s">
        <v>7656</v>
      </c>
      <c r="G112" t="s">
        <v>9166</v>
      </c>
      <c r="H112" s="89" t="s">
        <v>6868</v>
      </c>
      <c r="I112" s="89" t="s">
        <v>9027</v>
      </c>
      <c r="J112" s="89" t="s">
        <v>9040</v>
      </c>
      <c r="K112" s="475" t="s">
        <v>9059</v>
      </c>
    </row>
    <row r="113" spans="1:11" s="12" customFormat="1" ht="29.4" thickBot="1" x14ac:dyDescent="0.35">
      <c r="A113" s="453" t="s">
        <v>4465</v>
      </c>
      <c r="B113" s="476" t="str">
        <f t="shared" si="5"/>
        <v>· Disclosure of any other governance and/or entity specific governance disclosures</v>
      </c>
      <c r="C113" s="453" t="s">
        <v>3705</v>
      </c>
      <c r="D113" s="497" t="s">
        <v>8128</v>
      </c>
      <c r="E113" s="497" t="s">
        <v>8973</v>
      </c>
      <c r="F113" s="491" t="s">
        <v>7657</v>
      </c>
      <c r="G113" s="12" t="s">
        <v>9167</v>
      </c>
      <c r="H113" s="443" t="s">
        <v>6869</v>
      </c>
      <c r="I113" s="443" t="s">
        <v>9028</v>
      </c>
      <c r="J113" s="443" t="s">
        <v>9041</v>
      </c>
      <c r="K113" s="495" t="s">
        <v>6504</v>
      </c>
    </row>
    <row r="114" spans="1:11" x14ac:dyDescent="0.3">
      <c r="A114" t="s">
        <v>4077</v>
      </c>
      <c r="B114" s="442" t="str">
        <f t="shared" si="5"/>
        <v>Paragraph Reference</v>
      </c>
      <c r="C114" t="s">
        <v>3729</v>
      </c>
      <c r="D114" s="489" t="s">
        <v>8129</v>
      </c>
      <c r="E114" s="489" t="s">
        <v>8593</v>
      </c>
      <c r="F114" s="490" t="s">
        <v>7658</v>
      </c>
      <c r="G114" t="s">
        <v>9168</v>
      </c>
      <c r="H114" s="89" t="s">
        <v>6000</v>
      </c>
      <c r="I114" s="89" t="s">
        <v>6191</v>
      </c>
      <c r="J114" s="89" t="s">
        <v>7233</v>
      </c>
      <c r="K114" s="475" t="s">
        <v>6569</v>
      </c>
    </row>
    <row r="115" spans="1:11" x14ac:dyDescent="0.3">
      <c r="A115" t="s">
        <v>4078</v>
      </c>
      <c r="B115" s="442" t="str">
        <f t="shared" si="5"/>
        <v>Paragraph Guidance Reference</v>
      </c>
      <c r="C115" t="s">
        <v>3728</v>
      </c>
      <c r="D115" s="489" t="s">
        <v>8130</v>
      </c>
      <c r="E115" s="489" t="s">
        <v>8594</v>
      </c>
      <c r="F115" s="490" t="s">
        <v>7659</v>
      </c>
      <c r="G115" t="s">
        <v>9169</v>
      </c>
      <c r="H115" s="89" t="s">
        <v>6870</v>
      </c>
      <c r="I115" s="89" t="s">
        <v>6192</v>
      </c>
      <c r="J115" s="89" t="s">
        <v>7234</v>
      </c>
      <c r="K115" s="475" t="s">
        <v>6480</v>
      </c>
    </row>
    <row r="116" spans="1:11" x14ac:dyDescent="0.3">
      <c r="A116" t="s">
        <v>4367</v>
      </c>
      <c r="B116" s="442" t="str">
        <f t="shared" si="5"/>
        <v>from</v>
      </c>
      <c r="C116" t="s">
        <v>4370</v>
      </c>
      <c r="D116" s="489" t="s">
        <v>8131</v>
      </c>
      <c r="E116" s="489" t="s">
        <v>8595</v>
      </c>
      <c r="F116" s="490" t="s">
        <v>7660</v>
      </c>
      <c r="G116" t="s">
        <v>8949</v>
      </c>
      <c r="H116" s="89" t="s">
        <v>6053</v>
      </c>
      <c r="I116" s="89" t="s">
        <v>5820</v>
      </c>
      <c r="J116" s="89" t="s">
        <v>4625</v>
      </c>
      <c r="K116" s="475" t="s">
        <v>4625</v>
      </c>
    </row>
    <row r="117" spans="1:11" x14ac:dyDescent="0.3">
      <c r="A117" t="s">
        <v>4368</v>
      </c>
      <c r="B117" s="442" t="str">
        <f t="shared" si="5"/>
        <v>to</v>
      </c>
      <c r="C117" t="s">
        <v>2930</v>
      </c>
      <c r="D117" s="489" t="s">
        <v>8132</v>
      </c>
      <c r="E117" s="489" t="s">
        <v>8596</v>
      </c>
      <c r="F117" s="490" t="s">
        <v>7661</v>
      </c>
      <c r="G117" t="s">
        <v>5696</v>
      </c>
      <c r="H117" s="89" t="s">
        <v>6001</v>
      </c>
      <c r="I117" s="89" t="s">
        <v>5689</v>
      </c>
      <c r="J117" s="89" t="s">
        <v>7235</v>
      </c>
      <c r="K117" s="475" t="s">
        <v>5696</v>
      </c>
    </row>
    <row r="118" spans="1:11" s="12" customFormat="1" ht="43.8" thickBot="1" x14ac:dyDescent="0.35">
      <c r="A118" s="12" t="s">
        <v>4369</v>
      </c>
      <c r="B118" s="476" t="str">
        <f t="shared" si="5"/>
        <v>at</v>
      </c>
      <c r="C118" s="12" t="s">
        <v>4371</v>
      </c>
      <c r="D118" s="497" t="s">
        <v>8133</v>
      </c>
      <c r="E118" s="497" t="s">
        <v>8597</v>
      </c>
      <c r="F118" s="491" t="s">
        <v>7662</v>
      </c>
      <c r="G118" s="12" t="s">
        <v>5696</v>
      </c>
      <c r="H118" s="443" t="s">
        <v>6871</v>
      </c>
      <c r="I118" s="443" t="s">
        <v>6193</v>
      </c>
      <c r="J118" s="443" t="s">
        <v>5840</v>
      </c>
      <c r="K118" s="495" t="s">
        <v>3949</v>
      </c>
    </row>
    <row r="119" spans="1:11" ht="43.2" x14ac:dyDescent="0.3">
      <c r="A119" t="s">
        <v>4079</v>
      </c>
      <c r="B119" s="442" t="str">
        <f t="shared" si="5"/>
        <v>[Always to be reported]</v>
      </c>
      <c r="C119" t="s">
        <v>3991</v>
      </c>
      <c r="D119" s="489" t="s">
        <v>8134</v>
      </c>
      <c r="E119" s="489" t="s">
        <v>8598</v>
      </c>
      <c r="F119" s="490" t="s">
        <v>7663</v>
      </c>
      <c r="G119" t="s">
        <v>9170</v>
      </c>
      <c r="H119" s="89" t="s">
        <v>6872</v>
      </c>
      <c r="I119" s="89" t="s">
        <v>5922</v>
      </c>
      <c r="J119" s="89" t="s">
        <v>7236</v>
      </c>
      <c r="K119" s="475" t="s">
        <v>6481</v>
      </c>
    </row>
    <row r="120" spans="1:11" x14ac:dyDescent="0.3">
      <c r="A120" t="s">
        <v>4080</v>
      </c>
      <c r="B120" s="442" t="str">
        <f t="shared" si="5"/>
        <v>[If applicable]</v>
      </c>
      <c r="C120" t="s">
        <v>3995</v>
      </c>
      <c r="D120" s="489" t="s">
        <v>8135</v>
      </c>
      <c r="E120" s="489" t="s">
        <v>8599</v>
      </c>
      <c r="F120" s="490" t="s">
        <v>7664</v>
      </c>
      <c r="G120" t="s">
        <v>9171</v>
      </c>
      <c r="H120" s="89" t="s">
        <v>6873</v>
      </c>
      <c r="I120" s="89" t="s">
        <v>6194</v>
      </c>
      <c r="J120" s="89" t="s">
        <v>5841</v>
      </c>
      <c r="K120" s="475" t="s">
        <v>6570</v>
      </c>
    </row>
    <row r="121" spans="1:11" x14ac:dyDescent="0.3">
      <c r="A121" t="s">
        <v>4081</v>
      </c>
      <c r="B121" s="442" t="str">
        <f t="shared" si="5"/>
        <v>[May (optional)]</v>
      </c>
      <c r="C121" t="s">
        <v>3996</v>
      </c>
      <c r="D121" s="489" t="s">
        <v>8136</v>
      </c>
      <c r="E121" s="489" t="s">
        <v>8600</v>
      </c>
      <c r="F121" s="490" t="s">
        <v>7665</v>
      </c>
      <c r="G121" t="s">
        <v>9172</v>
      </c>
      <c r="H121" s="89" t="s">
        <v>6874</v>
      </c>
      <c r="I121" s="89" t="s">
        <v>5923</v>
      </c>
      <c r="J121" s="89" t="s">
        <v>7237</v>
      </c>
      <c r="K121" s="475" t="s">
        <v>6482</v>
      </c>
    </row>
    <row r="122" spans="1:11" x14ac:dyDescent="0.3">
      <c r="A122" t="s">
        <v>4377</v>
      </c>
      <c r="B122" s="442" t="str">
        <f t="shared" si="5"/>
        <v>May (optional)</v>
      </c>
      <c r="C122" t="s">
        <v>4376</v>
      </c>
      <c r="D122" s="489" t="s">
        <v>8137</v>
      </c>
      <c r="E122" s="489" t="s">
        <v>8601</v>
      </c>
      <c r="F122" s="490" t="s">
        <v>7666</v>
      </c>
      <c r="G122" t="s">
        <v>9173</v>
      </c>
      <c r="H122" s="89" t="s">
        <v>6875</v>
      </c>
      <c r="I122" s="89" t="s">
        <v>5924</v>
      </c>
      <c r="J122" s="89" t="s">
        <v>7237</v>
      </c>
      <c r="K122" s="475" t="s">
        <v>6483</v>
      </c>
    </row>
    <row r="123" spans="1:11" x14ac:dyDescent="0.3">
      <c r="A123" t="s">
        <v>4082</v>
      </c>
      <c r="B123" s="442" t="str">
        <f t="shared" si="5"/>
        <v>[Always to be reported + If applicable]</v>
      </c>
      <c r="C123" t="s">
        <v>3998</v>
      </c>
      <c r="D123" s="489" t="s">
        <v>8138</v>
      </c>
      <c r="E123" s="489" t="s">
        <v>8602</v>
      </c>
      <c r="F123" s="490" t="s">
        <v>7667</v>
      </c>
      <c r="G123" t="s">
        <v>9174</v>
      </c>
      <c r="H123" s="89" t="s">
        <v>6876</v>
      </c>
      <c r="I123" s="89" t="s">
        <v>6195</v>
      </c>
      <c r="J123" s="89" t="s">
        <v>7238</v>
      </c>
      <c r="K123" s="475" t="s">
        <v>6571</v>
      </c>
    </row>
    <row r="124" spans="1:11" x14ac:dyDescent="0.3">
      <c r="A124" t="s">
        <v>4365</v>
      </c>
      <c r="B124" s="442" t="str">
        <f t="shared" si="5"/>
        <v>[If applicable linked with B2]</v>
      </c>
      <c r="C124" t="s">
        <v>4364</v>
      </c>
      <c r="D124" s="489" t="s">
        <v>8139</v>
      </c>
      <c r="E124" s="489" t="s">
        <v>8603</v>
      </c>
      <c r="F124" s="490" t="s">
        <v>7668</v>
      </c>
      <c r="G124" t="s">
        <v>9175</v>
      </c>
      <c r="H124" s="89" t="s">
        <v>6877</v>
      </c>
      <c r="I124" s="89" t="s">
        <v>6196</v>
      </c>
      <c r="J124" s="89" t="s">
        <v>7239</v>
      </c>
      <c r="K124" s="475" t="s">
        <v>5726</v>
      </c>
    </row>
    <row r="125" spans="1:11" s="12" customFormat="1" ht="58.2" thickBot="1" x14ac:dyDescent="0.35">
      <c r="A125" s="12" t="s">
        <v>4506</v>
      </c>
      <c r="B125" s="476" t="str">
        <f t="shared" si="5"/>
        <v>amount in</v>
      </c>
      <c r="C125" s="12" t="s">
        <v>4507</v>
      </c>
      <c r="D125" s="497" t="s">
        <v>8140</v>
      </c>
      <c r="E125" s="497" t="s">
        <v>8604</v>
      </c>
      <c r="F125" s="491" t="s">
        <v>7669</v>
      </c>
      <c r="G125" s="12" t="s">
        <v>9176</v>
      </c>
      <c r="H125" s="443" t="s">
        <v>6878</v>
      </c>
      <c r="I125" s="443" t="s">
        <v>5925</v>
      </c>
      <c r="J125" s="443" t="s">
        <v>7240</v>
      </c>
      <c r="K125" s="495" t="s">
        <v>6572</v>
      </c>
    </row>
    <row r="126" spans="1:11" x14ac:dyDescent="0.3">
      <c r="A126" t="s">
        <v>4083</v>
      </c>
      <c r="B126" s="442" t="str">
        <f t="shared" si="5"/>
        <v>Information on the report necessary for  XBRL</v>
      </c>
      <c r="C126" t="s">
        <v>3990</v>
      </c>
      <c r="D126" s="489" t="s">
        <v>8141</v>
      </c>
      <c r="E126" s="489" t="s">
        <v>8605</v>
      </c>
      <c r="F126" s="490" t="s">
        <v>7670</v>
      </c>
      <c r="G126" t="s">
        <v>9177</v>
      </c>
      <c r="H126" s="89" t="s">
        <v>6879</v>
      </c>
      <c r="I126" s="89" t="s">
        <v>6197</v>
      </c>
      <c r="J126" s="89" t="s">
        <v>7204</v>
      </c>
      <c r="K126" s="475" t="s">
        <v>6573</v>
      </c>
    </row>
    <row r="127" spans="1:11" ht="28.8" x14ac:dyDescent="0.3">
      <c r="A127" t="s">
        <v>4084</v>
      </c>
      <c r="B127" s="442" t="str">
        <f t="shared" si="5"/>
        <v>Name of the reporting entity</v>
      </c>
      <c r="C127" t="s">
        <v>0</v>
      </c>
      <c r="D127" s="489" t="s">
        <v>8142</v>
      </c>
      <c r="E127" s="489" t="s">
        <v>8606</v>
      </c>
      <c r="F127" s="490" t="s">
        <v>7671</v>
      </c>
      <c r="G127" t="s">
        <v>9178</v>
      </c>
      <c r="H127" s="89" t="s">
        <v>6880</v>
      </c>
      <c r="I127" s="89" t="s">
        <v>6198</v>
      </c>
      <c r="J127" s="89" t="s">
        <v>7241</v>
      </c>
      <c r="K127" s="475" t="s">
        <v>5727</v>
      </c>
    </row>
    <row r="128" spans="1:11" ht="28.8" x14ac:dyDescent="0.3">
      <c r="A128" t="s">
        <v>4085</v>
      </c>
      <c r="B128" s="442" t="str">
        <f t="shared" si="5"/>
        <v>Identifier of the reporting entity (select and specify on the right)</v>
      </c>
      <c r="C128" t="s">
        <v>3684</v>
      </c>
      <c r="D128" s="489" t="s">
        <v>8143</v>
      </c>
      <c r="E128" s="489" t="s">
        <v>8607</v>
      </c>
      <c r="F128" s="490" t="s">
        <v>7672</v>
      </c>
      <c r="G128" t="s">
        <v>9179</v>
      </c>
      <c r="H128" s="89" t="s">
        <v>6881</v>
      </c>
      <c r="I128" s="89" t="s">
        <v>6199</v>
      </c>
      <c r="J128" s="89" t="s">
        <v>7242</v>
      </c>
      <c r="K128" s="475" t="s">
        <v>6574</v>
      </c>
    </row>
    <row r="129" spans="1:11" x14ac:dyDescent="0.3">
      <c r="A129" t="s">
        <v>4086</v>
      </c>
      <c r="B129" s="442" t="str">
        <f t="shared" si="5"/>
        <v>Currency of the monetary values in the report</v>
      </c>
      <c r="C129" t="s">
        <v>3950</v>
      </c>
      <c r="D129" s="489" t="s">
        <v>8144</v>
      </c>
      <c r="E129" s="489" t="s">
        <v>8608</v>
      </c>
      <c r="F129" s="490" t="s">
        <v>7673</v>
      </c>
      <c r="G129" t="s">
        <v>9180</v>
      </c>
      <c r="H129" s="89" t="s">
        <v>6882</v>
      </c>
      <c r="I129" s="89" t="s">
        <v>6200</v>
      </c>
      <c r="J129" s="89" t="s">
        <v>7243</v>
      </c>
      <c r="K129" s="475" t="s">
        <v>6484</v>
      </c>
    </row>
    <row r="130" spans="1:11" x14ac:dyDescent="0.3">
      <c r="A130" t="s">
        <v>4087</v>
      </c>
      <c r="B130" s="442" t="str">
        <f t="shared" si="5"/>
        <v>Starting year</v>
      </c>
      <c r="C130" t="s">
        <v>3055</v>
      </c>
      <c r="D130" s="489" t="s">
        <v>8145</v>
      </c>
      <c r="E130" s="489" t="s">
        <v>8609</v>
      </c>
      <c r="F130" s="490" t="s">
        <v>7674</v>
      </c>
      <c r="G130" t="s">
        <v>9181</v>
      </c>
      <c r="H130" s="89" t="s">
        <v>6883</v>
      </c>
      <c r="I130" s="89" t="s">
        <v>5926</v>
      </c>
      <c r="J130" s="89" t="s">
        <v>7244</v>
      </c>
      <c r="K130" s="475" t="s">
        <v>5728</v>
      </c>
    </row>
    <row r="131" spans="1:11" x14ac:dyDescent="0.3">
      <c r="A131" t="s">
        <v>4088</v>
      </c>
      <c r="B131" s="442" t="str">
        <f t="shared" si="5"/>
        <v>Starting month</v>
      </c>
      <c r="C131" t="s">
        <v>3056</v>
      </c>
      <c r="D131" s="489" t="s">
        <v>8146</v>
      </c>
      <c r="E131" s="489" t="s">
        <v>8610</v>
      </c>
      <c r="F131" s="490" t="s">
        <v>7675</v>
      </c>
      <c r="G131" t="s">
        <v>9182</v>
      </c>
      <c r="H131" s="89" t="s">
        <v>6884</v>
      </c>
      <c r="I131" s="89" t="s">
        <v>6201</v>
      </c>
      <c r="J131" s="89" t="s">
        <v>7245</v>
      </c>
      <c r="K131" s="475" t="s">
        <v>5729</v>
      </c>
    </row>
    <row r="132" spans="1:11" x14ac:dyDescent="0.3">
      <c r="A132" t="s">
        <v>4089</v>
      </c>
      <c r="B132" s="442" t="str">
        <f t="shared" ref="B132:B195" si="6">INDEX(C132:K132,MATCH(template_selected_display_language,$C$3:$K$3,0))</f>
        <v>Starting day</v>
      </c>
      <c r="C132" t="s">
        <v>3057</v>
      </c>
      <c r="D132" s="489" t="s">
        <v>8147</v>
      </c>
      <c r="E132" s="489" t="s">
        <v>8611</v>
      </c>
      <c r="F132" s="490" t="s">
        <v>7676</v>
      </c>
      <c r="G132" t="s">
        <v>9183</v>
      </c>
      <c r="H132" s="89" t="s">
        <v>6885</v>
      </c>
      <c r="I132" s="89" t="s">
        <v>6202</v>
      </c>
      <c r="J132" s="89" t="s">
        <v>5842</v>
      </c>
      <c r="K132" s="475" t="s">
        <v>5730</v>
      </c>
    </row>
    <row r="133" spans="1:11" x14ac:dyDescent="0.3">
      <c r="A133" t="s">
        <v>4090</v>
      </c>
      <c r="B133" s="442" t="str">
        <f t="shared" si="6"/>
        <v>Reporting period start date (yyyy-mm-dd)</v>
      </c>
      <c r="C133" t="s">
        <v>4061</v>
      </c>
      <c r="D133" s="489" t="s">
        <v>8148</v>
      </c>
      <c r="E133" s="489" t="s">
        <v>8612</v>
      </c>
      <c r="F133" s="490" t="s">
        <v>7677</v>
      </c>
      <c r="G133" t="s">
        <v>9184</v>
      </c>
      <c r="H133" s="89" t="s">
        <v>6886</v>
      </c>
      <c r="I133" s="89" t="s">
        <v>5927</v>
      </c>
      <c r="J133" s="89" t="s">
        <v>5843</v>
      </c>
      <c r="K133" s="475" t="s">
        <v>6575</v>
      </c>
    </row>
    <row r="134" spans="1:11" ht="28.8" x14ac:dyDescent="0.3">
      <c r="A134" t="s">
        <v>4091</v>
      </c>
      <c r="B134" s="442" t="str">
        <f t="shared" si="6"/>
        <v>Ending year</v>
      </c>
      <c r="C134" t="s">
        <v>3058</v>
      </c>
      <c r="D134" s="489" t="s">
        <v>8149</v>
      </c>
      <c r="E134" s="489" t="s">
        <v>8613</v>
      </c>
      <c r="F134" s="490" t="s">
        <v>7678</v>
      </c>
      <c r="G134" t="s">
        <v>9185</v>
      </c>
      <c r="H134" s="89" t="s">
        <v>6887</v>
      </c>
      <c r="I134" s="89" t="s">
        <v>6203</v>
      </c>
      <c r="J134" s="89" t="s">
        <v>7246</v>
      </c>
      <c r="K134" s="475" t="s">
        <v>5731</v>
      </c>
    </row>
    <row r="135" spans="1:11" ht="28.8" x14ac:dyDescent="0.3">
      <c r="A135" t="s">
        <v>4092</v>
      </c>
      <c r="B135" s="442" t="str">
        <f t="shared" si="6"/>
        <v>Ending month</v>
      </c>
      <c r="C135" t="s">
        <v>3059</v>
      </c>
      <c r="D135" s="489" t="s">
        <v>8150</v>
      </c>
      <c r="E135" s="489" t="s">
        <v>8614</v>
      </c>
      <c r="F135" s="490" t="s">
        <v>7679</v>
      </c>
      <c r="G135" t="s">
        <v>9186</v>
      </c>
      <c r="H135" s="89" t="s">
        <v>6888</v>
      </c>
      <c r="I135" s="89" t="s">
        <v>6204</v>
      </c>
      <c r="J135" s="89" t="s">
        <v>5844</v>
      </c>
      <c r="K135" s="475" t="s">
        <v>5732</v>
      </c>
    </row>
    <row r="136" spans="1:11" x14ac:dyDescent="0.3">
      <c r="A136" t="s">
        <v>4093</v>
      </c>
      <c r="B136" s="442" t="str">
        <f t="shared" si="6"/>
        <v>Ending day</v>
      </c>
      <c r="C136" t="s">
        <v>3060</v>
      </c>
      <c r="D136" s="489" t="s">
        <v>8151</v>
      </c>
      <c r="E136" s="489" t="s">
        <v>8615</v>
      </c>
      <c r="F136" s="490" t="s">
        <v>7680</v>
      </c>
      <c r="G136" t="s">
        <v>9187</v>
      </c>
      <c r="H136" s="89" t="s">
        <v>6889</v>
      </c>
      <c r="I136" s="89" t="s">
        <v>6205</v>
      </c>
      <c r="J136" s="89" t="s">
        <v>5845</v>
      </c>
      <c r="K136" s="475" t="s">
        <v>6576</v>
      </c>
    </row>
    <row r="137" spans="1:11" s="12" customFormat="1" ht="15" thickBot="1" x14ac:dyDescent="0.35">
      <c r="A137" s="12" t="s">
        <v>4094</v>
      </c>
      <c r="B137" s="476" t="str">
        <f t="shared" si="6"/>
        <v>Reporting period end date  (yyyy-mm-dd)</v>
      </c>
      <c r="C137" s="12" t="s">
        <v>4062</v>
      </c>
      <c r="D137" s="497" t="s">
        <v>8152</v>
      </c>
      <c r="E137" s="497" t="s">
        <v>8616</v>
      </c>
      <c r="F137" s="491" t="s">
        <v>7681</v>
      </c>
      <c r="G137" s="12" t="s">
        <v>9188</v>
      </c>
      <c r="H137" s="443" t="s">
        <v>6890</v>
      </c>
      <c r="I137" s="443" t="s">
        <v>5928</v>
      </c>
      <c r="J137" s="443" t="s">
        <v>7247</v>
      </c>
      <c r="K137" s="495" t="s">
        <v>6577</v>
      </c>
    </row>
    <row r="138" spans="1:11" x14ac:dyDescent="0.3">
      <c r="A138" t="s">
        <v>4072</v>
      </c>
      <c r="B138" s="442" t="str">
        <f t="shared" si="6"/>
        <v>Information on previous reporting period</v>
      </c>
      <c r="C138" t="s">
        <v>2921</v>
      </c>
      <c r="D138" s="489" t="s">
        <v>8153</v>
      </c>
      <c r="E138" s="489" t="s">
        <v>8617</v>
      </c>
      <c r="F138" s="490" t="s">
        <v>7682</v>
      </c>
      <c r="G138" t="s">
        <v>9189</v>
      </c>
      <c r="H138" s="89" t="s">
        <v>6054</v>
      </c>
      <c r="I138" s="89" t="s">
        <v>6206</v>
      </c>
      <c r="J138" s="89" t="s">
        <v>7248</v>
      </c>
      <c r="K138" s="475" t="s">
        <v>6546</v>
      </c>
    </row>
    <row r="139" spans="1:11" ht="43.2" x14ac:dyDescent="0.3">
      <c r="A139" t="s">
        <v>4073</v>
      </c>
      <c r="B139" s="442" t="str">
        <f t="shared" si="6"/>
        <v>This report contains disclosures from the previous reporting period that remain unchanged</v>
      </c>
      <c r="C139" t="s">
        <v>2</v>
      </c>
      <c r="D139" s="489" t="s">
        <v>8154</v>
      </c>
      <c r="E139" s="489" t="s">
        <v>8618</v>
      </c>
      <c r="F139" s="490" t="s">
        <v>7683</v>
      </c>
      <c r="G139" t="s">
        <v>9190</v>
      </c>
      <c r="H139" s="89" t="s">
        <v>6891</v>
      </c>
      <c r="I139" s="89" t="s">
        <v>6207</v>
      </c>
      <c r="J139" s="89" t="s">
        <v>7249</v>
      </c>
      <c r="K139" s="475" t="s">
        <v>6578</v>
      </c>
    </row>
    <row r="140" spans="1:11" ht="28.8" x14ac:dyDescent="0.3">
      <c r="A140" t="s">
        <v>4074</v>
      </c>
      <c r="B140" s="442" t="str">
        <f t="shared" si="6"/>
        <v>List of disclosures for which no changes are reported compared to the previous period reporting</v>
      </c>
      <c r="C140" t="s">
        <v>3951</v>
      </c>
      <c r="D140" s="489" t="s">
        <v>8155</v>
      </c>
      <c r="E140" s="489" t="s">
        <v>8619</v>
      </c>
      <c r="F140" s="490" t="s">
        <v>7684</v>
      </c>
      <c r="G140" t="s">
        <v>9191</v>
      </c>
      <c r="H140" s="89" t="s">
        <v>6892</v>
      </c>
      <c r="I140" s="89" t="s">
        <v>6208</v>
      </c>
      <c r="J140" s="89" t="s">
        <v>7250</v>
      </c>
      <c r="K140" s="475" t="s">
        <v>6579</v>
      </c>
    </row>
    <row r="141" spans="1:11" s="12" customFormat="1" ht="29.4" thickBot="1" x14ac:dyDescent="0.35">
      <c r="A141" s="12" t="s">
        <v>4075</v>
      </c>
      <c r="B141" s="476" t="str">
        <f t="shared" si="6"/>
        <v>Link to previous report containing disclosures that remain unchanged</v>
      </c>
      <c r="C141" s="12" t="s">
        <v>2900</v>
      </c>
      <c r="D141" s="497" t="s">
        <v>8156</v>
      </c>
      <c r="E141" s="497" t="s">
        <v>8620</v>
      </c>
      <c r="F141" s="491" t="s">
        <v>7685</v>
      </c>
      <c r="G141" s="12" t="s">
        <v>9192</v>
      </c>
      <c r="H141" s="443" t="s">
        <v>6893</v>
      </c>
      <c r="I141" s="443" t="s">
        <v>6209</v>
      </c>
      <c r="J141" s="443" t="s">
        <v>7251</v>
      </c>
      <c r="K141" s="495" t="s">
        <v>5733</v>
      </c>
    </row>
    <row r="142" spans="1:11" ht="28.8" x14ac:dyDescent="0.3">
      <c r="A142" t="s">
        <v>4076</v>
      </c>
      <c r="B142" s="442" t="str">
        <f t="shared" si="6"/>
        <v>B1 - Basis for Preparation and other undertaking's general information</v>
      </c>
      <c r="C142" t="s">
        <v>3952</v>
      </c>
      <c r="D142" s="489" t="s">
        <v>8157</v>
      </c>
      <c r="E142" s="489" t="s">
        <v>8621</v>
      </c>
      <c r="F142" s="490" t="s">
        <v>7686</v>
      </c>
      <c r="G142" t="s">
        <v>9193</v>
      </c>
      <c r="H142" s="89" t="s">
        <v>6894</v>
      </c>
      <c r="I142" s="89" t="s">
        <v>6210</v>
      </c>
      <c r="J142" s="89" t="s">
        <v>7280</v>
      </c>
      <c r="K142" s="475" t="s">
        <v>6580</v>
      </c>
    </row>
    <row r="143" spans="1:11" ht="28.8" x14ac:dyDescent="0.3">
      <c r="A143" t="s">
        <v>4095</v>
      </c>
      <c r="B143" s="442" t="str">
        <f t="shared" si="6"/>
        <v>Basis for preparation (Basic Module Only or Basic &amp; Comprehensive Module)</v>
      </c>
      <c r="C143" t="s">
        <v>3046</v>
      </c>
      <c r="D143" s="489" t="s">
        <v>8158</v>
      </c>
      <c r="E143" s="489" t="s">
        <v>8622</v>
      </c>
      <c r="F143" s="490" t="s">
        <v>7687</v>
      </c>
      <c r="G143" t="s">
        <v>9194</v>
      </c>
      <c r="H143" s="89" t="s">
        <v>6895</v>
      </c>
      <c r="I143" s="89" t="s">
        <v>6211</v>
      </c>
      <c r="J143" s="89" t="s">
        <v>7252</v>
      </c>
      <c r="K143" s="475" t="s">
        <v>6581</v>
      </c>
    </row>
    <row r="144" spans="1:11" ht="28.8" x14ac:dyDescent="0.3">
      <c r="A144" t="s">
        <v>4096</v>
      </c>
      <c r="B144" s="442" t="str">
        <f t="shared" si="6"/>
        <v>List of omitted disclosures deemed to be classified or sensitive information</v>
      </c>
      <c r="C144" t="s">
        <v>3953</v>
      </c>
      <c r="D144" s="489" t="s">
        <v>8159</v>
      </c>
      <c r="E144" s="489" t="s">
        <v>8623</v>
      </c>
      <c r="F144" s="490" t="s">
        <v>7688</v>
      </c>
      <c r="G144" t="s">
        <v>9195</v>
      </c>
      <c r="H144" s="89" t="s">
        <v>6896</v>
      </c>
      <c r="I144" s="89" t="s">
        <v>6212</v>
      </c>
      <c r="J144" s="89" t="s">
        <v>7253</v>
      </c>
      <c r="K144" s="475" t="s">
        <v>6582</v>
      </c>
    </row>
    <row r="145" spans="1:11" ht="28.8" x14ac:dyDescent="0.3">
      <c r="A145" t="s">
        <v>4097</v>
      </c>
      <c r="B145" s="442" t="str">
        <f t="shared" si="6"/>
        <v>Basis for reporting (consolidated or individual basis)</v>
      </c>
      <c r="C145" t="s">
        <v>3093</v>
      </c>
      <c r="D145" s="489" t="s">
        <v>8160</v>
      </c>
      <c r="E145" s="489" t="s">
        <v>8624</v>
      </c>
      <c r="F145" s="490" t="s">
        <v>7689</v>
      </c>
      <c r="G145" t="s">
        <v>9196</v>
      </c>
      <c r="H145" s="89" t="s">
        <v>6897</v>
      </c>
      <c r="I145" s="89" t="s">
        <v>6213</v>
      </c>
      <c r="J145" s="89" t="s">
        <v>7254</v>
      </c>
      <c r="K145" s="475" t="s">
        <v>5734</v>
      </c>
    </row>
    <row r="146" spans="1:11" x14ac:dyDescent="0.3">
      <c r="A146" t="s">
        <v>4098</v>
      </c>
      <c r="B146" s="442" t="str">
        <f t="shared" si="6"/>
        <v>Undertakings legal form</v>
      </c>
      <c r="C146" t="s">
        <v>3</v>
      </c>
      <c r="D146" s="489" t="s">
        <v>8161</v>
      </c>
      <c r="E146" s="489" t="s">
        <v>8625</v>
      </c>
      <c r="F146" s="490" t="s">
        <v>7690</v>
      </c>
      <c r="G146" t="s">
        <v>9197</v>
      </c>
      <c r="H146" s="89" t="s">
        <v>6898</v>
      </c>
      <c r="I146" s="89" t="s">
        <v>6214</v>
      </c>
      <c r="J146" s="89" t="s">
        <v>7255</v>
      </c>
      <c r="K146" s="475" t="s">
        <v>6583</v>
      </c>
    </row>
    <row r="147" spans="1:11" x14ac:dyDescent="0.3">
      <c r="A147" t="s">
        <v>4099</v>
      </c>
      <c r="B147" s="442" t="str">
        <f t="shared" si="6"/>
        <v>Other undertaking's legal form specification</v>
      </c>
      <c r="C147" t="s">
        <v>3049</v>
      </c>
      <c r="D147" s="489" t="s">
        <v>8162</v>
      </c>
      <c r="E147" s="489" t="s">
        <v>8626</v>
      </c>
      <c r="F147" s="490" t="s">
        <v>7691</v>
      </c>
      <c r="G147" t="s">
        <v>9198</v>
      </c>
      <c r="H147" s="89" t="s">
        <v>6002</v>
      </c>
      <c r="I147" s="89" t="s">
        <v>6215</v>
      </c>
      <c r="J147" s="89" t="s">
        <v>7256</v>
      </c>
      <c r="K147" s="475" t="s">
        <v>5735</v>
      </c>
    </row>
    <row r="148" spans="1:11" x14ac:dyDescent="0.3">
      <c r="A148" t="s">
        <v>4100</v>
      </c>
      <c r="B148" s="442" t="str">
        <f t="shared" si="6"/>
        <v>NACE sector classification code(s)</v>
      </c>
      <c r="C148" t="s">
        <v>2758</v>
      </c>
      <c r="D148" s="489" t="s">
        <v>8163</v>
      </c>
      <c r="E148" s="498" t="s">
        <v>8627</v>
      </c>
      <c r="F148" s="490" t="s">
        <v>7692</v>
      </c>
      <c r="G148" t="s">
        <v>9199</v>
      </c>
      <c r="H148" s="89" t="s">
        <v>6899</v>
      </c>
      <c r="I148" s="89" t="s">
        <v>6216</v>
      </c>
      <c r="J148" s="89" t="s">
        <v>7257</v>
      </c>
      <c r="K148" s="475" t="s">
        <v>6584</v>
      </c>
    </row>
    <row r="149" spans="1:11" x14ac:dyDescent="0.3">
      <c r="A149" t="s">
        <v>4101</v>
      </c>
      <c r="B149" s="442" t="str">
        <f t="shared" si="6"/>
        <v>Size of balance sheet (total assets) in</v>
      </c>
      <c r="C149" t="s">
        <v>5670</v>
      </c>
      <c r="D149" s="489" t="s">
        <v>8164</v>
      </c>
      <c r="E149" s="498" t="s">
        <v>8628</v>
      </c>
      <c r="F149" s="490" t="s">
        <v>7693</v>
      </c>
      <c r="G149" t="s">
        <v>9200</v>
      </c>
      <c r="H149" s="89" t="s">
        <v>6900</v>
      </c>
      <c r="I149" s="89" t="s">
        <v>6217</v>
      </c>
      <c r="J149" s="89" t="s">
        <v>7258</v>
      </c>
      <c r="K149" s="475" t="s">
        <v>6585</v>
      </c>
    </row>
    <row r="150" spans="1:11" x14ac:dyDescent="0.3">
      <c r="A150" t="s">
        <v>4102</v>
      </c>
      <c r="B150" s="442" t="str">
        <f t="shared" si="6"/>
        <v>Turnover in</v>
      </c>
      <c r="C150" t="s">
        <v>3954</v>
      </c>
      <c r="D150" s="489" t="s">
        <v>8165</v>
      </c>
      <c r="E150" s="489" t="s">
        <v>8629</v>
      </c>
      <c r="F150" s="490" t="s">
        <v>7694</v>
      </c>
      <c r="G150" t="s">
        <v>9201</v>
      </c>
      <c r="H150" s="89" t="s">
        <v>6901</v>
      </c>
      <c r="I150" s="89" t="s">
        <v>6218</v>
      </c>
      <c r="J150" s="89" t="s">
        <v>5846</v>
      </c>
      <c r="K150" s="475" t="s">
        <v>5736</v>
      </c>
    </row>
    <row r="151" spans="1:11" x14ac:dyDescent="0.3">
      <c r="A151" t="s">
        <v>4103</v>
      </c>
      <c r="B151" s="442" t="str">
        <f t="shared" si="6"/>
        <v>Number of employees</v>
      </c>
      <c r="C151" t="s">
        <v>4</v>
      </c>
      <c r="D151" s="489" t="s">
        <v>8166</v>
      </c>
      <c r="E151" s="489" t="s">
        <v>8630</v>
      </c>
      <c r="F151" s="490" t="s">
        <v>7695</v>
      </c>
      <c r="G151" t="s">
        <v>9202</v>
      </c>
      <c r="H151" s="89" t="s">
        <v>6055</v>
      </c>
      <c r="I151" s="89" t="s">
        <v>6219</v>
      </c>
      <c r="J151" s="89" t="s">
        <v>7259</v>
      </c>
      <c r="K151" s="475" t="s">
        <v>6586</v>
      </c>
    </row>
    <row r="152" spans="1:11" ht="43.2" x14ac:dyDescent="0.3">
      <c r="A152" t="s">
        <v>4104</v>
      </c>
      <c r="B152" s="442" t="str">
        <f t="shared" si="6"/>
        <v>Employee counting methodology (At the end of reporting period or as an average during the reporting period)</v>
      </c>
      <c r="C152" t="s">
        <v>3097</v>
      </c>
      <c r="D152" s="489" t="s">
        <v>8167</v>
      </c>
      <c r="E152" s="489" t="s">
        <v>8631</v>
      </c>
      <c r="F152" s="490" t="s">
        <v>7696</v>
      </c>
      <c r="G152" t="s">
        <v>9203</v>
      </c>
      <c r="H152" s="89" t="s">
        <v>6902</v>
      </c>
      <c r="I152" s="89" t="s">
        <v>6220</v>
      </c>
      <c r="J152" s="89" t="s">
        <v>7260</v>
      </c>
      <c r="K152" s="475" t="s">
        <v>6505</v>
      </c>
    </row>
    <row r="153" spans="1:11" ht="28.8" x14ac:dyDescent="0.3">
      <c r="A153" t="s">
        <v>4105</v>
      </c>
      <c r="B153" s="442" t="str">
        <f t="shared" si="6"/>
        <v>Employee counting methodology (Headcount or Full-time equivalent)</v>
      </c>
      <c r="C153" t="s">
        <v>3098</v>
      </c>
      <c r="D153" s="489" t="s">
        <v>8168</v>
      </c>
      <c r="E153" s="489" t="s">
        <v>8632</v>
      </c>
      <c r="F153" s="490" t="s">
        <v>7697</v>
      </c>
      <c r="G153" t="s">
        <v>9204</v>
      </c>
      <c r="H153" s="89" t="s">
        <v>6903</v>
      </c>
      <c r="I153" s="89" t="s">
        <v>6221</v>
      </c>
      <c r="J153" s="89" t="s">
        <v>7261</v>
      </c>
      <c r="K153" s="475" t="s">
        <v>6506</v>
      </c>
    </row>
    <row r="154" spans="1:11" s="12" customFormat="1" ht="29.4" thickBot="1" x14ac:dyDescent="0.35">
      <c r="A154" s="12" t="s">
        <v>4106</v>
      </c>
      <c r="B154" s="476" t="str">
        <f t="shared" si="6"/>
        <v>Country of primary operations and location of significant asset(s)</v>
      </c>
      <c r="C154" s="12" t="s">
        <v>5</v>
      </c>
      <c r="D154" s="497" t="s">
        <v>8169</v>
      </c>
      <c r="E154" s="497" t="s">
        <v>8633</v>
      </c>
      <c r="F154" s="491" t="s">
        <v>7698</v>
      </c>
      <c r="G154" s="12" t="s">
        <v>9205</v>
      </c>
      <c r="H154" s="443" t="s">
        <v>6904</v>
      </c>
      <c r="I154" s="443" t="s">
        <v>6222</v>
      </c>
      <c r="J154" s="443" t="s">
        <v>7262</v>
      </c>
      <c r="K154" s="495" t="s">
        <v>6587</v>
      </c>
    </row>
    <row r="155" spans="1:11" x14ac:dyDescent="0.3">
      <c r="A155" t="s">
        <v>4107</v>
      </c>
      <c r="B155" s="442" t="str">
        <f t="shared" si="6"/>
        <v>B1 - List of subsidiaries</v>
      </c>
      <c r="C155" t="s">
        <v>4359</v>
      </c>
      <c r="D155" s="489" t="s">
        <v>8170</v>
      </c>
      <c r="E155" s="489" t="s">
        <v>8634</v>
      </c>
      <c r="F155" s="490" t="s">
        <v>7699</v>
      </c>
      <c r="G155" t="s">
        <v>9206</v>
      </c>
      <c r="H155" s="89" t="s">
        <v>6905</v>
      </c>
      <c r="I155" s="89" t="s">
        <v>6223</v>
      </c>
      <c r="J155" s="89" t="s">
        <v>5847</v>
      </c>
      <c r="K155" s="475" t="s">
        <v>5737</v>
      </c>
    </row>
    <row r="156" spans="1:11" x14ac:dyDescent="0.3">
      <c r="A156" t="s">
        <v>4108</v>
      </c>
      <c r="B156" s="442" t="str">
        <f t="shared" si="6"/>
        <v>ID</v>
      </c>
      <c r="C156" t="s">
        <v>6</v>
      </c>
      <c r="D156" s="489" t="s">
        <v>6</v>
      </c>
      <c r="E156" s="489" t="s">
        <v>6</v>
      </c>
      <c r="F156" s="490" t="s">
        <v>7700</v>
      </c>
      <c r="G156" t="s">
        <v>6</v>
      </c>
      <c r="H156" s="89" t="s">
        <v>6</v>
      </c>
      <c r="I156" s="89" t="s">
        <v>6</v>
      </c>
      <c r="J156" s="89" t="s">
        <v>6</v>
      </c>
      <c r="K156" s="475" t="s">
        <v>6</v>
      </c>
    </row>
    <row r="157" spans="1:11" x14ac:dyDescent="0.3">
      <c r="A157" t="s">
        <v>4109</v>
      </c>
      <c r="B157" s="442" t="str">
        <f t="shared" si="6"/>
        <v>Name</v>
      </c>
      <c r="C157" t="s">
        <v>7</v>
      </c>
      <c r="D157" s="489" t="s">
        <v>8171</v>
      </c>
      <c r="E157" s="489" t="s">
        <v>8635</v>
      </c>
      <c r="F157" s="490" t="s">
        <v>7</v>
      </c>
      <c r="G157" t="s">
        <v>5697</v>
      </c>
      <c r="H157" s="89" t="s">
        <v>6906</v>
      </c>
      <c r="I157" s="89" t="s">
        <v>6070</v>
      </c>
      <c r="J157" s="89" t="s">
        <v>5697</v>
      </c>
      <c r="K157" s="475" t="s">
        <v>5738</v>
      </c>
    </row>
    <row r="158" spans="1:11" s="12" customFormat="1" ht="29.4" thickBot="1" x14ac:dyDescent="0.35">
      <c r="A158" s="12" t="s">
        <v>4110</v>
      </c>
      <c r="B158" s="476" t="str">
        <f t="shared" si="6"/>
        <v>Registered Address</v>
      </c>
      <c r="C158" s="12" t="s">
        <v>3018</v>
      </c>
      <c r="D158" s="497" t="s">
        <v>8172</v>
      </c>
      <c r="E158" s="497" t="s">
        <v>8636</v>
      </c>
      <c r="F158" s="491" t="s">
        <v>7701</v>
      </c>
      <c r="G158" s="12" t="s">
        <v>9207</v>
      </c>
      <c r="H158" s="443" t="s">
        <v>6003</v>
      </c>
      <c r="I158" s="443" t="s">
        <v>6071</v>
      </c>
      <c r="J158" s="443" t="s">
        <v>7263</v>
      </c>
      <c r="K158" s="495" t="s">
        <v>6588</v>
      </c>
    </row>
    <row r="159" spans="1:11" ht="28.8" x14ac:dyDescent="0.3">
      <c r="A159" t="s">
        <v>4111</v>
      </c>
      <c r="B159" s="442" t="str">
        <f t="shared" si="6"/>
        <v>B1 - Disclosure of sustainability-related certification(s) or label(s)</v>
      </c>
      <c r="C159" t="s">
        <v>4360</v>
      </c>
      <c r="D159" s="489" t="s">
        <v>8173</v>
      </c>
      <c r="E159" s="489" t="s">
        <v>8637</v>
      </c>
      <c r="F159" s="490" t="s">
        <v>7702</v>
      </c>
      <c r="G159" t="s">
        <v>9208</v>
      </c>
      <c r="H159" s="89" t="s">
        <v>6907</v>
      </c>
      <c r="I159" s="89" t="s">
        <v>6224</v>
      </c>
      <c r="J159" s="89" t="s">
        <v>7264</v>
      </c>
      <c r="K159" s="475" t="s">
        <v>6589</v>
      </c>
    </row>
    <row r="160" spans="1:11" ht="28.8" x14ac:dyDescent="0.3">
      <c r="A160" t="s">
        <v>4112</v>
      </c>
      <c r="B160" s="442" t="str">
        <f t="shared" si="6"/>
        <v>Has the undertaking obtained any sustainability-related certification(s) or label(s) ?</v>
      </c>
      <c r="C160" t="s">
        <v>3092</v>
      </c>
      <c r="D160" s="489" t="s">
        <v>8174</v>
      </c>
      <c r="E160" s="489" t="s">
        <v>8638</v>
      </c>
      <c r="F160" s="490" t="s">
        <v>7703</v>
      </c>
      <c r="G160" t="s">
        <v>9209</v>
      </c>
      <c r="H160" s="89" t="s">
        <v>6908</v>
      </c>
      <c r="I160" s="89" t="s">
        <v>6225</v>
      </c>
      <c r="J160" s="89" t="s">
        <v>7265</v>
      </c>
      <c r="K160" s="475" t="s">
        <v>5739</v>
      </c>
    </row>
    <row r="161" spans="1:11" s="12" customFormat="1" ht="58.2" thickBot="1" x14ac:dyDescent="0.35">
      <c r="A161" s="12" t="s">
        <v>4113</v>
      </c>
      <c r="B161" s="476" t="str">
        <f t="shared" si="6"/>
        <v>Description of sustainability-related certification(s) or label(s) including where relevant the issuers of the certification or label date and rating score</v>
      </c>
      <c r="C161" s="12" t="s">
        <v>4030</v>
      </c>
      <c r="D161" s="497" t="s">
        <v>8175</v>
      </c>
      <c r="E161" s="497" t="s">
        <v>8639</v>
      </c>
      <c r="F161" s="491" t="s">
        <v>7704</v>
      </c>
      <c r="G161" s="12" t="s">
        <v>9210</v>
      </c>
      <c r="H161" s="443" t="s">
        <v>6909</v>
      </c>
      <c r="I161" s="443" t="s">
        <v>6226</v>
      </c>
      <c r="J161" s="443" t="s">
        <v>7266</v>
      </c>
      <c r="K161" s="495" t="s">
        <v>6590</v>
      </c>
    </row>
    <row r="162" spans="1:11" ht="28.8" x14ac:dyDescent="0.3">
      <c r="A162" t="s">
        <v>4114</v>
      </c>
      <c r="B162" s="442" t="str">
        <f t="shared" si="6"/>
        <v>B1 - List of site(s)</v>
      </c>
      <c r="C162" t="s">
        <v>4361</v>
      </c>
      <c r="D162" s="489" t="s">
        <v>8176</v>
      </c>
      <c r="E162" s="489" t="s">
        <v>8640</v>
      </c>
      <c r="F162" s="490" t="s">
        <v>7705</v>
      </c>
      <c r="G162" t="s">
        <v>9211</v>
      </c>
      <c r="H162" s="89" t="s">
        <v>6910</v>
      </c>
      <c r="I162" s="89" t="s">
        <v>6227</v>
      </c>
      <c r="J162" s="89" t="s">
        <v>7267</v>
      </c>
      <c r="K162" s="475" t="s">
        <v>6591</v>
      </c>
    </row>
    <row r="163" spans="1:11" x14ac:dyDescent="0.3">
      <c r="A163" t="s">
        <v>4115</v>
      </c>
      <c r="B163" s="442" t="str">
        <f t="shared" si="6"/>
        <v>Address</v>
      </c>
      <c r="C163" t="s">
        <v>8</v>
      </c>
      <c r="D163" s="489" t="s">
        <v>7706</v>
      </c>
      <c r="E163" s="489" t="s">
        <v>7706</v>
      </c>
      <c r="F163" s="490" t="s">
        <v>7706</v>
      </c>
      <c r="G163" t="s">
        <v>9212</v>
      </c>
      <c r="H163" s="89" t="s">
        <v>6004</v>
      </c>
      <c r="I163" s="89" t="s">
        <v>5693</v>
      </c>
      <c r="J163" s="89" t="s">
        <v>7268</v>
      </c>
      <c r="K163" s="475" t="s">
        <v>5740</v>
      </c>
    </row>
    <row r="164" spans="1:11" x14ac:dyDescent="0.3">
      <c r="A164" t="s">
        <v>4116</v>
      </c>
      <c r="B164" s="442" t="str">
        <f t="shared" si="6"/>
        <v>Postal code</v>
      </c>
      <c r="C164" t="s">
        <v>9</v>
      </c>
      <c r="D164" s="489" t="s">
        <v>8177</v>
      </c>
      <c r="E164" s="489" t="s">
        <v>8641</v>
      </c>
      <c r="F164" s="490" t="s">
        <v>7707</v>
      </c>
      <c r="G164" t="s">
        <v>9213</v>
      </c>
      <c r="H164" s="89" t="s">
        <v>6005</v>
      </c>
      <c r="I164" s="89" t="s">
        <v>5929</v>
      </c>
      <c r="J164" s="89" t="s">
        <v>5741</v>
      </c>
      <c r="K164" s="475" t="s">
        <v>5741</v>
      </c>
    </row>
    <row r="165" spans="1:11" ht="43.2" x14ac:dyDescent="0.3">
      <c r="A165" t="s">
        <v>4117</v>
      </c>
      <c r="B165" s="442" t="str">
        <f t="shared" si="6"/>
        <v>City</v>
      </c>
      <c r="C165" t="s">
        <v>10</v>
      </c>
      <c r="D165" s="489" t="s">
        <v>8178</v>
      </c>
      <c r="E165" s="489" t="s">
        <v>8642</v>
      </c>
      <c r="F165" s="490" t="s">
        <v>7708</v>
      </c>
      <c r="G165" t="s">
        <v>9214</v>
      </c>
      <c r="H165" s="89" t="s">
        <v>6911</v>
      </c>
      <c r="I165" s="89" t="s">
        <v>5930</v>
      </c>
      <c r="J165" s="89" t="s">
        <v>5848</v>
      </c>
      <c r="K165" s="475" t="s">
        <v>5742</v>
      </c>
    </row>
    <row r="166" spans="1:11" x14ac:dyDescent="0.3">
      <c r="A166" t="s">
        <v>4118</v>
      </c>
      <c r="B166" s="442" t="str">
        <f t="shared" si="6"/>
        <v>Country</v>
      </c>
      <c r="C166" t="s">
        <v>11</v>
      </c>
      <c r="D166" s="489" t="s">
        <v>7709</v>
      </c>
      <c r="E166" s="489" t="s">
        <v>8643</v>
      </c>
      <c r="F166" s="490" t="s">
        <v>7709</v>
      </c>
      <c r="G166" t="s">
        <v>9215</v>
      </c>
      <c r="H166" s="89" t="s">
        <v>6912</v>
      </c>
      <c r="I166" s="89" t="s">
        <v>5931</v>
      </c>
      <c r="J166" s="89" t="s">
        <v>5743</v>
      </c>
      <c r="K166" s="475" t="s">
        <v>5743</v>
      </c>
    </row>
    <row r="167" spans="1:11" x14ac:dyDescent="0.3">
      <c r="A167" t="s">
        <v>4119</v>
      </c>
      <c r="B167" s="442" t="str">
        <f t="shared" si="6"/>
        <v>GPS Coordinates (geolocation)</v>
      </c>
      <c r="C167" t="s">
        <v>2920</v>
      </c>
      <c r="D167" s="489" t="s">
        <v>8179</v>
      </c>
      <c r="E167" s="489" t="s">
        <v>8644</v>
      </c>
      <c r="F167" s="490" t="s">
        <v>7710</v>
      </c>
      <c r="G167" t="s">
        <v>9216</v>
      </c>
      <c r="H167" s="89" t="s">
        <v>6913</v>
      </c>
      <c r="I167" s="89" t="s">
        <v>6228</v>
      </c>
      <c r="J167" s="89" t="s">
        <v>5849</v>
      </c>
      <c r="K167" s="475" t="s">
        <v>5744</v>
      </c>
    </row>
    <row r="168" spans="1:11" s="12" customFormat="1" ht="13.95" customHeight="1" thickBot="1" x14ac:dyDescent="0.35">
      <c r="A168" s="12" t="s">
        <v>4120</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77" t="s">
        <v>4363</v>
      </c>
      <c r="D168" s="497" t="s">
        <v>8180</v>
      </c>
      <c r="E168" s="497" t="s">
        <v>8645</v>
      </c>
      <c r="F168" s="491" t="s">
        <v>7711</v>
      </c>
      <c r="G168" s="12" t="s">
        <v>9217</v>
      </c>
      <c r="H168" s="443" t="s">
        <v>6914</v>
      </c>
      <c r="I168" s="443" t="s">
        <v>6229</v>
      </c>
      <c r="J168" s="443" t="s">
        <v>7269</v>
      </c>
      <c r="K168" s="495" t="s">
        <v>6592</v>
      </c>
    </row>
    <row r="169" spans="1:11" ht="28.8" x14ac:dyDescent="0.3">
      <c r="A169" t="s">
        <v>4121</v>
      </c>
      <c r="B169" s="442" t="str">
        <f t="shared" si="6"/>
        <v>B2 – Practices policies and future initiatives for transitioning towards a more sustainable economy</v>
      </c>
      <c r="C169" t="s">
        <v>4031</v>
      </c>
      <c r="D169" s="489" t="s">
        <v>8181</v>
      </c>
      <c r="E169" s="489" t="s">
        <v>8556</v>
      </c>
      <c r="F169" s="490" t="s">
        <v>7712</v>
      </c>
      <c r="G169" t="s">
        <v>9218</v>
      </c>
      <c r="H169" s="89" t="s">
        <v>6915</v>
      </c>
      <c r="I169" s="89" t="s">
        <v>5932</v>
      </c>
      <c r="J169" s="89" t="s">
        <v>7210</v>
      </c>
      <c r="K169" s="475" t="s">
        <v>5745</v>
      </c>
    </row>
    <row r="170" spans="1:11" ht="43.2" x14ac:dyDescent="0.3">
      <c r="A170" t="s">
        <v>4122</v>
      </c>
      <c r="B170" s="442" t="str">
        <f t="shared" si="6"/>
        <v>Has the undertaking put in place specific practices policies and or future initiatives for transitioning towards a more sustainable economy?</v>
      </c>
      <c r="C170" t="s">
        <v>4053</v>
      </c>
      <c r="D170" s="489" t="s">
        <v>8182</v>
      </c>
      <c r="E170" s="489" t="s">
        <v>8646</v>
      </c>
      <c r="F170" s="490" t="s">
        <v>7713</v>
      </c>
      <c r="G170" t="s">
        <v>9219</v>
      </c>
      <c r="H170" s="89" t="s">
        <v>6916</v>
      </c>
      <c r="I170" s="89" t="s">
        <v>6230</v>
      </c>
      <c r="J170" s="89" t="s">
        <v>7270</v>
      </c>
      <c r="K170" s="475" t="s">
        <v>6593</v>
      </c>
    </row>
    <row r="171" spans="1:11" ht="43.2" x14ac:dyDescent="0.3">
      <c r="A171" t="s">
        <v>4123</v>
      </c>
      <c r="B171" s="442" t="str">
        <f t="shared" si="6"/>
        <v>Sustainability issues addressed by a practice policy and or future initiatives that the undertaking has put in place</v>
      </c>
      <c r="C171" t="s">
        <v>4054</v>
      </c>
      <c r="D171" s="489" t="s">
        <v>8183</v>
      </c>
      <c r="E171" s="489" t="s">
        <v>8647</v>
      </c>
      <c r="F171" s="490" t="s">
        <v>7714</v>
      </c>
      <c r="G171" t="s">
        <v>9220</v>
      </c>
      <c r="H171" s="89" t="s">
        <v>6917</v>
      </c>
      <c r="I171" s="89" t="s">
        <v>6231</v>
      </c>
      <c r="J171" s="89" t="s">
        <v>7271</v>
      </c>
      <c r="K171" s="475" t="s">
        <v>6594</v>
      </c>
    </row>
    <row r="172" spans="1:11" ht="43.2" x14ac:dyDescent="0.3">
      <c r="A172" t="s">
        <v>4124</v>
      </c>
      <c r="B172" s="442" t="str">
        <f t="shared" si="6"/>
        <v>Undertaking has a practice policy and or future initiative that is publicly available</v>
      </c>
      <c r="C172" t="s">
        <v>4029</v>
      </c>
      <c r="D172" s="489" t="s">
        <v>8184</v>
      </c>
      <c r="E172" s="489" t="s">
        <v>8648</v>
      </c>
      <c r="F172" s="490" t="s">
        <v>7715</v>
      </c>
      <c r="G172" t="s">
        <v>9221</v>
      </c>
      <c r="H172" s="89" t="s">
        <v>6918</v>
      </c>
      <c r="I172" s="89" t="s">
        <v>6232</v>
      </c>
      <c r="J172" s="89" t="s">
        <v>7272</v>
      </c>
      <c r="K172" s="475" t="s">
        <v>6595</v>
      </c>
    </row>
    <row r="173" spans="1:11" ht="28.8" x14ac:dyDescent="0.3">
      <c r="A173" t="s">
        <v>4125</v>
      </c>
      <c r="B173" s="442" t="str">
        <f t="shared" si="6"/>
        <v>Undertaking has set a target which is related to a policy</v>
      </c>
      <c r="C173" t="s">
        <v>3571</v>
      </c>
      <c r="D173" s="489" t="s">
        <v>8185</v>
      </c>
      <c r="E173" s="489" t="s">
        <v>8649</v>
      </c>
      <c r="F173" s="490" t="s">
        <v>7716</v>
      </c>
      <c r="G173" t="s">
        <v>9222</v>
      </c>
      <c r="H173" s="89" t="s">
        <v>6919</v>
      </c>
      <c r="I173" s="89" t="s">
        <v>6233</v>
      </c>
      <c r="J173" s="89" t="s">
        <v>7273</v>
      </c>
      <c r="K173" s="475" t="s">
        <v>6596</v>
      </c>
    </row>
    <row r="174" spans="1:11" x14ac:dyDescent="0.3">
      <c r="A174" t="s">
        <v>4126</v>
      </c>
      <c r="B174" s="442" t="str">
        <f t="shared" si="6"/>
        <v>Climate change</v>
      </c>
      <c r="C174" t="s">
        <v>2891</v>
      </c>
      <c r="D174" s="489" t="s">
        <v>8186</v>
      </c>
      <c r="E174" s="489" t="s">
        <v>8650</v>
      </c>
      <c r="F174" s="490" t="s">
        <v>7717</v>
      </c>
      <c r="G174" t="s">
        <v>9223</v>
      </c>
      <c r="H174" s="89" t="s">
        <v>6006</v>
      </c>
      <c r="I174" s="89" t="s">
        <v>6234</v>
      </c>
      <c r="J174" s="89" t="s">
        <v>7274</v>
      </c>
      <c r="K174" s="475" t="s">
        <v>5746</v>
      </c>
    </row>
    <row r="175" spans="1:11" x14ac:dyDescent="0.3">
      <c r="A175" t="s">
        <v>4127</v>
      </c>
      <c r="B175" s="442" t="str">
        <f t="shared" si="6"/>
        <v>Pollution</v>
      </c>
      <c r="C175" t="s">
        <v>2892</v>
      </c>
      <c r="D175" s="489" t="s">
        <v>8187</v>
      </c>
      <c r="E175" s="489" t="s">
        <v>2892</v>
      </c>
      <c r="F175" s="490" t="s">
        <v>7718</v>
      </c>
      <c r="G175" t="s">
        <v>9224</v>
      </c>
      <c r="H175" s="89" t="s">
        <v>6007</v>
      </c>
      <c r="I175" s="89" t="s">
        <v>5933</v>
      </c>
      <c r="J175" s="89" t="s">
        <v>5850</v>
      </c>
      <c r="K175" s="475" t="s">
        <v>5747</v>
      </c>
    </row>
    <row r="176" spans="1:11" x14ac:dyDescent="0.3">
      <c r="A176" t="s">
        <v>4128</v>
      </c>
      <c r="B176" s="442" t="str">
        <f t="shared" si="6"/>
        <v>Water and marine resources</v>
      </c>
      <c r="C176" t="s">
        <v>2893</v>
      </c>
      <c r="D176" s="489" t="s">
        <v>8188</v>
      </c>
      <c r="E176" s="489" t="s">
        <v>8651</v>
      </c>
      <c r="F176" s="490" t="s">
        <v>7719</v>
      </c>
      <c r="G176" t="s">
        <v>9225</v>
      </c>
      <c r="H176" s="89" t="s">
        <v>6008</v>
      </c>
      <c r="I176" s="89" t="s">
        <v>6235</v>
      </c>
      <c r="J176" s="89" t="s">
        <v>7275</v>
      </c>
      <c r="K176" s="475" t="s">
        <v>6597</v>
      </c>
    </row>
    <row r="177" spans="1:11" x14ac:dyDescent="0.3">
      <c r="A177" t="s">
        <v>4129</v>
      </c>
      <c r="B177" s="442" t="str">
        <f t="shared" si="6"/>
        <v>Biodiversity and ecosystems</v>
      </c>
      <c r="C177" t="s">
        <v>2894</v>
      </c>
      <c r="D177" s="489" t="s">
        <v>8189</v>
      </c>
      <c r="E177" s="489" t="s">
        <v>8652</v>
      </c>
      <c r="F177" s="490" t="s">
        <v>7720</v>
      </c>
      <c r="G177" t="s">
        <v>9226</v>
      </c>
      <c r="H177" s="89" t="s">
        <v>6009</v>
      </c>
      <c r="I177" s="89" t="s">
        <v>6236</v>
      </c>
      <c r="J177" s="89" t="s">
        <v>5851</v>
      </c>
      <c r="K177" s="475" t="s">
        <v>6099</v>
      </c>
    </row>
    <row r="178" spans="1:11" x14ac:dyDescent="0.3">
      <c r="A178" t="s">
        <v>4130</v>
      </c>
      <c r="B178" s="442" t="str">
        <f t="shared" si="6"/>
        <v>Circular economy</v>
      </c>
      <c r="C178" t="s">
        <v>2895</v>
      </c>
      <c r="D178" s="489" t="s">
        <v>8190</v>
      </c>
      <c r="E178" s="489" t="s">
        <v>8653</v>
      </c>
      <c r="F178" s="490" t="s">
        <v>7721</v>
      </c>
      <c r="G178" t="s">
        <v>9227</v>
      </c>
      <c r="H178" s="89" t="s">
        <v>6056</v>
      </c>
      <c r="I178" s="89" t="s">
        <v>5934</v>
      </c>
      <c r="J178" s="89" t="s">
        <v>5852</v>
      </c>
      <c r="K178" s="475" t="s">
        <v>5748</v>
      </c>
    </row>
    <row r="179" spans="1:11" x14ac:dyDescent="0.3">
      <c r="A179" t="s">
        <v>4131</v>
      </c>
      <c r="B179" s="442" t="str">
        <f t="shared" si="6"/>
        <v>Own workforce</v>
      </c>
      <c r="C179" t="s">
        <v>2896</v>
      </c>
      <c r="D179" s="489" t="s">
        <v>8191</v>
      </c>
      <c r="E179" s="489" t="s">
        <v>8654</v>
      </c>
      <c r="F179" s="490" t="s">
        <v>7722</v>
      </c>
      <c r="G179" t="s">
        <v>9228</v>
      </c>
      <c r="H179" s="89" t="s">
        <v>6920</v>
      </c>
      <c r="I179" s="89" t="s">
        <v>6237</v>
      </c>
      <c r="J179" s="89" t="s">
        <v>7276</v>
      </c>
      <c r="K179" s="475" t="s">
        <v>6485</v>
      </c>
    </row>
    <row r="180" spans="1:11" x14ac:dyDescent="0.3">
      <c r="A180" t="s">
        <v>4132</v>
      </c>
      <c r="B180" s="442" t="str">
        <f t="shared" si="6"/>
        <v>Workers in the value chain</v>
      </c>
      <c r="C180" t="s">
        <v>2652</v>
      </c>
      <c r="D180" s="489" t="s">
        <v>8192</v>
      </c>
      <c r="E180" s="489" t="s">
        <v>8655</v>
      </c>
      <c r="F180" s="490" t="s">
        <v>7723</v>
      </c>
      <c r="G180" t="s">
        <v>9229</v>
      </c>
      <c r="H180" s="89" t="s">
        <v>6057</v>
      </c>
      <c r="I180" s="89" t="s">
        <v>6238</v>
      </c>
      <c r="J180" s="89" t="s">
        <v>7281</v>
      </c>
      <c r="K180" s="475" t="s">
        <v>6598</v>
      </c>
    </row>
    <row r="181" spans="1:11" x14ac:dyDescent="0.3">
      <c r="A181" t="s">
        <v>4133</v>
      </c>
      <c r="B181" s="442" t="str">
        <f t="shared" si="6"/>
        <v>Affected communities</v>
      </c>
      <c r="C181" t="s">
        <v>2897</v>
      </c>
      <c r="D181" s="489" t="s">
        <v>8193</v>
      </c>
      <c r="E181" s="489" t="s">
        <v>8656</v>
      </c>
      <c r="F181" s="490" t="s">
        <v>7724</v>
      </c>
      <c r="G181" t="s">
        <v>9230</v>
      </c>
      <c r="H181" s="89" t="s">
        <v>6921</v>
      </c>
      <c r="I181" s="89" t="s">
        <v>6239</v>
      </c>
      <c r="J181" s="89" t="s">
        <v>5853</v>
      </c>
      <c r="K181" s="475" t="s">
        <v>5749</v>
      </c>
    </row>
    <row r="182" spans="1:11" x14ac:dyDescent="0.3">
      <c r="A182" t="s">
        <v>4134</v>
      </c>
      <c r="B182" s="442" t="str">
        <f t="shared" si="6"/>
        <v>Consumers and end-users</v>
      </c>
      <c r="C182" t="s">
        <v>2898</v>
      </c>
      <c r="D182" s="489" t="s">
        <v>8194</v>
      </c>
      <c r="E182" s="489" t="s">
        <v>8657</v>
      </c>
      <c r="F182" s="490" t="s">
        <v>7725</v>
      </c>
      <c r="G182" t="s">
        <v>9231</v>
      </c>
      <c r="H182" s="89" t="s">
        <v>6058</v>
      </c>
      <c r="I182" s="89" t="s">
        <v>5935</v>
      </c>
      <c r="J182" s="89" t="s">
        <v>5854</v>
      </c>
      <c r="K182" s="475" t="s">
        <v>5750</v>
      </c>
    </row>
    <row r="183" spans="1:11" s="12" customFormat="1" ht="15" thickBot="1" x14ac:dyDescent="0.35">
      <c r="A183" s="12" t="s">
        <v>4135</v>
      </c>
      <c r="B183" s="476" t="str">
        <f t="shared" si="6"/>
        <v>Business conduct</v>
      </c>
      <c r="C183" s="12" t="s">
        <v>2889</v>
      </c>
      <c r="D183" s="497" t="s">
        <v>8195</v>
      </c>
      <c r="E183" s="497" t="s">
        <v>8658</v>
      </c>
      <c r="F183" s="491" t="s">
        <v>7726</v>
      </c>
      <c r="G183" s="12" t="s">
        <v>9232</v>
      </c>
      <c r="H183" s="443" t="s">
        <v>6922</v>
      </c>
      <c r="I183" s="443" t="s">
        <v>6240</v>
      </c>
      <c r="J183" s="443" t="s">
        <v>7277</v>
      </c>
      <c r="K183" s="495" t="s">
        <v>5751</v>
      </c>
    </row>
    <row r="184" spans="1:11" x14ac:dyDescent="0.3">
      <c r="A184" t="s">
        <v>4136</v>
      </c>
      <c r="B184" s="442" t="str">
        <f t="shared" si="6"/>
        <v>B2 - Cooperative specific disclosures</v>
      </c>
      <c r="C184" t="s">
        <v>4005</v>
      </c>
      <c r="D184" s="489" t="s">
        <v>8196</v>
      </c>
      <c r="E184" s="475" t="s">
        <v>8659</v>
      </c>
      <c r="F184" s="490" t="s">
        <v>7727</v>
      </c>
      <c r="G184" t="s">
        <v>9233</v>
      </c>
      <c r="H184" s="89" t="s">
        <v>6010</v>
      </c>
      <c r="I184" s="89" t="s">
        <v>5936</v>
      </c>
      <c r="J184" s="89" t="s">
        <v>5855</v>
      </c>
      <c r="K184" s="475" t="s">
        <v>5752</v>
      </c>
    </row>
    <row r="185" spans="1:11" ht="43.2" x14ac:dyDescent="0.3">
      <c r="A185" t="s">
        <v>4137</v>
      </c>
      <c r="B185" s="442" t="str">
        <f t="shared" si="6"/>
        <v>Effective participation of workers users or other interested parties or communities in governance</v>
      </c>
      <c r="C185" t="s">
        <v>4028</v>
      </c>
      <c r="D185" s="489" t="s">
        <v>8197</v>
      </c>
      <c r="E185" s="489" t="s">
        <v>8660</v>
      </c>
      <c r="F185" s="490" t="s">
        <v>7728</v>
      </c>
      <c r="G185" t="s">
        <v>9234</v>
      </c>
      <c r="H185" s="89" t="s">
        <v>6923</v>
      </c>
      <c r="I185" s="89" t="s">
        <v>6241</v>
      </c>
      <c r="J185" s="89" t="s">
        <v>7282</v>
      </c>
      <c r="K185" s="475" t="s">
        <v>6599</v>
      </c>
    </row>
    <row r="186" spans="1:11" ht="57.6" x14ac:dyDescent="0.3">
      <c r="A186" t="s">
        <v>4138</v>
      </c>
      <c r="B186" s="442" t="str">
        <f t="shared" si="6"/>
        <v>Financial investment in the capital or assets of social economy entities referred to in the Council Recommendation of 29 September 2023 (excluding donations and contributions)</v>
      </c>
      <c r="C186" t="s">
        <v>3674</v>
      </c>
      <c r="D186" s="489" t="s">
        <v>8198</v>
      </c>
      <c r="E186" s="489" t="s">
        <v>8661</v>
      </c>
      <c r="F186" s="490" t="s">
        <v>7729</v>
      </c>
      <c r="G186" t="s">
        <v>9235</v>
      </c>
      <c r="H186" s="89" t="s">
        <v>6924</v>
      </c>
      <c r="I186" s="89" t="s">
        <v>6242</v>
      </c>
      <c r="J186" s="89" t="s">
        <v>7283</v>
      </c>
      <c r="K186" s="475" t="s">
        <v>6600</v>
      </c>
    </row>
    <row r="187" spans="1:11" s="12" customFormat="1" ht="58.2" thickBot="1" x14ac:dyDescent="0.35">
      <c r="A187" s="12" t="s">
        <v>4139</v>
      </c>
      <c r="B187" s="476" t="str">
        <f t="shared" si="6"/>
        <v>Any limits to the distribution of profits connected to the mutualistic nature or to the nature of the activities consisting in services of general economic interest (SGEI)</v>
      </c>
      <c r="C187" s="12" t="s">
        <v>4630</v>
      </c>
      <c r="D187" s="497" t="s">
        <v>8199</v>
      </c>
      <c r="E187" s="497" t="s">
        <v>8662</v>
      </c>
      <c r="F187" s="491" t="s">
        <v>7730</v>
      </c>
      <c r="G187" s="12" t="s">
        <v>9236</v>
      </c>
      <c r="H187" s="443" t="s">
        <v>6925</v>
      </c>
      <c r="I187" s="443" t="s">
        <v>6243</v>
      </c>
      <c r="J187" s="443" t="s">
        <v>7284</v>
      </c>
      <c r="K187" s="495" t="s">
        <v>6601</v>
      </c>
    </row>
    <row r="188" spans="1:11" ht="43.2" x14ac:dyDescent="0.3">
      <c r="A188" t="s">
        <v>4140</v>
      </c>
      <c r="B188" s="442" t="str">
        <f t="shared" si="6"/>
        <v>C2 – Description of practices policies and future initiatives for transitioning towards a more sustainable economy</v>
      </c>
      <c r="C188" t="s">
        <v>4032</v>
      </c>
      <c r="D188" s="489" t="s">
        <v>8200</v>
      </c>
      <c r="E188" s="489" t="s">
        <v>8579</v>
      </c>
      <c r="F188" s="490" t="s">
        <v>7731</v>
      </c>
      <c r="G188" t="s">
        <v>9237</v>
      </c>
      <c r="H188" s="89" t="s">
        <v>6926</v>
      </c>
      <c r="I188" s="89" t="s">
        <v>5937</v>
      </c>
      <c r="J188" s="89" t="s">
        <v>7285</v>
      </c>
      <c r="K188" s="475" t="s">
        <v>6560</v>
      </c>
    </row>
    <row r="189" spans="1:11" ht="72" x14ac:dyDescent="0.3">
      <c r="A189" t="s">
        <v>4141</v>
      </c>
      <c r="B189" s="442" t="str">
        <f t="shared" si="6"/>
        <v>Description of a practice policy and or future initiative towards a more sustainable future (In case the practice  policy  future initiative covers suppliers or clients the undertaking shall mention it)</v>
      </c>
      <c r="C189" t="s">
        <v>4055</v>
      </c>
      <c r="D189" s="489" t="s">
        <v>8201</v>
      </c>
      <c r="E189" s="489" t="s">
        <v>8663</v>
      </c>
      <c r="F189" s="490" t="s">
        <v>7732</v>
      </c>
      <c r="G189" t="s">
        <v>9238</v>
      </c>
      <c r="H189" s="89" t="s">
        <v>6927</v>
      </c>
      <c r="I189" s="89" t="s">
        <v>6244</v>
      </c>
      <c r="J189" s="89" t="s">
        <v>7286</v>
      </c>
      <c r="K189" s="475" t="s">
        <v>6602</v>
      </c>
    </row>
    <row r="190" spans="1:11" ht="43.2" x14ac:dyDescent="0.3">
      <c r="A190" t="s">
        <v>4142</v>
      </c>
      <c r="B190" s="442" t="str">
        <f t="shared" si="6"/>
        <v>Description of target related to a policy</v>
      </c>
      <c r="C190" t="s">
        <v>3572</v>
      </c>
      <c r="D190" s="489" t="s">
        <v>8202</v>
      </c>
      <c r="E190" s="489" t="s">
        <v>8664</v>
      </c>
      <c r="F190" s="490" t="s">
        <v>7733</v>
      </c>
      <c r="G190" t="s">
        <v>9239</v>
      </c>
      <c r="H190" s="89" t="s">
        <v>6011</v>
      </c>
      <c r="I190" s="89" t="s">
        <v>6245</v>
      </c>
      <c r="J190" s="89" t="s">
        <v>7287</v>
      </c>
      <c r="K190" s="475" t="s">
        <v>6603</v>
      </c>
    </row>
    <row r="191" spans="1:11" s="12" customFormat="1" ht="43.8" thickBot="1" x14ac:dyDescent="0.35">
      <c r="A191" s="12" t="s">
        <v>4143</v>
      </c>
      <c r="B191" s="476" t="str">
        <f t="shared" si="6"/>
        <v>Most senior level within its employees that is accountable for implementing the policies when this has been determined by the undertaking</v>
      </c>
      <c r="C191" s="12" t="s">
        <v>4615</v>
      </c>
      <c r="D191" s="497" t="s">
        <v>8203</v>
      </c>
      <c r="E191" s="497" t="s">
        <v>8665</v>
      </c>
      <c r="F191" s="491" t="s">
        <v>7734</v>
      </c>
      <c r="G191" s="12" t="s">
        <v>9240</v>
      </c>
      <c r="H191" s="443" t="s">
        <v>6928</v>
      </c>
      <c r="I191" s="443" t="s">
        <v>6246</v>
      </c>
      <c r="J191" s="443" t="s">
        <v>7288</v>
      </c>
      <c r="K191" s="495" t="s">
        <v>6604</v>
      </c>
    </row>
    <row r="192" spans="1:11" ht="28.8" x14ac:dyDescent="0.3">
      <c r="A192" t="s">
        <v>4144</v>
      </c>
      <c r="B192" s="442" t="str">
        <f t="shared" si="6"/>
        <v>C1 – Strategy: Business Model and Sustainability – Related Initiatives</v>
      </c>
      <c r="C192" t="s">
        <v>12</v>
      </c>
      <c r="D192" s="489" t="s">
        <v>8204</v>
      </c>
      <c r="E192" s="489" t="s">
        <v>8666</v>
      </c>
      <c r="F192" s="490" t="s">
        <v>7735</v>
      </c>
      <c r="G192" t="s">
        <v>9241</v>
      </c>
      <c r="H192" s="89" t="s">
        <v>6929</v>
      </c>
      <c r="I192" s="89" t="s">
        <v>6247</v>
      </c>
      <c r="J192" s="89" t="s">
        <v>7289</v>
      </c>
      <c r="K192" s="475" t="s">
        <v>6507</v>
      </c>
    </row>
    <row r="193" spans="1:11" ht="28.8" x14ac:dyDescent="0.3">
      <c r="A193" t="s">
        <v>4145</v>
      </c>
      <c r="B193" s="442" t="str">
        <f t="shared" si="6"/>
        <v>Description of significant groups of products and or services offered</v>
      </c>
      <c r="C193" t="s">
        <v>3992</v>
      </c>
      <c r="D193" s="489" t="s">
        <v>8205</v>
      </c>
      <c r="E193" s="489" t="s">
        <v>8667</v>
      </c>
      <c r="F193" s="490" t="s">
        <v>7736</v>
      </c>
      <c r="G193" t="s">
        <v>9242</v>
      </c>
      <c r="H193" s="89" t="s">
        <v>6930</v>
      </c>
      <c r="I193" s="89" t="s">
        <v>6248</v>
      </c>
      <c r="J193" s="89" t="s">
        <v>7290</v>
      </c>
      <c r="K193" s="475" t="s">
        <v>6486</v>
      </c>
    </row>
    <row r="194" spans="1:11" ht="57.6" x14ac:dyDescent="0.3">
      <c r="A194" t="s">
        <v>4146</v>
      </c>
      <c r="B194" s="442" t="str">
        <f t="shared" si="6"/>
        <v>Description of significant market(s) the undertaking operates in (e.g. B2B, wholesale, retail, countries)</v>
      </c>
      <c r="C194" t="s">
        <v>4631</v>
      </c>
      <c r="D194" s="489" t="s">
        <v>8206</v>
      </c>
      <c r="E194" s="489" t="s">
        <v>8668</v>
      </c>
      <c r="F194" s="490" t="s">
        <v>7737</v>
      </c>
      <c r="G194" t="s">
        <v>9243</v>
      </c>
      <c r="H194" s="89" t="s">
        <v>6931</v>
      </c>
      <c r="I194" s="89" t="s">
        <v>6249</v>
      </c>
      <c r="J194" s="89" t="s">
        <v>7291</v>
      </c>
      <c r="K194" s="475" t="s">
        <v>6605</v>
      </c>
    </row>
    <row r="195" spans="1:11" s="12" customFormat="1" ht="29.4" thickBot="1" x14ac:dyDescent="0.35">
      <c r="A195" s="12" t="s">
        <v>4366</v>
      </c>
      <c r="B195" s="476" t="str">
        <f t="shared" si="6"/>
        <v>Description of main business relationships (such as key suppliers, customers, distribution channels)</v>
      </c>
      <c r="C195" s="12" t="s">
        <v>4614</v>
      </c>
      <c r="D195" s="497" t="s">
        <v>8207</v>
      </c>
      <c r="E195" s="497" t="s">
        <v>8669</v>
      </c>
      <c r="F195" s="491" t="s">
        <v>7738</v>
      </c>
      <c r="G195" s="12" t="s">
        <v>9244</v>
      </c>
      <c r="H195" s="443" t="s">
        <v>6932</v>
      </c>
      <c r="I195" s="443" t="s">
        <v>6250</v>
      </c>
      <c r="J195" s="443" t="s">
        <v>7292</v>
      </c>
      <c r="K195" s="495" t="s">
        <v>6606</v>
      </c>
    </row>
    <row r="196" spans="1:11" ht="43.2" x14ac:dyDescent="0.3">
      <c r="A196" t="s">
        <v>4147</v>
      </c>
      <c r="B196" s="442" t="str">
        <f t="shared" ref="B196:B259" si="7">INDEX(C196:K196,MATCH(template_selected_display_language,$C$3:$K$3,0))</f>
        <v>Has the strategy key elements that relate to or affect sustainability issues?</v>
      </c>
      <c r="C196" t="s">
        <v>3087</v>
      </c>
      <c r="D196" s="489" t="s">
        <v>8208</v>
      </c>
      <c r="E196" s="489" t="s">
        <v>8670</v>
      </c>
      <c r="F196" s="490" t="s">
        <v>7739</v>
      </c>
      <c r="G196" t="s">
        <v>9245</v>
      </c>
      <c r="H196" s="89" t="s">
        <v>6933</v>
      </c>
      <c r="I196" s="89" t="s">
        <v>6251</v>
      </c>
      <c r="J196" s="89" t="s">
        <v>7293</v>
      </c>
      <c r="K196" s="475" t="s">
        <v>6607</v>
      </c>
    </row>
    <row r="197" spans="1:11" ht="28.8" x14ac:dyDescent="0.3">
      <c r="A197" t="s">
        <v>4148</v>
      </c>
      <c r="B197" s="442" t="str">
        <f t="shared" si="7"/>
        <v>Description of those key elements in the strategy that relate or affect sustainability issues</v>
      </c>
      <c r="C197" t="s">
        <v>3573</v>
      </c>
      <c r="D197" s="489" t="s">
        <v>8209</v>
      </c>
      <c r="E197" s="489" t="s">
        <v>8671</v>
      </c>
      <c r="F197" s="490" t="s">
        <v>7740</v>
      </c>
      <c r="G197" t="s">
        <v>9246</v>
      </c>
      <c r="H197" s="89" t="s">
        <v>6934</v>
      </c>
      <c r="I197" s="89" t="s">
        <v>6252</v>
      </c>
      <c r="J197" s="89" t="s">
        <v>7294</v>
      </c>
      <c r="K197" s="475" t="s">
        <v>6487</v>
      </c>
    </row>
    <row r="198" spans="1:11" s="12" customFormat="1" ht="43.8" thickBot="1" x14ac:dyDescent="0.35">
      <c r="A198" s="12" t="s">
        <v>4149</v>
      </c>
      <c r="B198" s="476" t="str">
        <f t="shared" si="7"/>
        <v>Disclosure of any other general and or entity specific information on the reporting period</v>
      </c>
      <c r="C198" s="12" t="s">
        <v>3993</v>
      </c>
      <c r="D198" s="497" t="s">
        <v>8210</v>
      </c>
      <c r="E198" s="497" t="s">
        <v>8672</v>
      </c>
      <c r="F198" s="491" t="s">
        <v>7741</v>
      </c>
      <c r="G198" s="12" t="s">
        <v>9247</v>
      </c>
      <c r="H198" s="443" t="s">
        <v>6935</v>
      </c>
      <c r="I198" s="443" t="s">
        <v>6190</v>
      </c>
      <c r="J198" s="443" t="s">
        <v>7295</v>
      </c>
      <c r="K198" s="495" t="s">
        <v>6608</v>
      </c>
    </row>
    <row r="199" spans="1:11" x14ac:dyDescent="0.3">
      <c r="A199" t="s">
        <v>4150</v>
      </c>
      <c r="B199" s="442" t="str">
        <f t="shared" si="7"/>
        <v>B3 - Total Energy Consumption (in MWh)</v>
      </c>
      <c r="C199" t="s">
        <v>3955</v>
      </c>
      <c r="D199" s="489" t="s">
        <v>8211</v>
      </c>
      <c r="E199" s="489" t="s">
        <v>8673</v>
      </c>
      <c r="F199" s="490" t="s">
        <v>7742</v>
      </c>
      <c r="G199" t="s">
        <v>9248</v>
      </c>
      <c r="H199" s="89" t="s">
        <v>6936</v>
      </c>
      <c r="I199" s="89" t="s">
        <v>5938</v>
      </c>
      <c r="J199" s="89" t="s">
        <v>7296</v>
      </c>
      <c r="K199" s="475" t="s">
        <v>6609</v>
      </c>
    </row>
    <row r="200" spans="1:11" s="12" customFormat="1" ht="29.4" thickBot="1" x14ac:dyDescent="0.35">
      <c r="A200" s="12" t="s">
        <v>4151</v>
      </c>
      <c r="B200" s="476" t="str">
        <f t="shared" si="7"/>
        <v>Total Energy Consumption</v>
      </c>
      <c r="C200" s="12" t="s">
        <v>2876</v>
      </c>
      <c r="D200" s="497" t="s">
        <v>8212</v>
      </c>
      <c r="E200" s="497" t="s">
        <v>8674</v>
      </c>
      <c r="F200" s="491" t="s">
        <v>7743</v>
      </c>
      <c r="G200" s="12" t="s">
        <v>9249</v>
      </c>
      <c r="H200" s="443" t="s">
        <v>6012</v>
      </c>
      <c r="I200" s="443" t="s">
        <v>5939</v>
      </c>
      <c r="J200" s="443" t="s">
        <v>6089</v>
      </c>
      <c r="K200" s="495" t="s">
        <v>6610</v>
      </c>
    </row>
    <row r="201" spans="1:11" x14ac:dyDescent="0.3">
      <c r="A201" t="s">
        <v>4152</v>
      </c>
      <c r="B201" s="442" t="str">
        <f t="shared" si="7"/>
        <v>B3 - Breakdown of energy consumption (in MWh)</v>
      </c>
      <c r="C201" t="s">
        <v>3956</v>
      </c>
      <c r="D201" s="489" t="s">
        <v>8213</v>
      </c>
      <c r="E201" s="489" t="s">
        <v>8675</v>
      </c>
      <c r="F201" s="490" t="s">
        <v>7744</v>
      </c>
      <c r="G201" t="s">
        <v>9250</v>
      </c>
      <c r="H201" s="89" t="s">
        <v>6937</v>
      </c>
      <c r="I201" s="89" t="s">
        <v>5940</v>
      </c>
      <c r="J201" s="89" t="s">
        <v>7297</v>
      </c>
      <c r="K201" s="475" t="s">
        <v>5753</v>
      </c>
    </row>
    <row r="202" spans="1:11" ht="43.2" x14ac:dyDescent="0.3">
      <c r="A202" t="s">
        <v>4153</v>
      </c>
      <c r="B202" s="442" t="str">
        <f t="shared" si="7"/>
        <v>Has the undertaking obtained the necessary information to provide an energy consumption breakdown?</v>
      </c>
      <c r="C202" t="s">
        <v>3086</v>
      </c>
      <c r="D202" s="489" t="s">
        <v>8214</v>
      </c>
      <c r="E202" s="489" t="s">
        <v>8676</v>
      </c>
      <c r="F202" s="490" t="s">
        <v>7745</v>
      </c>
      <c r="G202" t="s">
        <v>9251</v>
      </c>
      <c r="H202" s="89" t="s">
        <v>6938</v>
      </c>
      <c r="I202" s="89" t="s">
        <v>6253</v>
      </c>
      <c r="J202" s="89" t="s">
        <v>7298</v>
      </c>
      <c r="K202" s="475" t="s">
        <v>5754</v>
      </c>
    </row>
    <row r="203" spans="1:11" x14ac:dyDescent="0.3">
      <c r="A203" t="s">
        <v>4154</v>
      </c>
      <c r="B203" s="442" t="str">
        <f t="shared" si="7"/>
        <v>Renewable</v>
      </c>
      <c r="C203" t="s">
        <v>3050</v>
      </c>
      <c r="D203" s="489" t="s">
        <v>8215</v>
      </c>
      <c r="E203" s="489" t="s">
        <v>8677</v>
      </c>
      <c r="F203" s="490" t="s">
        <v>7746</v>
      </c>
      <c r="G203" t="s">
        <v>9252</v>
      </c>
      <c r="H203" s="89" t="s">
        <v>6939</v>
      </c>
      <c r="I203" s="89" t="s">
        <v>5941</v>
      </c>
      <c r="J203" s="89" t="s">
        <v>5856</v>
      </c>
      <c r="K203" s="475" t="s">
        <v>5755</v>
      </c>
    </row>
    <row r="204" spans="1:11" x14ac:dyDescent="0.3">
      <c r="A204" t="s">
        <v>4155</v>
      </c>
      <c r="B204" s="442" t="str">
        <f t="shared" si="7"/>
        <v>Non-renewable</v>
      </c>
      <c r="C204" t="s">
        <v>3051</v>
      </c>
      <c r="D204" s="489" t="s">
        <v>8216</v>
      </c>
      <c r="E204" s="489" t="s">
        <v>8678</v>
      </c>
      <c r="F204" s="490" t="s">
        <v>7747</v>
      </c>
      <c r="G204" t="s">
        <v>9253</v>
      </c>
      <c r="H204" s="89" t="s">
        <v>6940</v>
      </c>
      <c r="I204" s="89" t="s">
        <v>6254</v>
      </c>
      <c r="J204" s="89" t="s">
        <v>5857</v>
      </c>
      <c r="K204" s="475" t="s">
        <v>5756</v>
      </c>
    </row>
    <row r="205" spans="1:11" x14ac:dyDescent="0.3">
      <c r="A205" t="s">
        <v>4156</v>
      </c>
      <c r="B205" s="442" t="str">
        <f t="shared" si="7"/>
        <v>Total renewable and non-renewable</v>
      </c>
      <c r="C205" t="s">
        <v>3052</v>
      </c>
      <c r="D205" s="489" t="s">
        <v>8217</v>
      </c>
      <c r="E205" s="489" t="s">
        <v>8679</v>
      </c>
      <c r="F205" s="490" t="s">
        <v>7748</v>
      </c>
      <c r="G205" t="s">
        <v>9254</v>
      </c>
      <c r="H205" s="89" t="s">
        <v>6941</v>
      </c>
      <c r="I205" s="89" t="s">
        <v>6255</v>
      </c>
      <c r="J205" s="89" t="s">
        <v>5858</v>
      </c>
      <c r="K205" s="475" t="s">
        <v>5757</v>
      </c>
    </row>
    <row r="206" spans="1:11" ht="28.8" x14ac:dyDescent="0.3">
      <c r="A206" t="s">
        <v>4157</v>
      </c>
      <c r="B206" s="442" t="str">
        <f t="shared" si="7"/>
        <v>Electricity (as reflected in utility billings)</v>
      </c>
      <c r="C206" t="s">
        <v>13</v>
      </c>
      <c r="D206" s="489" t="s">
        <v>8218</v>
      </c>
      <c r="E206" s="498" t="s">
        <v>8680</v>
      </c>
      <c r="F206" s="490" t="s">
        <v>7749</v>
      </c>
      <c r="G206" t="s">
        <v>9255</v>
      </c>
      <c r="H206" s="89" t="s">
        <v>6942</v>
      </c>
      <c r="I206" s="89" t="s">
        <v>6256</v>
      </c>
      <c r="J206" s="89" t="s">
        <v>7299</v>
      </c>
      <c r="K206" s="475" t="s">
        <v>6611</v>
      </c>
    </row>
    <row r="207" spans="1:11" x14ac:dyDescent="0.3">
      <c r="A207" t="s">
        <v>4158</v>
      </c>
      <c r="B207" s="442" t="str">
        <f t="shared" si="7"/>
        <v>Self-generated electricity</v>
      </c>
      <c r="C207" t="s">
        <v>3957</v>
      </c>
      <c r="D207" s="489" t="s">
        <v>8219</v>
      </c>
      <c r="E207" s="489" t="s">
        <v>8681</v>
      </c>
      <c r="F207" s="490" t="s">
        <v>7750</v>
      </c>
      <c r="G207" t="s">
        <v>9256</v>
      </c>
      <c r="H207" s="89" t="s">
        <v>6943</v>
      </c>
      <c r="I207" s="89" t="s">
        <v>6257</v>
      </c>
      <c r="J207" s="89" t="s">
        <v>7300</v>
      </c>
      <c r="K207" s="475" t="s">
        <v>6612</v>
      </c>
    </row>
    <row r="208" spans="1:11" s="12" customFormat="1" ht="29.4" thickBot="1" x14ac:dyDescent="0.35">
      <c r="A208" s="12" t="s">
        <v>4159</v>
      </c>
      <c r="B208" s="476" t="str">
        <f t="shared" si="7"/>
        <v>Fuels (see Fuel Converter on Fuels worksheet)</v>
      </c>
      <c r="C208" s="12" t="s">
        <v>3958</v>
      </c>
      <c r="D208" s="497" t="s">
        <v>8220</v>
      </c>
      <c r="E208" s="497" t="s">
        <v>8682</v>
      </c>
      <c r="F208" s="491" t="s">
        <v>7751</v>
      </c>
      <c r="G208" s="12" t="s">
        <v>9257</v>
      </c>
      <c r="H208" s="443" t="s">
        <v>6944</v>
      </c>
      <c r="I208" s="443" t="s">
        <v>6258</v>
      </c>
      <c r="J208" s="443" t="s">
        <v>7301</v>
      </c>
      <c r="K208" s="495" t="s">
        <v>6613</v>
      </c>
    </row>
    <row r="209" spans="1:11" ht="57.6" x14ac:dyDescent="0.3">
      <c r="A209" t="s">
        <v>4160</v>
      </c>
      <c r="B209" s="442" t="str">
        <f t="shared" si="7"/>
        <v>B3 - Estimated Greenhouse Gas Emissions considering the GHG Protocol Version 2004 (in tCO2e)</v>
      </c>
      <c r="C209" t="s">
        <v>4006</v>
      </c>
      <c r="D209" s="489" t="s">
        <v>8221</v>
      </c>
      <c r="E209" s="489" t="s">
        <v>8683</v>
      </c>
      <c r="F209" s="490" t="s">
        <v>7752</v>
      </c>
      <c r="G209" t="s">
        <v>9258</v>
      </c>
      <c r="H209" s="89" t="s">
        <v>6945</v>
      </c>
      <c r="I209" s="89" t="s">
        <v>6259</v>
      </c>
      <c r="J209" s="89" t="s">
        <v>7302</v>
      </c>
      <c r="K209" s="475" t="s">
        <v>6614</v>
      </c>
    </row>
    <row r="210" spans="1:11" x14ac:dyDescent="0.3">
      <c r="A210" t="s">
        <v>4161</v>
      </c>
      <c r="B210" s="442" t="str">
        <f t="shared" si="7"/>
        <v>C3 - GHG reduction targets (in tC02e)</v>
      </c>
      <c r="C210" t="s">
        <v>4007</v>
      </c>
      <c r="D210" s="489" t="s">
        <v>8222</v>
      </c>
      <c r="E210" s="489" t="s">
        <v>8580</v>
      </c>
      <c r="F210" s="490" t="s">
        <v>7753</v>
      </c>
      <c r="G210" t="s">
        <v>9259</v>
      </c>
      <c r="H210" s="89" t="s">
        <v>6946</v>
      </c>
      <c r="I210" s="89" t="s">
        <v>6260</v>
      </c>
      <c r="J210" s="89" t="s">
        <v>7303</v>
      </c>
      <c r="K210" s="475" t="s">
        <v>6615</v>
      </c>
    </row>
    <row r="211" spans="1:11" ht="28.8" x14ac:dyDescent="0.3">
      <c r="A211" t="s">
        <v>4162</v>
      </c>
      <c r="B211" s="442" t="str">
        <f t="shared" si="7"/>
        <v>Has  the undertaking has established GHG emission reduction targets?</v>
      </c>
      <c r="C211" t="s">
        <v>3959</v>
      </c>
      <c r="D211" s="489" t="s">
        <v>8223</v>
      </c>
      <c r="E211" s="489" t="s">
        <v>8684</v>
      </c>
      <c r="F211" s="490" t="s">
        <v>7754</v>
      </c>
      <c r="G211" t="s">
        <v>9260</v>
      </c>
      <c r="H211" s="89" t="s">
        <v>6947</v>
      </c>
      <c r="I211" s="89" t="s">
        <v>6261</v>
      </c>
      <c r="J211" s="89" t="s">
        <v>7304</v>
      </c>
      <c r="K211" s="475" t="s">
        <v>6616</v>
      </c>
    </row>
    <row r="212" spans="1:11" x14ac:dyDescent="0.3">
      <c r="A212" t="s">
        <v>4163</v>
      </c>
      <c r="B212" s="442" t="str">
        <f t="shared" si="7"/>
        <v>Current Reporting Period</v>
      </c>
      <c r="C212" t="s">
        <v>14</v>
      </c>
      <c r="D212" s="489" t="s">
        <v>8224</v>
      </c>
      <c r="E212" s="489" t="s">
        <v>8685</v>
      </c>
      <c r="F212" s="490" t="s">
        <v>7755</v>
      </c>
      <c r="G212" t="s">
        <v>9261</v>
      </c>
      <c r="H212" s="89" t="s">
        <v>6050</v>
      </c>
      <c r="I212" s="89" t="s">
        <v>5942</v>
      </c>
      <c r="J212" s="89" t="s">
        <v>7305</v>
      </c>
      <c r="K212" s="475" t="s">
        <v>6617</v>
      </c>
    </row>
    <row r="213" spans="1:11" x14ac:dyDescent="0.3">
      <c r="A213" t="s">
        <v>4164</v>
      </c>
      <c r="B213" s="442" t="str">
        <f t="shared" si="7"/>
        <v>Base Year</v>
      </c>
      <c r="C213" t="s">
        <v>3534</v>
      </c>
      <c r="D213" s="489" t="s">
        <v>8225</v>
      </c>
      <c r="E213" s="489" t="s">
        <v>8686</v>
      </c>
      <c r="F213" s="490" t="s">
        <v>7756</v>
      </c>
      <c r="G213" t="s">
        <v>9262</v>
      </c>
      <c r="H213" s="89" t="s">
        <v>6948</v>
      </c>
      <c r="I213" s="89" t="s">
        <v>5943</v>
      </c>
      <c r="J213" s="89" t="s">
        <v>6090</v>
      </c>
      <c r="K213" s="475" t="s">
        <v>6618</v>
      </c>
    </row>
    <row r="214" spans="1:11" x14ac:dyDescent="0.3">
      <c r="A214" t="s">
        <v>4165</v>
      </c>
      <c r="B214" s="442" t="str">
        <f t="shared" si="7"/>
        <v>Target Year</v>
      </c>
      <c r="C214" t="s">
        <v>3535</v>
      </c>
      <c r="D214" s="489" t="s">
        <v>8226</v>
      </c>
      <c r="E214" s="489" t="s">
        <v>8687</v>
      </c>
      <c r="F214" s="490" t="s">
        <v>7757</v>
      </c>
      <c r="G214" t="s">
        <v>9263</v>
      </c>
      <c r="H214" s="89" t="s">
        <v>6013</v>
      </c>
      <c r="I214" s="89" t="s">
        <v>5944</v>
      </c>
      <c r="J214" s="89" t="s">
        <v>7306</v>
      </c>
      <c r="K214" s="475" t="s">
        <v>5758</v>
      </c>
    </row>
    <row r="215" spans="1:11" x14ac:dyDescent="0.3">
      <c r="A215" t="s">
        <v>4166</v>
      </c>
      <c r="B215" s="442" t="str">
        <f t="shared" si="7"/>
        <v>Percentage reduction from base year</v>
      </c>
      <c r="C215" t="s">
        <v>3548</v>
      </c>
      <c r="D215" s="489" t="s">
        <v>8227</v>
      </c>
      <c r="E215" s="489" t="s">
        <v>8688</v>
      </c>
      <c r="F215" s="490" t="s">
        <v>7758</v>
      </c>
      <c r="G215" t="s">
        <v>9264</v>
      </c>
      <c r="H215" s="89" t="s">
        <v>6949</v>
      </c>
      <c r="I215" s="89" t="s">
        <v>6262</v>
      </c>
      <c r="J215" s="89" t="s">
        <v>7307</v>
      </c>
      <c r="K215" s="475" t="s">
        <v>6619</v>
      </c>
    </row>
    <row r="216" spans="1:11" x14ac:dyDescent="0.3">
      <c r="A216" t="s">
        <v>4167</v>
      </c>
      <c r="B216" s="442" t="str">
        <f t="shared" si="7"/>
        <v>Year (date)</v>
      </c>
      <c r="C216" t="s">
        <v>2914</v>
      </c>
      <c r="D216" s="489" t="s">
        <v>8228</v>
      </c>
      <c r="E216" s="489" t="s">
        <v>8689</v>
      </c>
      <c r="F216" s="490" t="s">
        <v>7759</v>
      </c>
      <c r="G216" t="s">
        <v>9265</v>
      </c>
      <c r="H216" s="89" t="s">
        <v>6014</v>
      </c>
      <c r="I216" s="89" t="s">
        <v>5945</v>
      </c>
      <c r="J216" s="89" t="s">
        <v>5859</v>
      </c>
      <c r="K216" s="475" t="s">
        <v>5759</v>
      </c>
    </row>
    <row r="217" spans="1:11" x14ac:dyDescent="0.3">
      <c r="A217" t="s">
        <v>4168</v>
      </c>
      <c r="B217" s="442" t="str">
        <f t="shared" si="7"/>
        <v>Gross Scope 1 GHG Emissions</v>
      </c>
      <c r="C217" t="s">
        <v>3536</v>
      </c>
      <c r="D217" s="489" t="s">
        <v>8229</v>
      </c>
      <c r="E217" s="489" t="s">
        <v>8690</v>
      </c>
      <c r="F217" s="490" t="s">
        <v>7760</v>
      </c>
      <c r="G217" t="s">
        <v>9266</v>
      </c>
      <c r="H217" s="89" t="s">
        <v>6950</v>
      </c>
      <c r="I217" s="89" t="s">
        <v>6263</v>
      </c>
      <c r="J217" s="89" t="s">
        <v>7308</v>
      </c>
      <c r="K217" s="475" t="s">
        <v>6620</v>
      </c>
    </row>
    <row r="218" spans="1:11" ht="28.8" x14ac:dyDescent="0.3">
      <c r="A218" t="s">
        <v>4169</v>
      </c>
      <c r="B218" s="442" t="str">
        <f t="shared" si="7"/>
        <v>Gross Scope 2 location-based GHG Emissions</v>
      </c>
      <c r="C218" t="s">
        <v>3537</v>
      </c>
      <c r="D218" s="489" t="s">
        <v>8230</v>
      </c>
      <c r="E218" s="489" t="s">
        <v>8691</v>
      </c>
      <c r="F218" s="490" t="s">
        <v>7761</v>
      </c>
      <c r="G218" t="s">
        <v>9267</v>
      </c>
      <c r="H218" s="89" t="s">
        <v>6951</v>
      </c>
      <c r="I218" s="89" t="s">
        <v>6264</v>
      </c>
      <c r="J218" s="89" t="s">
        <v>7309</v>
      </c>
      <c r="K218" s="475" t="s">
        <v>5760</v>
      </c>
    </row>
    <row r="219" spans="1:11" ht="28.8" x14ac:dyDescent="0.3">
      <c r="A219" t="s">
        <v>4170</v>
      </c>
      <c r="B219" s="442" t="str">
        <f t="shared" si="7"/>
        <v>Gross scope 2 market-based GHG Emissions</v>
      </c>
      <c r="C219" t="s">
        <v>3994</v>
      </c>
      <c r="D219" s="489" t="s">
        <v>8231</v>
      </c>
      <c r="E219" s="489" t="s">
        <v>8692</v>
      </c>
      <c r="F219" s="490" t="s">
        <v>7762</v>
      </c>
      <c r="G219" t="s">
        <v>9268</v>
      </c>
      <c r="H219" s="89" t="s">
        <v>6952</v>
      </c>
      <c r="I219" s="89" t="s">
        <v>6265</v>
      </c>
      <c r="J219" s="89" t="s">
        <v>7310</v>
      </c>
      <c r="K219" s="475" t="s">
        <v>6621</v>
      </c>
    </row>
    <row r="220" spans="1:11" ht="28.8" x14ac:dyDescent="0.3">
      <c r="A220" t="s">
        <v>4171</v>
      </c>
      <c r="B220" s="442" t="str">
        <f t="shared" si="7"/>
        <v>Total Scope 1 and Scope 2 GHG Emissions (location-based)</v>
      </c>
      <c r="C220" t="s">
        <v>3538</v>
      </c>
      <c r="D220" s="489" t="s">
        <v>8232</v>
      </c>
      <c r="E220" s="489" t="s">
        <v>8693</v>
      </c>
      <c r="F220" s="490" t="s">
        <v>7763</v>
      </c>
      <c r="G220" t="s">
        <v>9269</v>
      </c>
      <c r="H220" s="89" t="s">
        <v>6953</v>
      </c>
      <c r="I220" s="89" t="s">
        <v>6266</v>
      </c>
      <c r="J220" s="89" t="s">
        <v>7311</v>
      </c>
      <c r="K220" s="475" t="s">
        <v>6622</v>
      </c>
    </row>
    <row r="221" spans="1:11" ht="28.8" x14ac:dyDescent="0.3">
      <c r="A221" t="s">
        <v>4172</v>
      </c>
      <c r="B221" s="442" t="str">
        <f t="shared" si="7"/>
        <v>Total Scope 1 and Scope 2 GHG emissions  (market-based)</v>
      </c>
      <c r="C221" t="s">
        <v>4008</v>
      </c>
      <c r="D221" s="489" t="s">
        <v>8233</v>
      </c>
      <c r="E221" s="489" t="s">
        <v>8694</v>
      </c>
      <c r="F221" s="490" t="s">
        <v>7764</v>
      </c>
      <c r="G221" t="s">
        <v>9270</v>
      </c>
      <c r="H221" s="89" t="s">
        <v>6953</v>
      </c>
      <c r="I221" s="89" t="s">
        <v>6267</v>
      </c>
      <c r="J221" s="89" t="s">
        <v>7312</v>
      </c>
      <c r="K221" s="475" t="s">
        <v>6623</v>
      </c>
    </row>
    <row r="222" spans="1:11" ht="28.8" x14ac:dyDescent="0.3">
      <c r="A222" t="s">
        <v>4173</v>
      </c>
      <c r="B222" s="442" t="str">
        <f t="shared" si="7"/>
        <v>Is the undertaking disclosing entity-specific information on Scope 3 emissions (in tCO2e)?</v>
      </c>
      <c r="C222" t="s">
        <v>3678</v>
      </c>
      <c r="D222" s="489" t="s">
        <v>8234</v>
      </c>
      <c r="E222" s="489" t="s">
        <v>8695</v>
      </c>
      <c r="F222" s="490" t="s">
        <v>7765</v>
      </c>
      <c r="G222" t="s">
        <v>9271</v>
      </c>
      <c r="H222" s="89" t="s">
        <v>6954</v>
      </c>
      <c r="I222" s="89" t="s">
        <v>6268</v>
      </c>
      <c r="J222" s="89" t="s">
        <v>7313</v>
      </c>
      <c r="K222" s="475" t="s">
        <v>6488</v>
      </c>
    </row>
    <row r="223" spans="1:11" x14ac:dyDescent="0.3">
      <c r="A223" t="s">
        <v>4174</v>
      </c>
      <c r="B223" s="442" t="str">
        <f t="shared" si="7"/>
        <v>1. Purchased Goods and Services</v>
      </c>
      <c r="C223" t="s">
        <v>3960</v>
      </c>
      <c r="D223" s="489" t="s">
        <v>8235</v>
      </c>
      <c r="E223" s="489" t="s">
        <v>8696</v>
      </c>
      <c r="F223" s="490" t="s">
        <v>7766</v>
      </c>
      <c r="G223" t="s">
        <v>9272</v>
      </c>
      <c r="H223" s="89" t="s">
        <v>6955</v>
      </c>
      <c r="I223" s="89" t="s">
        <v>5946</v>
      </c>
      <c r="J223" s="89" t="s">
        <v>6091</v>
      </c>
      <c r="K223" s="475" t="s">
        <v>5761</v>
      </c>
    </row>
    <row r="224" spans="1:11" x14ac:dyDescent="0.3">
      <c r="A224" t="s">
        <v>4175</v>
      </c>
      <c r="B224" s="442" t="str">
        <f t="shared" si="7"/>
        <v>2. Capital Goods</v>
      </c>
      <c r="C224" t="s">
        <v>3961</v>
      </c>
      <c r="D224" s="489" t="s">
        <v>8236</v>
      </c>
      <c r="E224" s="489" t="s">
        <v>8697</v>
      </c>
      <c r="F224" s="490" t="s">
        <v>7767</v>
      </c>
      <c r="G224" t="s">
        <v>9273</v>
      </c>
      <c r="H224" s="89" t="s">
        <v>6956</v>
      </c>
      <c r="I224" s="89" t="s">
        <v>5947</v>
      </c>
      <c r="J224" s="89" t="s">
        <v>7314</v>
      </c>
      <c r="K224" s="475" t="s">
        <v>5762</v>
      </c>
    </row>
    <row r="225" spans="1:11" ht="28.8" x14ac:dyDescent="0.3">
      <c r="A225" t="s">
        <v>4176</v>
      </c>
      <c r="B225" s="442" t="str">
        <f t="shared" si="7"/>
        <v>3. Fuel- and Energy-Related Activities (Not Included in Scope 1 or Scope 2)</v>
      </c>
      <c r="C225" t="s">
        <v>3562</v>
      </c>
      <c r="D225" s="489" t="s">
        <v>8237</v>
      </c>
      <c r="E225" s="489" t="s">
        <v>8698</v>
      </c>
      <c r="F225" s="490" t="s">
        <v>7768</v>
      </c>
      <c r="G225" t="s">
        <v>9274</v>
      </c>
      <c r="H225" s="89" t="s">
        <v>6957</v>
      </c>
      <c r="I225" s="89" t="s">
        <v>6269</v>
      </c>
      <c r="J225" s="89" t="s">
        <v>7315</v>
      </c>
      <c r="K225" s="475" t="s">
        <v>6624</v>
      </c>
    </row>
    <row r="226" spans="1:11" x14ac:dyDescent="0.3">
      <c r="A226" t="s">
        <v>4177</v>
      </c>
      <c r="B226" s="442" t="str">
        <f t="shared" si="7"/>
        <v>4. Upstream Transportation and Distribution</v>
      </c>
      <c r="C226" t="s">
        <v>3962</v>
      </c>
      <c r="D226" s="489" t="s">
        <v>8238</v>
      </c>
      <c r="E226" s="489" t="s">
        <v>8699</v>
      </c>
      <c r="F226" s="490" t="s">
        <v>7769</v>
      </c>
      <c r="G226" t="s">
        <v>9275</v>
      </c>
      <c r="H226" s="89" t="s">
        <v>6958</v>
      </c>
      <c r="I226" s="89" t="s">
        <v>6270</v>
      </c>
      <c r="J226" s="89" t="s">
        <v>5860</v>
      </c>
      <c r="K226" s="475" t="s">
        <v>5763</v>
      </c>
    </row>
    <row r="227" spans="1:11" x14ac:dyDescent="0.3">
      <c r="A227" t="s">
        <v>4178</v>
      </c>
      <c r="B227" s="442" t="str">
        <f t="shared" si="7"/>
        <v>5. Waste Generated in Operations</v>
      </c>
      <c r="C227" t="s">
        <v>3963</v>
      </c>
      <c r="D227" s="489" t="s">
        <v>8239</v>
      </c>
      <c r="E227" s="489" t="s">
        <v>8700</v>
      </c>
      <c r="F227" s="490" t="s">
        <v>7770</v>
      </c>
      <c r="G227" t="s">
        <v>9276</v>
      </c>
      <c r="H227" s="89" t="s">
        <v>6959</v>
      </c>
      <c r="I227" s="89" t="s">
        <v>6271</v>
      </c>
      <c r="J227" s="89" t="s">
        <v>7316</v>
      </c>
      <c r="K227" s="475" t="s">
        <v>5764</v>
      </c>
    </row>
    <row r="228" spans="1:11" x14ac:dyDescent="0.3">
      <c r="A228" t="s">
        <v>4179</v>
      </c>
      <c r="B228" s="442" t="str">
        <f t="shared" si="7"/>
        <v>6. Business Travel</v>
      </c>
      <c r="C228" t="s">
        <v>3964</v>
      </c>
      <c r="D228" s="489" t="s">
        <v>8240</v>
      </c>
      <c r="E228" s="489" t="s">
        <v>8701</v>
      </c>
      <c r="F228" s="490" t="s">
        <v>7771</v>
      </c>
      <c r="G228" t="s">
        <v>9277</v>
      </c>
      <c r="H228" s="89" t="s">
        <v>6015</v>
      </c>
      <c r="I228" s="89" t="s">
        <v>5948</v>
      </c>
      <c r="J228" s="89" t="s">
        <v>7317</v>
      </c>
      <c r="K228" s="475" t="s">
        <v>5765</v>
      </c>
    </row>
    <row r="229" spans="1:11" x14ac:dyDescent="0.3">
      <c r="A229" t="s">
        <v>4180</v>
      </c>
      <c r="B229" s="442" t="str">
        <f t="shared" si="7"/>
        <v>7. Employee Commuting</v>
      </c>
      <c r="C229" t="s">
        <v>3965</v>
      </c>
      <c r="D229" s="489" t="s">
        <v>8241</v>
      </c>
      <c r="E229" s="489" t="s">
        <v>8702</v>
      </c>
      <c r="F229" s="490" t="s">
        <v>7772</v>
      </c>
      <c r="G229" t="s">
        <v>9278</v>
      </c>
      <c r="H229" s="89" t="s">
        <v>6960</v>
      </c>
      <c r="I229" s="89" t="s">
        <v>5949</v>
      </c>
      <c r="J229" s="89" t="s">
        <v>7318</v>
      </c>
      <c r="K229" s="475" t="s">
        <v>6625</v>
      </c>
    </row>
    <row r="230" spans="1:11" x14ac:dyDescent="0.3">
      <c r="A230" t="s">
        <v>4181</v>
      </c>
      <c r="B230" s="442" t="str">
        <f t="shared" si="7"/>
        <v>8. Upstream Leased Assets</v>
      </c>
      <c r="C230" t="s">
        <v>3966</v>
      </c>
      <c r="D230" s="489" t="s">
        <v>8242</v>
      </c>
      <c r="E230" s="489" t="s">
        <v>8703</v>
      </c>
      <c r="F230" s="490" t="s">
        <v>7773</v>
      </c>
      <c r="G230" t="s">
        <v>9279</v>
      </c>
      <c r="H230" s="89" t="s">
        <v>6961</v>
      </c>
      <c r="I230" s="89" t="s">
        <v>6272</v>
      </c>
      <c r="J230" s="89" t="s">
        <v>7319</v>
      </c>
      <c r="K230" s="475" t="s">
        <v>6489</v>
      </c>
    </row>
    <row r="231" spans="1:11" x14ac:dyDescent="0.3">
      <c r="A231" t="s">
        <v>4182</v>
      </c>
      <c r="B231" s="442" t="str">
        <f t="shared" si="7"/>
        <v>9. Downstream Transportation and Distribution</v>
      </c>
      <c r="C231" t="s">
        <v>3967</v>
      </c>
      <c r="D231" s="489" t="s">
        <v>8243</v>
      </c>
      <c r="E231" s="489" t="s">
        <v>8704</v>
      </c>
      <c r="F231" s="490" t="s">
        <v>7774</v>
      </c>
      <c r="G231" t="s">
        <v>9280</v>
      </c>
      <c r="H231" s="89" t="s">
        <v>6962</v>
      </c>
      <c r="I231" s="89" t="s">
        <v>6273</v>
      </c>
      <c r="J231" s="89" t="s">
        <v>7320</v>
      </c>
      <c r="K231" s="475" t="s">
        <v>5766</v>
      </c>
    </row>
    <row r="232" spans="1:11" x14ac:dyDescent="0.3">
      <c r="A232" t="s">
        <v>4183</v>
      </c>
      <c r="B232" s="442" t="str">
        <f t="shared" si="7"/>
        <v>10. Processing of Sold Products</v>
      </c>
      <c r="C232" t="s">
        <v>3968</v>
      </c>
      <c r="D232" s="489" t="s">
        <v>8244</v>
      </c>
      <c r="E232" s="489" t="s">
        <v>8705</v>
      </c>
      <c r="F232" s="490" t="s">
        <v>7775</v>
      </c>
      <c r="G232" t="s">
        <v>9281</v>
      </c>
      <c r="H232" s="89" t="s">
        <v>6963</v>
      </c>
      <c r="I232" s="89" t="s">
        <v>5950</v>
      </c>
      <c r="J232" s="89" t="s">
        <v>7511</v>
      </c>
      <c r="K232" s="475" t="s">
        <v>5767</v>
      </c>
    </row>
    <row r="233" spans="1:11" x14ac:dyDescent="0.3">
      <c r="A233" t="s">
        <v>4184</v>
      </c>
      <c r="B233" s="442" t="str">
        <f t="shared" si="7"/>
        <v>11. Use of Sold Products</v>
      </c>
      <c r="C233" t="s">
        <v>3969</v>
      </c>
      <c r="D233" s="489" t="s">
        <v>8245</v>
      </c>
      <c r="E233" s="489" t="s">
        <v>8706</v>
      </c>
      <c r="F233" s="490" t="s">
        <v>7776</v>
      </c>
      <c r="G233" t="s">
        <v>9282</v>
      </c>
      <c r="H233" s="89" t="s">
        <v>6964</v>
      </c>
      <c r="I233" s="89" t="s">
        <v>6274</v>
      </c>
      <c r="J233" s="89" t="s">
        <v>5861</v>
      </c>
      <c r="K233" s="475" t="s">
        <v>6626</v>
      </c>
    </row>
    <row r="234" spans="1:11" ht="28.8" x14ac:dyDescent="0.3">
      <c r="A234" t="s">
        <v>4185</v>
      </c>
      <c r="B234" s="442" t="str">
        <f t="shared" si="7"/>
        <v>12. End-of-Life Treatment of Sold Products</v>
      </c>
      <c r="C234" t="s">
        <v>3970</v>
      </c>
      <c r="D234" s="489" t="s">
        <v>8246</v>
      </c>
      <c r="E234" s="489" t="s">
        <v>8707</v>
      </c>
      <c r="F234" s="490" t="s">
        <v>7777</v>
      </c>
      <c r="G234" t="s">
        <v>9283</v>
      </c>
      <c r="H234" s="89" t="s">
        <v>6965</v>
      </c>
      <c r="I234" s="89" t="s">
        <v>6275</v>
      </c>
      <c r="J234" s="89" t="s">
        <v>7512</v>
      </c>
      <c r="K234" s="475" t="s">
        <v>5768</v>
      </c>
    </row>
    <row r="235" spans="1:11" x14ac:dyDescent="0.3">
      <c r="A235" t="s">
        <v>4186</v>
      </c>
      <c r="B235" s="442" t="str">
        <f t="shared" si="7"/>
        <v>13. Downstream Leased Assets</v>
      </c>
      <c r="C235" t="s">
        <v>3971</v>
      </c>
      <c r="D235" s="489" t="s">
        <v>8247</v>
      </c>
      <c r="E235" s="489" t="s">
        <v>8708</v>
      </c>
      <c r="F235" s="490" t="s">
        <v>7778</v>
      </c>
      <c r="G235" t="s">
        <v>9284</v>
      </c>
      <c r="H235" s="89" t="s">
        <v>6966</v>
      </c>
      <c r="I235" s="89" t="s">
        <v>6276</v>
      </c>
      <c r="J235" s="89" t="s">
        <v>7321</v>
      </c>
      <c r="K235" s="475" t="s">
        <v>5769</v>
      </c>
    </row>
    <row r="236" spans="1:11" x14ac:dyDescent="0.3">
      <c r="A236" t="s">
        <v>4187</v>
      </c>
      <c r="B236" s="442" t="str">
        <f t="shared" si="7"/>
        <v>14. Franchises</v>
      </c>
      <c r="C236" t="s">
        <v>3972</v>
      </c>
      <c r="D236" s="489" t="s">
        <v>8248</v>
      </c>
      <c r="E236" s="489" t="s">
        <v>3972</v>
      </c>
      <c r="F236" s="490" t="s">
        <v>3972</v>
      </c>
      <c r="G236" t="s">
        <v>9285</v>
      </c>
      <c r="H236" s="89" t="s">
        <v>6016</v>
      </c>
      <c r="I236" s="89" t="s">
        <v>6072</v>
      </c>
      <c r="J236" s="89" t="s">
        <v>6092</v>
      </c>
      <c r="K236" s="475" t="s">
        <v>5770</v>
      </c>
    </row>
    <row r="237" spans="1:11" x14ac:dyDescent="0.3">
      <c r="A237" t="s">
        <v>4188</v>
      </c>
      <c r="B237" s="442" t="str">
        <f t="shared" si="7"/>
        <v>15. Investments</v>
      </c>
      <c r="C237" t="s">
        <v>3551</v>
      </c>
      <c r="D237" s="489" t="s">
        <v>8249</v>
      </c>
      <c r="E237" s="489" t="s">
        <v>8709</v>
      </c>
      <c r="F237" s="490" t="s">
        <v>7779</v>
      </c>
      <c r="G237" t="s">
        <v>9286</v>
      </c>
      <c r="H237" s="89" t="s">
        <v>6967</v>
      </c>
      <c r="I237" s="89" t="s">
        <v>6073</v>
      </c>
      <c r="J237" s="89" t="s">
        <v>5862</v>
      </c>
      <c r="K237" s="475" t="s">
        <v>5771</v>
      </c>
    </row>
    <row r="238" spans="1:11" x14ac:dyDescent="0.3">
      <c r="A238" t="s">
        <v>4189</v>
      </c>
      <c r="B238" s="442" t="str">
        <f t="shared" si="7"/>
        <v>Total Scope 3 GHG  emissions</v>
      </c>
      <c r="C238" t="s">
        <v>3576</v>
      </c>
      <c r="D238" s="489" t="s">
        <v>8250</v>
      </c>
      <c r="E238" s="489" t="s">
        <v>8710</v>
      </c>
      <c r="F238" s="490" t="s">
        <v>7780</v>
      </c>
      <c r="G238" t="s">
        <v>9287</v>
      </c>
      <c r="H238" s="89" t="s">
        <v>6968</v>
      </c>
      <c r="I238" s="89" t="s">
        <v>6277</v>
      </c>
      <c r="J238" s="89" t="s">
        <v>7322</v>
      </c>
      <c r="K238" s="475" t="s">
        <v>6627</v>
      </c>
    </row>
    <row r="239" spans="1:11" ht="28.8" x14ac:dyDescent="0.3">
      <c r="A239" t="s">
        <v>4190</v>
      </c>
      <c r="B239" s="442" t="str">
        <f t="shared" si="7"/>
        <v>Total Scope 1 Scope 2 and Scope 3 GHG Emissions (location-based)</v>
      </c>
      <c r="C239" t="s">
        <v>4033</v>
      </c>
      <c r="D239" s="489" t="s">
        <v>8251</v>
      </c>
      <c r="E239" s="489" t="s">
        <v>8711</v>
      </c>
      <c r="F239" s="490" t="s">
        <v>7781</v>
      </c>
      <c r="G239" t="s">
        <v>9288</v>
      </c>
      <c r="H239" s="89" t="s">
        <v>6969</v>
      </c>
      <c r="I239" s="89" t="s">
        <v>6278</v>
      </c>
      <c r="J239" s="89" t="s">
        <v>7323</v>
      </c>
      <c r="K239" s="475" t="s">
        <v>6628</v>
      </c>
    </row>
    <row r="240" spans="1:11" s="12" customFormat="1" ht="29.4" thickBot="1" x14ac:dyDescent="0.35">
      <c r="A240" s="12" t="s">
        <v>4191</v>
      </c>
      <c r="B240" s="476" t="str">
        <f t="shared" si="7"/>
        <v>Total Scope 1 Scope 2 and Scope 3 GHG Emissions (market-based)</v>
      </c>
      <c r="C240" s="12" t="s">
        <v>4034</v>
      </c>
      <c r="D240" s="497" t="s">
        <v>8252</v>
      </c>
      <c r="E240" s="497" t="s">
        <v>8712</v>
      </c>
      <c r="F240" s="491" t="s">
        <v>7782</v>
      </c>
      <c r="G240" s="12" t="s">
        <v>9289</v>
      </c>
      <c r="H240" s="443" t="s">
        <v>6970</v>
      </c>
      <c r="I240" s="443" t="s">
        <v>6279</v>
      </c>
      <c r="J240" s="443" t="s">
        <v>7324</v>
      </c>
      <c r="K240" s="495" t="s">
        <v>6629</v>
      </c>
    </row>
    <row r="241" spans="1:11" ht="43.2" x14ac:dyDescent="0.3">
      <c r="A241" t="s">
        <v>4192</v>
      </c>
      <c r="B241" s="442" t="str">
        <f t="shared" si="7"/>
        <v>C3 - Disclosure of list of main actions the entity seeks in order to achieve its targets</v>
      </c>
      <c r="C241" t="s">
        <v>4009</v>
      </c>
      <c r="D241" s="489" t="s">
        <v>8253</v>
      </c>
      <c r="E241" s="489" t="s">
        <v>8713</v>
      </c>
      <c r="F241" s="490" t="s">
        <v>7783</v>
      </c>
      <c r="G241" t="s">
        <v>9290</v>
      </c>
      <c r="H241" s="89" t="s">
        <v>6971</v>
      </c>
      <c r="I241" s="89" t="s">
        <v>6280</v>
      </c>
      <c r="J241" s="89" t="s">
        <v>7325</v>
      </c>
      <c r="K241" s="475" t="s">
        <v>6630</v>
      </c>
    </row>
    <row r="242" spans="1:11" ht="28.8" x14ac:dyDescent="0.3">
      <c r="A242" t="s">
        <v>4193</v>
      </c>
      <c r="B242" s="442" t="str">
        <f t="shared" si="7"/>
        <v>C3 - Transition plan for undertakings operating in high climate impact sectors</v>
      </c>
      <c r="C242" t="s">
        <v>4010</v>
      </c>
      <c r="D242" s="489" t="s">
        <v>8254</v>
      </c>
      <c r="E242" s="489" t="s">
        <v>8714</v>
      </c>
      <c r="F242" s="490" t="s">
        <v>7784</v>
      </c>
      <c r="G242" t="s">
        <v>9291</v>
      </c>
      <c r="H242" s="89" t="s">
        <v>6972</v>
      </c>
      <c r="I242" s="89" t="s">
        <v>6281</v>
      </c>
      <c r="J242" s="89" t="s">
        <v>7326</v>
      </c>
      <c r="K242" s="475" t="s">
        <v>6631</v>
      </c>
    </row>
    <row r="243" spans="1:11" ht="28.8" x14ac:dyDescent="0.3">
      <c r="A243" t="s">
        <v>4194</v>
      </c>
      <c r="B243" s="442" t="str">
        <f t="shared" si="7"/>
        <v>Is the undertaking operating in high impact sectors?</v>
      </c>
      <c r="C243" t="s">
        <v>3973</v>
      </c>
      <c r="D243" s="489" t="s">
        <v>8255</v>
      </c>
      <c r="E243" s="489" t="s">
        <v>8715</v>
      </c>
      <c r="F243" s="490" t="s">
        <v>7785</v>
      </c>
      <c r="G243" t="s">
        <v>9292</v>
      </c>
      <c r="H243" s="89" t="s">
        <v>6973</v>
      </c>
      <c r="I243" s="89" t="s">
        <v>6282</v>
      </c>
      <c r="J243" s="89" t="s">
        <v>7327</v>
      </c>
      <c r="K243" s="475" t="s">
        <v>5772</v>
      </c>
    </row>
    <row r="244" spans="1:11" ht="28.8" x14ac:dyDescent="0.3">
      <c r="A244" t="s">
        <v>4195</v>
      </c>
      <c r="B244" s="442" t="str">
        <f t="shared" si="7"/>
        <v>Status of implementation of a transition plan in relation to climate change mitigation</v>
      </c>
      <c r="C244" t="s">
        <v>3974</v>
      </c>
      <c r="D244" s="489" t="s">
        <v>8256</v>
      </c>
      <c r="E244" s="489" t="s">
        <v>8716</v>
      </c>
      <c r="F244" s="490" t="s">
        <v>7786</v>
      </c>
      <c r="G244" t="s">
        <v>9293</v>
      </c>
      <c r="H244" s="89" t="s">
        <v>6974</v>
      </c>
      <c r="I244" s="89" t="s">
        <v>6283</v>
      </c>
      <c r="J244" s="89" t="s">
        <v>7328</v>
      </c>
      <c r="K244" s="475" t="s">
        <v>6632</v>
      </c>
    </row>
    <row r="245" spans="1:11" ht="57.6" x14ac:dyDescent="0.3">
      <c r="A245" t="s">
        <v>4196</v>
      </c>
      <c r="B245" s="442" t="str">
        <f t="shared" si="7"/>
        <v>Description of a transition plan for climate change mitigation including an explanation of how it is contributing to reduce GHG emissions</v>
      </c>
      <c r="C245" t="s">
        <v>4035</v>
      </c>
      <c r="D245" s="489" t="s">
        <v>8257</v>
      </c>
      <c r="E245" s="489" t="s">
        <v>8717</v>
      </c>
      <c r="F245" s="490" t="s">
        <v>7787</v>
      </c>
      <c r="G245" t="s">
        <v>9294</v>
      </c>
      <c r="H245" s="89" t="s">
        <v>6975</v>
      </c>
      <c r="I245" s="89" t="s">
        <v>6284</v>
      </c>
      <c r="J245" s="89" t="s">
        <v>7329</v>
      </c>
      <c r="K245" s="475" t="s">
        <v>6633</v>
      </c>
    </row>
    <row r="246" spans="1:11" ht="43.2" x14ac:dyDescent="0.3">
      <c r="A246" t="s">
        <v>4197</v>
      </c>
      <c r="B246" s="442" t="str">
        <f t="shared" si="7"/>
        <v>Date of foreseen adoption of transition plan for undertaking not having adopted transition plan yet</v>
      </c>
      <c r="C246" t="s">
        <v>3542</v>
      </c>
      <c r="D246" s="489" t="s">
        <v>8258</v>
      </c>
      <c r="E246" s="489" t="s">
        <v>8718</v>
      </c>
      <c r="F246" s="490" t="s">
        <v>7788</v>
      </c>
      <c r="G246" t="s">
        <v>9295</v>
      </c>
      <c r="H246" s="89" t="s">
        <v>6976</v>
      </c>
      <c r="I246" s="89" t="s">
        <v>6285</v>
      </c>
      <c r="J246" s="89" t="s">
        <v>7330</v>
      </c>
      <c r="K246" s="475" t="s">
        <v>6634</v>
      </c>
    </row>
    <row r="247" spans="1:11" x14ac:dyDescent="0.3">
      <c r="A247" t="s">
        <v>4198</v>
      </c>
      <c r="B247" s="442" t="str">
        <f t="shared" si="7"/>
        <v>Year</v>
      </c>
      <c r="C247" t="s">
        <v>3025</v>
      </c>
      <c r="D247" s="489" t="s">
        <v>8259</v>
      </c>
      <c r="E247" s="489" t="s">
        <v>8719</v>
      </c>
      <c r="F247" s="490" t="s">
        <v>7789</v>
      </c>
      <c r="G247" t="s">
        <v>9296</v>
      </c>
      <c r="H247" s="89" t="s">
        <v>6059</v>
      </c>
      <c r="I247" s="89" t="s">
        <v>5692</v>
      </c>
      <c r="J247" s="89" t="s">
        <v>5863</v>
      </c>
      <c r="K247" s="475" t="s">
        <v>5773</v>
      </c>
    </row>
    <row r="248" spans="1:11" x14ac:dyDescent="0.3">
      <c r="A248" t="s">
        <v>4199</v>
      </c>
      <c r="B248" s="442" t="str">
        <f t="shared" si="7"/>
        <v>Month</v>
      </c>
      <c r="C248" t="s">
        <v>3026</v>
      </c>
      <c r="D248" s="489" t="s">
        <v>8260</v>
      </c>
      <c r="E248" s="489" t="s">
        <v>8720</v>
      </c>
      <c r="F248" s="490" t="s">
        <v>7790</v>
      </c>
      <c r="G248" t="s">
        <v>9297</v>
      </c>
      <c r="H248" s="89" t="s">
        <v>6017</v>
      </c>
      <c r="I248" s="89" t="s">
        <v>5951</v>
      </c>
      <c r="J248" s="89" t="s">
        <v>6093</v>
      </c>
      <c r="K248" s="475" t="s">
        <v>5774</v>
      </c>
    </row>
    <row r="249" spans="1:11" x14ac:dyDescent="0.3">
      <c r="A249" t="s">
        <v>4200</v>
      </c>
      <c r="B249" s="442" t="str">
        <f t="shared" si="7"/>
        <v>Day</v>
      </c>
      <c r="C249" t="s">
        <v>3776</v>
      </c>
      <c r="D249" s="489" t="s">
        <v>8261</v>
      </c>
      <c r="E249" s="489" t="s">
        <v>8721</v>
      </c>
      <c r="F249" s="490" t="s">
        <v>7791</v>
      </c>
      <c r="G249" t="s">
        <v>9298</v>
      </c>
      <c r="H249" s="89" t="s">
        <v>6049</v>
      </c>
      <c r="I249" s="89" t="s">
        <v>5952</v>
      </c>
      <c r="J249" s="89" t="s">
        <v>5864</v>
      </c>
      <c r="K249" s="475" t="s">
        <v>5775</v>
      </c>
    </row>
    <row r="250" spans="1:11" ht="28.8" x14ac:dyDescent="0.3">
      <c r="A250" t="s">
        <v>4201</v>
      </c>
      <c r="B250" s="442" t="str">
        <f t="shared" si="7"/>
        <v>B3 - Greenhouse gas emission intensity per turnover (in tCO2e)</v>
      </c>
      <c r="C250" t="s">
        <v>4011</v>
      </c>
      <c r="D250" s="489" t="s">
        <v>8262</v>
      </c>
      <c r="E250" s="489" t="s">
        <v>8722</v>
      </c>
      <c r="F250" s="490" t="s">
        <v>7792</v>
      </c>
      <c r="G250" t="s">
        <v>9299</v>
      </c>
      <c r="H250" s="89" t="s">
        <v>6977</v>
      </c>
      <c r="I250" s="89" t="s">
        <v>6286</v>
      </c>
      <c r="J250" s="89" t="s">
        <v>7331</v>
      </c>
      <c r="K250" s="475" t="s">
        <v>6635</v>
      </c>
    </row>
    <row r="251" spans="1:11" ht="28.8" x14ac:dyDescent="0.3">
      <c r="A251" t="s">
        <v>4202</v>
      </c>
      <c r="B251" s="442" t="str">
        <f t="shared" si="7"/>
        <v>Scope 1 and Scope 2 GHG Emissions intensity (location-based)</v>
      </c>
      <c r="C251" t="s">
        <v>4012</v>
      </c>
      <c r="D251" s="489" t="s">
        <v>8263</v>
      </c>
      <c r="E251" s="489" t="s">
        <v>8723</v>
      </c>
      <c r="F251" s="490" t="s">
        <v>7793</v>
      </c>
      <c r="G251" t="s">
        <v>9300</v>
      </c>
      <c r="H251" s="89" t="s">
        <v>6978</v>
      </c>
      <c r="I251" s="89" t="s">
        <v>6287</v>
      </c>
      <c r="J251" s="89" t="s">
        <v>7332</v>
      </c>
      <c r="K251" s="475" t="s">
        <v>6636</v>
      </c>
    </row>
    <row r="252" spans="1:11" ht="28.8" x14ac:dyDescent="0.3">
      <c r="A252" t="s">
        <v>4203</v>
      </c>
      <c r="B252" s="442" t="str">
        <f t="shared" si="7"/>
        <v>Scope 1 and Scope 2 GHG Emissions intensity (market-based)</v>
      </c>
      <c r="C252" t="s">
        <v>4013</v>
      </c>
      <c r="D252" s="489" t="s">
        <v>8264</v>
      </c>
      <c r="E252" s="489" t="s">
        <v>8724</v>
      </c>
      <c r="F252" s="490" t="s">
        <v>7794</v>
      </c>
      <c r="G252" t="s">
        <v>9301</v>
      </c>
      <c r="H252" s="89" t="s">
        <v>6979</v>
      </c>
      <c r="I252" s="89" t="s">
        <v>6288</v>
      </c>
      <c r="J252" s="89" t="s">
        <v>7333</v>
      </c>
      <c r="K252" s="475" t="s">
        <v>6637</v>
      </c>
    </row>
    <row r="253" spans="1:11" ht="28.8" x14ac:dyDescent="0.3">
      <c r="A253" t="s">
        <v>4204</v>
      </c>
      <c r="B253" s="442" t="str">
        <f t="shared" si="7"/>
        <v>Total Scope 1 Scope 2 and Scope 3 GHG Emissions intensity (location-based)</v>
      </c>
      <c r="C253" t="s">
        <v>4036</v>
      </c>
      <c r="D253" s="489" t="s">
        <v>8265</v>
      </c>
      <c r="E253" s="489" t="s">
        <v>8725</v>
      </c>
      <c r="F253" s="490" t="s">
        <v>7795</v>
      </c>
      <c r="G253" t="s">
        <v>9302</v>
      </c>
      <c r="H253" s="89" t="s">
        <v>6980</v>
      </c>
      <c r="I253" s="89" t="s">
        <v>6289</v>
      </c>
      <c r="J253" s="89" t="s">
        <v>7334</v>
      </c>
      <c r="K253" s="475" t="s">
        <v>6638</v>
      </c>
    </row>
    <row r="254" spans="1:11" s="12" customFormat="1" ht="29.4" thickBot="1" x14ac:dyDescent="0.35">
      <c r="A254" s="12" t="s">
        <v>4205</v>
      </c>
      <c r="B254" s="476" t="str">
        <f t="shared" si="7"/>
        <v>Total Scope 1 Scope 2 and Scope 3 GHG Emissions intensity (market-based)</v>
      </c>
      <c r="C254" s="12" t="s">
        <v>4037</v>
      </c>
      <c r="D254" s="497" t="s">
        <v>8266</v>
      </c>
      <c r="E254" s="497" t="s">
        <v>8726</v>
      </c>
      <c r="F254" s="491" t="s">
        <v>7796</v>
      </c>
      <c r="G254" s="12" t="s">
        <v>9303</v>
      </c>
      <c r="H254" s="443" t="s">
        <v>6981</v>
      </c>
      <c r="I254" s="443" t="s">
        <v>6290</v>
      </c>
      <c r="J254" s="443" t="s">
        <v>7335</v>
      </c>
      <c r="K254" s="495" t="s">
        <v>6639</v>
      </c>
    </row>
    <row r="255" spans="1:11" x14ac:dyDescent="0.3">
      <c r="A255" t="s">
        <v>4206</v>
      </c>
      <c r="B255" s="442" t="str">
        <f t="shared" si="7"/>
        <v>B4 – Pollution of air water and soil</v>
      </c>
      <c r="C255" t="s">
        <v>4038</v>
      </c>
      <c r="D255" s="489" t="s">
        <v>8267</v>
      </c>
      <c r="E255" s="489" t="s">
        <v>8727</v>
      </c>
      <c r="F255" s="490" t="s">
        <v>7797</v>
      </c>
      <c r="G255" t="s">
        <v>9304</v>
      </c>
      <c r="H255" s="89" t="s">
        <v>6018</v>
      </c>
      <c r="I255" s="89" t="s">
        <v>5953</v>
      </c>
      <c r="J255" s="89" t="s">
        <v>7215</v>
      </c>
      <c r="K255" s="475" t="s">
        <v>6555</v>
      </c>
    </row>
    <row r="256" spans="1:11" ht="72" x14ac:dyDescent="0.3">
      <c r="A256" t="s">
        <v>4207</v>
      </c>
      <c r="B256" s="442" t="str">
        <f t="shared" si="7"/>
        <v>Is the undertaking already required by law or other national regulations to report to competent authorities its emissions of pollutants or does it already voluntarily report on them according to an Environmental Management System?</v>
      </c>
      <c r="C256" t="s">
        <v>4039</v>
      </c>
      <c r="D256" s="489" t="s">
        <v>8268</v>
      </c>
      <c r="E256" s="489" t="s">
        <v>8728</v>
      </c>
      <c r="F256" s="490" t="s">
        <v>7798</v>
      </c>
      <c r="G256" t="s">
        <v>9305</v>
      </c>
      <c r="H256" s="89" t="s">
        <v>6982</v>
      </c>
      <c r="I256" s="89" t="s">
        <v>6291</v>
      </c>
      <c r="J256" s="89" t="s">
        <v>7336</v>
      </c>
      <c r="K256" s="475" t="s">
        <v>6640</v>
      </c>
    </row>
    <row r="257" spans="1:11" ht="28.8" x14ac:dyDescent="0.3">
      <c r="A257" t="s">
        <v>4208</v>
      </c>
      <c r="B257" s="442" t="str">
        <f t="shared" si="7"/>
        <v>Is this disclosure already publicly available?</v>
      </c>
      <c r="C257" t="s">
        <v>3072</v>
      </c>
      <c r="D257" s="489" t="s">
        <v>8269</v>
      </c>
      <c r="E257" s="489" t="s">
        <v>8729</v>
      </c>
      <c r="F257" s="490" t="s">
        <v>7799</v>
      </c>
      <c r="G257" t="s">
        <v>9306</v>
      </c>
      <c r="H257" s="89" t="s">
        <v>6019</v>
      </c>
      <c r="I257" s="89" t="s">
        <v>6292</v>
      </c>
      <c r="J257" s="89" t="s">
        <v>5865</v>
      </c>
      <c r="K257" s="475" t="s">
        <v>6641</v>
      </c>
    </row>
    <row r="258" spans="1:11" ht="28.8" x14ac:dyDescent="0.3">
      <c r="A258" t="s">
        <v>4209</v>
      </c>
      <c r="B258" s="442" t="str">
        <f t="shared" si="7"/>
        <v>Please provide the relevant URL link or hyperlink of where this information is reported</v>
      </c>
      <c r="C258" t="s">
        <v>3975</v>
      </c>
      <c r="D258" s="489" t="s">
        <v>8270</v>
      </c>
      <c r="E258" s="489" t="s">
        <v>8730</v>
      </c>
      <c r="F258" s="490" t="s">
        <v>7800</v>
      </c>
      <c r="G258" t="s">
        <v>9307</v>
      </c>
      <c r="H258" s="89" t="s">
        <v>6983</v>
      </c>
      <c r="I258" s="89" t="s">
        <v>6293</v>
      </c>
      <c r="J258" s="89" t="s">
        <v>7337</v>
      </c>
      <c r="K258" s="475" t="s">
        <v>6642</v>
      </c>
    </row>
    <row r="259" spans="1:11" ht="28.8" x14ac:dyDescent="0.3">
      <c r="A259" t="s">
        <v>4210</v>
      </c>
      <c r="B259" s="442" t="str">
        <f t="shared" si="7"/>
        <v>Please select the unit used for reporting the amount (i.e. either kg or tonne)</v>
      </c>
      <c r="C259" t="s">
        <v>3069</v>
      </c>
      <c r="D259" s="489" t="s">
        <v>8271</v>
      </c>
      <c r="E259" s="489" t="s">
        <v>8731</v>
      </c>
      <c r="F259" s="490" t="s">
        <v>7801</v>
      </c>
      <c r="G259" t="s">
        <v>9308</v>
      </c>
      <c r="H259" s="89" t="s">
        <v>6984</v>
      </c>
      <c r="I259" s="89" t="s">
        <v>6294</v>
      </c>
      <c r="J259" s="89" t="s">
        <v>7338</v>
      </c>
      <c r="K259" s="475" t="s">
        <v>6643</v>
      </c>
    </row>
    <row r="260" spans="1:11" x14ac:dyDescent="0.3">
      <c r="A260" t="s">
        <v>4211</v>
      </c>
      <c r="B260" s="442" t="str">
        <f t="shared" ref="B260:B323" si="8">INDEX(C260:K260,MATCH(template_selected_display_language,$C$3:$K$3,0))</f>
        <v>Row ID</v>
      </c>
      <c r="C260" t="s">
        <v>15</v>
      </c>
      <c r="D260" s="489" t="s">
        <v>8272</v>
      </c>
      <c r="E260" s="489" t="s">
        <v>8732</v>
      </c>
      <c r="F260" s="490" t="s">
        <v>7802</v>
      </c>
      <c r="G260" t="s">
        <v>9309</v>
      </c>
      <c r="H260" s="89" t="s">
        <v>6020</v>
      </c>
      <c r="I260" s="89" t="s">
        <v>5954</v>
      </c>
      <c r="J260" s="89" t="s">
        <v>5866</v>
      </c>
      <c r="K260" s="475" t="s">
        <v>5776</v>
      </c>
    </row>
    <row r="261" spans="1:11" ht="43.2" x14ac:dyDescent="0.3">
      <c r="A261" t="s">
        <v>4212</v>
      </c>
      <c r="B261" s="442" t="str">
        <f t="shared" si="8"/>
        <v>Pollutant</v>
      </c>
      <c r="C261" t="s">
        <v>3976</v>
      </c>
      <c r="D261" s="489" t="s">
        <v>8273</v>
      </c>
      <c r="E261" s="489" t="s">
        <v>8733</v>
      </c>
      <c r="F261" s="490" t="s">
        <v>7803</v>
      </c>
      <c r="G261" t="s">
        <v>9310</v>
      </c>
      <c r="H261" s="89" t="s">
        <v>6060</v>
      </c>
      <c r="I261" s="89" t="s">
        <v>6295</v>
      </c>
      <c r="J261" s="89" t="s">
        <v>5867</v>
      </c>
      <c r="K261" s="475" t="s">
        <v>5777</v>
      </c>
    </row>
    <row r="262" spans="1:11" x14ac:dyDescent="0.3">
      <c r="A262" t="s">
        <v>4213</v>
      </c>
      <c r="B262" s="442" t="str">
        <f t="shared" si="8"/>
        <v>Emission to air</v>
      </c>
      <c r="C262" t="s">
        <v>3977</v>
      </c>
      <c r="D262" s="489" t="s">
        <v>8274</v>
      </c>
      <c r="E262" s="489" t="s">
        <v>8734</v>
      </c>
      <c r="F262" s="490" t="s">
        <v>7804</v>
      </c>
      <c r="G262" t="s">
        <v>9311</v>
      </c>
      <c r="H262" s="89" t="s">
        <v>6985</v>
      </c>
      <c r="I262" s="89" t="s">
        <v>6074</v>
      </c>
      <c r="J262" s="89" t="s">
        <v>7339</v>
      </c>
      <c r="K262" s="475" t="s">
        <v>6490</v>
      </c>
    </row>
    <row r="263" spans="1:11" x14ac:dyDescent="0.3">
      <c r="A263" t="s">
        <v>4214</v>
      </c>
      <c r="B263" s="442" t="str">
        <f t="shared" si="8"/>
        <v>Emission to water</v>
      </c>
      <c r="C263" t="s">
        <v>3978</v>
      </c>
      <c r="D263" s="489" t="s">
        <v>8275</v>
      </c>
      <c r="E263" s="489" t="s">
        <v>8735</v>
      </c>
      <c r="F263" s="490" t="s">
        <v>7805</v>
      </c>
      <c r="G263" t="s">
        <v>9312</v>
      </c>
      <c r="H263" s="89" t="s">
        <v>6986</v>
      </c>
      <c r="I263" s="89" t="s">
        <v>5955</v>
      </c>
      <c r="J263" s="89" t="s">
        <v>5868</v>
      </c>
      <c r="K263" s="475" t="s">
        <v>6491</v>
      </c>
    </row>
    <row r="264" spans="1:11" s="12" customFormat="1" ht="15" thickBot="1" x14ac:dyDescent="0.35">
      <c r="A264" s="12" t="s">
        <v>4215</v>
      </c>
      <c r="B264" s="476" t="str">
        <f t="shared" si="8"/>
        <v>Emission to soil</v>
      </c>
      <c r="C264" s="12" t="s">
        <v>3979</v>
      </c>
      <c r="D264" s="497" t="s">
        <v>8276</v>
      </c>
      <c r="E264" s="497" t="s">
        <v>8736</v>
      </c>
      <c r="F264" s="491" t="s">
        <v>7806</v>
      </c>
      <c r="G264" s="12" t="s">
        <v>9313</v>
      </c>
      <c r="H264" s="443" t="s">
        <v>6987</v>
      </c>
      <c r="I264" s="443" t="s">
        <v>5956</v>
      </c>
      <c r="J264" s="443" t="s">
        <v>5869</v>
      </c>
      <c r="K264" s="495" t="s">
        <v>6492</v>
      </c>
    </row>
    <row r="265" spans="1:11" ht="28.8" x14ac:dyDescent="0.3">
      <c r="A265" t="s">
        <v>4216</v>
      </c>
      <c r="B265" s="442" t="str">
        <f t="shared" si="8"/>
        <v>B5 - Sites in biodiversity sensitive areas</v>
      </c>
      <c r="C265" t="s">
        <v>4014</v>
      </c>
      <c r="D265" s="489" t="s">
        <v>8277</v>
      </c>
      <c r="E265" s="489" t="s">
        <v>8737</v>
      </c>
      <c r="F265" s="490" t="s">
        <v>7807</v>
      </c>
      <c r="G265" t="s">
        <v>9314</v>
      </c>
      <c r="H265" s="89" t="s">
        <v>6988</v>
      </c>
      <c r="I265" s="89" t="s">
        <v>6296</v>
      </c>
      <c r="J265" s="89" t="s">
        <v>7340</v>
      </c>
      <c r="K265" s="475" t="s">
        <v>6644</v>
      </c>
    </row>
    <row r="266" spans="1:11" ht="43.2" x14ac:dyDescent="0.3">
      <c r="A266" t="s">
        <v>4217</v>
      </c>
      <c r="B266" s="442" t="str">
        <f t="shared" si="8"/>
        <v>Does the undertaking have sites that are located in or near biodiversity sensitive areas?</v>
      </c>
      <c r="C266" t="s">
        <v>3088</v>
      </c>
      <c r="D266" s="489" t="s">
        <v>8278</v>
      </c>
      <c r="E266" s="489" t="s">
        <v>8738</v>
      </c>
      <c r="F266" s="490" t="s">
        <v>7808</v>
      </c>
      <c r="G266" t="s">
        <v>9315</v>
      </c>
      <c r="H266" s="89" t="s">
        <v>6989</v>
      </c>
      <c r="I266" s="89" t="s">
        <v>6297</v>
      </c>
      <c r="J266" s="89" t="s">
        <v>7341</v>
      </c>
      <c r="K266" s="475" t="s">
        <v>6645</v>
      </c>
    </row>
    <row r="267" spans="1:11" ht="28.8" x14ac:dyDescent="0.3">
      <c r="A267" t="s">
        <v>4218</v>
      </c>
      <c r="B267" s="442" t="str">
        <f t="shared" si="8"/>
        <v>Please select the unit used for the area (i.e. either hectares or m²):</v>
      </c>
      <c r="C267" t="s">
        <v>3067</v>
      </c>
      <c r="D267" s="489" t="s">
        <v>8279</v>
      </c>
      <c r="E267" s="489" t="s">
        <v>8739</v>
      </c>
      <c r="F267" s="490" t="s">
        <v>7809</v>
      </c>
      <c r="G267" t="s">
        <v>9316</v>
      </c>
      <c r="H267" s="89" t="s">
        <v>6990</v>
      </c>
      <c r="I267" s="89" t="s">
        <v>6298</v>
      </c>
      <c r="J267" s="89" t="s">
        <v>7342</v>
      </c>
      <c r="K267" s="475" t="s">
        <v>6646</v>
      </c>
    </row>
    <row r="268" spans="1:11" ht="28.8" x14ac:dyDescent="0.3">
      <c r="A268" t="s">
        <v>4219</v>
      </c>
      <c r="B268" s="442" t="str">
        <f t="shared" si="8"/>
        <v>Related Site ID (select an ID from a site location reported in B1)</v>
      </c>
      <c r="C268" t="s">
        <v>3545</v>
      </c>
      <c r="D268" s="489" t="s">
        <v>8280</v>
      </c>
      <c r="E268" s="489" t="s">
        <v>8740</v>
      </c>
      <c r="F268" s="490" t="s">
        <v>7810</v>
      </c>
      <c r="G268" t="s">
        <v>9317</v>
      </c>
      <c r="H268" s="89" t="s">
        <v>6991</v>
      </c>
      <c r="I268" s="89" t="s">
        <v>6299</v>
      </c>
      <c r="J268" s="89" t="s">
        <v>7343</v>
      </c>
      <c r="K268" s="475" t="s">
        <v>6647</v>
      </c>
    </row>
    <row r="269" spans="1:11" ht="57.6" x14ac:dyDescent="0.3">
      <c r="A269" t="s">
        <v>4220</v>
      </c>
      <c r="B269" s="442" t="str">
        <f t="shared" si="8"/>
        <v>Site Location in near a biodiversity area - auto filled from B1</v>
      </c>
      <c r="C269" t="s">
        <v>4056</v>
      </c>
      <c r="D269" s="489" t="s">
        <v>8281</v>
      </c>
      <c r="E269" s="489" t="s">
        <v>8741</v>
      </c>
      <c r="F269" s="490" t="s">
        <v>7811</v>
      </c>
      <c r="G269" t="s">
        <v>9318</v>
      </c>
      <c r="H269" s="89" t="s">
        <v>6992</v>
      </c>
      <c r="I269" s="89" t="s">
        <v>6300</v>
      </c>
      <c r="J269" s="89" t="s">
        <v>7344</v>
      </c>
      <c r="K269" s="475" t="s">
        <v>6648</v>
      </c>
    </row>
    <row r="270" spans="1:11" x14ac:dyDescent="0.3">
      <c r="A270" t="s">
        <v>4221</v>
      </c>
      <c r="B270" s="442" t="str">
        <f t="shared" si="8"/>
        <v>Area (hectares or m² based on the selection above)</v>
      </c>
      <c r="C270" t="s">
        <v>3065</v>
      </c>
      <c r="D270" s="489" t="s">
        <v>8282</v>
      </c>
      <c r="E270" s="489" t="s">
        <v>8742</v>
      </c>
      <c r="F270" s="490" t="s">
        <v>7812</v>
      </c>
      <c r="G270" t="s">
        <v>9319</v>
      </c>
      <c r="H270" s="89" t="s">
        <v>6993</v>
      </c>
      <c r="I270" s="89" t="s">
        <v>6301</v>
      </c>
      <c r="J270" s="89" t="s">
        <v>5870</v>
      </c>
      <c r="K270" s="475" t="s">
        <v>6649</v>
      </c>
    </row>
    <row r="271" spans="1:11" ht="28.8" x14ac:dyDescent="0.3">
      <c r="A271" t="s">
        <v>4222</v>
      </c>
      <c r="B271" s="442" t="str">
        <f t="shared" si="8"/>
        <v>Site located in a biodiversity sensitive area</v>
      </c>
      <c r="C271" t="s">
        <v>2915</v>
      </c>
      <c r="D271" s="489" t="s">
        <v>8283</v>
      </c>
      <c r="E271" s="489" t="s">
        <v>8743</v>
      </c>
      <c r="F271" s="490" t="s">
        <v>7813</v>
      </c>
      <c r="G271" t="s">
        <v>9320</v>
      </c>
      <c r="H271" s="89" t="s">
        <v>6994</v>
      </c>
      <c r="I271" s="89" t="s">
        <v>6302</v>
      </c>
      <c r="J271" s="89" t="s">
        <v>5871</v>
      </c>
      <c r="K271" s="475" t="s">
        <v>6650</v>
      </c>
    </row>
    <row r="272" spans="1:11" s="12" customFormat="1" ht="29.4" thickBot="1" x14ac:dyDescent="0.35">
      <c r="A272" s="12" t="s">
        <v>4223</v>
      </c>
      <c r="B272" s="476" t="str">
        <f t="shared" si="8"/>
        <v>Site located near a biodiversity sensitive area</v>
      </c>
      <c r="C272" s="12" t="s">
        <v>2916</v>
      </c>
      <c r="D272" s="497" t="s">
        <v>8284</v>
      </c>
      <c r="E272" s="497" t="s">
        <v>8744</v>
      </c>
      <c r="F272" s="491" t="s">
        <v>7814</v>
      </c>
      <c r="G272" s="12" t="s">
        <v>9321</v>
      </c>
      <c r="H272" s="443" t="s">
        <v>6995</v>
      </c>
      <c r="I272" s="443" t="s">
        <v>6303</v>
      </c>
      <c r="J272" s="443" t="s">
        <v>7345</v>
      </c>
      <c r="K272" s="495" t="s">
        <v>6651</v>
      </c>
    </row>
    <row r="273" spans="1:11" x14ac:dyDescent="0.3">
      <c r="A273" t="s">
        <v>4224</v>
      </c>
      <c r="B273" s="442" t="str">
        <f t="shared" si="8"/>
        <v>B5 - Biodiversity - Land-use</v>
      </c>
      <c r="C273" t="s">
        <v>4015</v>
      </c>
      <c r="D273" s="489" t="s">
        <v>8285</v>
      </c>
      <c r="E273" s="489" t="s">
        <v>8745</v>
      </c>
      <c r="F273" s="490" t="s">
        <v>7815</v>
      </c>
      <c r="G273" t="s">
        <v>9322</v>
      </c>
      <c r="H273" s="89" t="s">
        <v>6021</v>
      </c>
      <c r="I273" s="89" t="s">
        <v>6304</v>
      </c>
      <c r="J273" s="89" t="s">
        <v>7346</v>
      </c>
      <c r="K273" s="475" t="s">
        <v>6652</v>
      </c>
    </row>
    <row r="274" spans="1:11" x14ac:dyDescent="0.3">
      <c r="A274" t="s">
        <v>4225</v>
      </c>
      <c r="B274" s="442" t="str">
        <f t="shared" si="8"/>
        <v>Land-use type</v>
      </c>
      <c r="C274" t="s">
        <v>17</v>
      </c>
      <c r="D274" s="489" t="s">
        <v>8286</v>
      </c>
      <c r="E274" s="500" t="s">
        <v>8746</v>
      </c>
      <c r="F274" s="490" t="s">
        <v>7816</v>
      </c>
      <c r="G274" t="s">
        <v>9323</v>
      </c>
      <c r="H274" s="89" t="s">
        <v>6061</v>
      </c>
      <c r="I274" s="89" t="s">
        <v>6305</v>
      </c>
      <c r="J274" s="89" t="s">
        <v>5872</v>
      </c>
      <c r="K274" s="475" t="s">
        <v>6653</v>
      </c>
    </row>
    <row r="275" spans="1:11" x14ac:dyDescent="0.3">
      <c r="A275" t="s">
        <v>4226</v>
      </c>
      <c r="B275" s="442" t="str">
        <f t="shared" si="8"/>
        <v>Area</v>
      </c>
      <c r="C275" t="s">
        <v>3532</v>
      </c>
      <c r="D275" s="489" t="s">
        <v>8287</v>
      </c>
      <c r="E275" s="475" t="s">
        <v>8747</v>
      </c>
      <c r="F275" s="490" t="s">
        <v>7817</v>
      </c>
      <c r="G275" t="s">
        <v>9324</v>
      </c>
      <c r="H275" s="89" t="s">
        <v>6996</v>
      </c>
      <c r="I275" s="89" t="s">
        <v>6306</v>
      </c>
      <c r="J275" s="89" t="s">
        <v>5778</v>
      </c>
      <c r="K275" s="475" t="s">
        <v>5778</v>
      </c>
    </row>
    <row r="276" spans="1:11" x14ac:dyDescent="0.3">
      <c r="A276" t="s">
        <v>4227</v>
      </c>
      <c r="B276" s="442" t="str">
        <f t="shared" si="8"/>
        <v>Total sealed area</v>
      </c>
      <c r="C276" t="s">
        <v>18</v>
      </c>
      <c r="D276" s="489" t="s">
        <v>8288</v>
      </c>
      <c r="E276" s="489" t="s">
        <v>8748</v>
      </c>
      <c r="F276" s="490" t="s">
        <v>7818</v>
      </c>
      <c r="G276" t="s">
        <v>9325</v>
      </c>
      <c r="H276" s="89" t="s">
        <v>6997</v>
      </c>
      <c r="I276" s="89" t="s">
        <v>6307</v>
      </c>
      <c r="J276" s="89" t="s">
        <v>7347</v>
      </c>
      <c r="K276" s="475" t="s">
        <v>6654</v>
      </c>
    </row>
    <row r="277" spans="1:11" ht="28.8" x14ac:dyDescent="0.3">
      <c r="A277" t="s">
        <v>4228</v>
      </c>
      <c r="B277" s="442" t="str">
        <f t="shared" si="8"/>
        <v>Total nature-oriented area on-site</v>
      </c>
      <c r="C277" t="s">
        <v>3980</v>
      </c>
      <c r="D277" s="489" t="s">
        <v>8289</v>
      </c>
      <c r="E277" s="489" t="s">
        <v>8749</v>
      </c>
      <c r="F277" s="490" t="s">
        <v>7819</v>
      </c>
      <c r="G277" t="s">
        <v>9326</v>
      </c>
      <c r="H277" s="89" t="s">
        <v>6998</v>
      </c>
      <c r="I277" s="89" t="s">
        <v>6308</v>
      </c>
      <c r="J277" s="89" t="s">
        <v>7348</v>
      </c>
      <c r="K277" s="475" t="s">
        <v>6655</v>
      </c>
    </row>
    <row r="278" spans="1:11" ht="28.8" x14ac:dyDescent="0.3">
      <c r="A278" t="s">
        <v>4229</v>
      </c>
      <c r="B278" s="442" t="str">
        <f t="shared" si="8"/>
        <v>Total nature-oriented area off-site</v>
      </c>
      <c r="C278" t="s">
        <v>3981</v>
      </c>
      <c r="D278" s="489" t="s">
        <v>8290</v>
      </c>
      <c r="E278" s="489" t="s">
        <v>8750</v>
      </c>
      <c r="F278" s="490" t="s">
        <v>7820</v>
      </c>
      <c r="G278" t="s">
        <v>9327</v>
      </c>
      <c r="H278" s="89" t="s">
        <v>6999</v>
      </c>
      <c r="I278" s="89" t="s">
        <v>6309</v>
      </c>
      <c r="J278" s="89" t="s">
        <v>7349</v>
      </c>
      <c r="K278" s="475" t="s">
        <v>6656</v>
      </c>
    </row>
    <row r="279" spans="1:11" s="12" customFormat="1" ht="15" thickBot="1" x14ac:dyDescent="0.35">
      <c r="A279" s="12" t="s">
        <v>4230</v>
      </c>
      <c r="B279" s="476" t="str">
        <f t="shared" si="8"/>
        <v>Total use of land</v>
      </c>
      <c r="C279" s="12" t="s">
        <v>19</v>
      </c>
      <c r="D279" s="497" t="s">
        <v>8291</v>
      </c>
      <c r="E279" s="497" t="s">
        <v>8751</v>
      </c>
      <c r="F279" s="491" t="s">
        <v>7821</v>
      </c>
      <c r="G279" s="12" t="s">
        <v>9328</v>
      </c>
      <c r="H279" s="443" t="s">
        <v>6022</v>
      </c>
      <c r="I279" s="443" t="s">
        <v>6310</v>
      </c>
      <c r="J279" s="443" t="s">
        <v>7350</v>
      </c>
      <c r="K279" s="495" t="s">
        <v>5779</v>
      </c>
    </row>
    <row r="280" spans="1:11" x14ac:dyDescent="0.3">
      <c r="A280" t="s">
        <v>4231</v>
      </c>
      <c r="B280" s="442" t="str">
        <f t="shared" si="8"/>
        <v>B6 - Water Withdrawal</v>
      </c>
      <c r="C280" t="s">
        <v>4016</v>
      </c>
      <c r="D280" s="489" t="s">
        <v>8292</v>
      </c>
      <c r="E280" s="489" t="s">
        <v>8752</v>
      </c>
      <c r="F280" s="490" t="s">
        <v>7822</v>
      </c>
      <c r="G280" t="s">
        <v>9329</v>
      </c>
      <c r="H280" s="89" t="s">
        <v>7000</v>
      </c>
      <c r="I280" s="89" t="s">
        <v>6311</v>
      </c>
      <c r="J280" s="89" t="s">
        <v>7351</v>
      </c>
      <c r="K280" s="475" t="s">
        <v>5715</v>
      </c>
    </row>
    <row r="281" spans="1:11" ht="28.8" x14ac:dyDescent="0.3">
      <c r="A281" t="s">
        <v>4232</v>
      </c>
      <c r="B281" s="442" t="str">
        <f t="shared" si="8"/>
        <v>Total amount of water withdrawn from all sites (cubic meters m³)</v>
      </c>
      <c r="C281" t="s">
        <v>4040</v>
      </c>
      <c r="D281" s="489" t="s">
        <v>8293</v>
      </c>
      <c r="E281" s="489" t="s">
        <v>8753</v>
      </c>
      <c r="F281" s="490" t="s">
        <v>7823</v>
      </c>
      <c r="G281" t="s">
        <v>9330</v>
      </c>
      <c r="H281" s="89" t="s">
        <v>7001</v>
      </c>
      <c r="I281" s="89" t="s">
        <v>6312</v>
      </c>
      <c r="J281" s="89" t="s">
        <v>7352</v>
      </c>
      <c r="K281" s="475" t="s">
        <v>6657</v>
      </c>
    </row>
    <row r="282" spans="1:11" s="12" customFormat="1" ht="29.4" thickBot="1" x14ac:dyDescent="0.35">
      <c r="A282" s="12" t="s">
        <v>4233</v>
      </c>
      <c r="B282" s="476" t="str">
        <f t="shared" si="8"/>
        <v>Amount of water withdrawn at sites located in areas of high water-stress (cubic meters m³)</v>
      </c>
      <c r="C282" s="12" t="s">
        <v>4041</v>
      </c>
      <c r="D282" s="497" t="s">
        <v>8294</v>
      </c>
      <c r="E282" s="497" t="s">
        <v>8754</v>
      </c>
      <c r="F282" s="491" t="s">
        <v>7824</v>
      </c>
      <c r="G282" s="12" t="s">
        <v>9331</v>
      </c>
      <c r="H282" s="443" t="s">
        <v>7002</v>
      </c>
      <c r="I282" s="443" t="s">
        <v>6313</v>
      </c>
      <c r="J282" s="443" t="s">
        <v>7353</v>
      </c>
      <c r="K282" s="495" t="s">
        <v>6658</v>
      </c>
    </row>
    <row r="283" spans="1:11" ht="28.8" x14ac:dyDescent="0.3">
      <c r="A283" t="s">
        <v>4234</v>
      </c>
      <c r="B283" s="442" t="str">
        <f t="shared" si="8"/>
        <v>B6 - Water Consumption</v>
      </c>
      <c r="C283" t="s">
        <v>4017</v>
      </c>
      <c r="D283" s="489" t="s">
        <v>8295</v>
      </c>
      <c r="E283" s="489" t="s">
        <v>8755</v>
      </c>
      <c r="F283" s="490" t="s">
        <v>7825</v>
      </c>
      <c r="G283" t="s">
        <v>9332</v>
      </c>
      <c r="H283" s="89" t="s">
        <v>7003</v>
      </c>
      <c r="I283" s="89" t="s">
        <v>6075</v>
      </c>
      <c r="J283" s="89" t="s">
        <v>7354</v>
      </c>
      <c r="K283" s="475" t="s">
        <v>6659</v>
      </c>
    </row>
    <row r="284" spans="1:11" ht="86.4" x14ac:dyDescent="0.3">
      <c r="A284" t="s">
        <v>4235</v>
      </c>
      <c r="B284" s="442" t="str">
        <f t="shared" si="8"/>
        <v>Does the undertaking have production processes in place which significantly consume water (e.g. thermal energy processes like drying or power production production of goods agricultural irrigation etc.)?</v>
      </c>
      <c r="C284" t="s">
        <v>4042</v>
      </c>
      <c r="D284" s="489" t="s">
        <v>8296</v>
      </c>
      <c r="E284" s="489" t="s">
        <v>8756</v>
      </c>
      <c r="F284" s="490" t="s">
        <v>7826</v>
      </c>
      <c r="G284" t="s">
        <v>9333</v>
      </c>
      <c r="H284" s="89" t="s">
        <v>7004</v>
      </c>
      <c r="I284" s="89" t="s">
        <v>6314</v>
      </c>
      <c r="J284" s="89" t="s">
        <v>7355</v>
      </c>
      <c r="K284" s="475" t="s">
        <v>6660</v>
      </c>
    </row>
    <row r="285" spans="1:11" ht="28.8" x14ac:dyDescent="0.3">
      <c r="A285" t="s">
        <v>4236</v>
      </c>
      <c r="B285" s="442" t="str">
        <f t="shared" si="8"/>
        <v>Water discharge from undertaking production processes (m³)</v>
      </c>
      <c r="C285" t="s">
        <v>3533</v>
      </c>
      <c r="D285" s="489" t="s">
        <v>8297</v>
      </c>
      <c r="E285" s="489" t="s">
        <v>8757</v>
      </c>
      <c r="F285" s="490" t="s">
        <v>7827</v>
      </c>
      <c r="G285" t="s">
        <v>9334</v>
      </c>
      <c r="H285" s="89" t="s">
        <v>7005</v>
      </c>
      <c r="I285" s="89" t="s">
        <v>6315</v>
      </c>
      <c r="J285" s="89" t="s">
        <v>7356</v>
      </c>
      <c r="K285" s="475" t="s">
        <v>6661</v>
      </c>
    </row>
    <row r="286" spans="1:11" s="12" customFormat="1" ht="15" thickBot="1" x14ac:dyDescent="0.35">
      <c r="A286" s="12" t="s">
        <v>4237</v>
      </c>
      <c r="B286" s="476" t="str">
        <f t="shared" si="8"/>
        <v>Total water consumption (m³)</v>
      </c>
      <c r="C286" s="12" t="s">
        <v>3606</v>
      </c>
      <c r="D286" s="497" t="s">
        <v>8298</v>
      </c>
      <c r="E286" s="497" t="s">
        <v>8758</v>
      </c>
      <c r="F286" s="491" t="s">
        <v>7828</v>
      </c>
      <c r="G286" s="12" t="s">
        <v>9335</v>
      </c>
      <c r="H286" s="443" t="s">
        <v>6023</v>
      </c>
      <c r="I286" s="443" t="s">
        <v>6076</v>
      </c>
      <c r="J286" s="443" t="s">
        <v>5873</v>
      </c>
      <c r="K286" s="495" t="s">
        <v>6100</v>
      </c>
    </row>
    <row r="287" spans="1:11" x14ac:dyDescent="0.3">
      <c r="A287" t="s">
        <v>4238</v>
      </c>
      <c r="B287" s="442" t="str">
        <f t="shared" si="8"/>
        <v>B7 - Description of circular economy principles</v>
      </c>
      <c r="C287" t="s">
        <v>4018</v>
      </c>
      <c r="D287" s="489" t="s">
        <v>8299</v>
      </c>
      <c r="E287" s="489" t="s">
        <v>8759</v>
      </c>
      <c r="F287" s="490" t="s">
        <v>7829</v>
      </c>
      <c r="G287" t="s">
        <v>9336</v>
      </c>
      <c r="H287" s="89" t="s">
        <v>6024</v>
      </c>
      <c r="I287" s="89" t="s">
        <v>6316</v>
      </c>
      <c r="J287" s="89" t="s">
        <v>5874</v>
      </c>
      <c r="K287" s="475" t="s">
        <v>6662</v>
      </c>
    </row>
    <row r="288" spans="1:11" ht="28.8" x14ac:dyDescent="0.3">
      <c r="A288" t="s">
        <v>4239</v>
      </c>
      <c r="B288" s="442" t="str">
        <f t="shared" si="8"/>
        <v>Undertaking applies circular economy principles</v>
      </c>
      <c r="C288" t="s">
        <v>3540</v>
      </c>
      <c r="D288" s="489" t="s">
        <v>8300</v>
      </c>
      <c r="E288" s="489" t="s">
        <v>8760</v>
      </c>
      <c r="F288" s="490" t="s">
        <v>7830</v>
      </c>
      <c r="G288" t="s">
        <v>9337</v>
      </c>
      <c r="H288" s="89" t="s">
        <v>6025</v>
      </c>
      <c r="I288" s="89" t="s">
        <v>6317</v>
      </c>
      <c r="J288" s="89" t="s">
        <v>7357</v>
      </c>
      <c r="K288" s="475" t="s">
        <v>6663</v>
      </c>
    </row>
    <row r="289" spans="1:11" s="12" customFormat="1" ht="29.4" thickBot="1" x14ac:dyDescent="0.35">
      <c r="A289" s="12" t="s">
        <v>4240</v>
      </c>
      <c r="B289" s="476" t="str">
        <f t="shared" si="8"/>
        <v>Description of how it applies these principles</v>
      </c>
      <c r="C289" s="12" t="s">
        <v>2918</v>
      </c>
      <c r="D289" s="497" t="s">
        <v>8301</v>
      </c>
      <c r="E289" s="497" t="s">
        <v>8761</v>
      </c>
      <c r="F289" s="491" t="s">
        <v>7831</v>
      </c>
      <c r="G289" s="12" t="s">
        <v>9338</v>
      </c>
      <c r="H289" s="443" t="s">
        <v>7006</v>
      </c>
      <c r="I289" s="443" t="s">
        <v>5957</v>
      </c>
      <c r="J289" s="443" t="s">
        <v>7358</v>
      </c>
      <c r="K289" s="495" t="s">
        <v>6664</v>
      </c>
    </row>
    <row r="290" spans="1:11" ht="28.8" x14ac:dyDescent="0.3">
      <c r="A290" t="s">
        <v>4241</v>
      </c>
      <c r="B290" s="442" t="str">
        <f t="shared" si="8"/>
        <v>B7 - Waste generated</v>
      </c>
      <c r="C290" t="s">
        <v>4019</v>
      </c>
      <c r="D290" s="489" t="s">
        <v>8302</v>
      </c>
      <c r="E290" s="489" t="s">
        <v>8762</v>
      </c>
      <c r="F290" s="490" t="s">
        <v>7832</v>
      </c>
      <c r="G290" t="s">
        <v>9339</v>
      </c>
      <c r="H290" s="89" t="s">
        <v>7007</v>
      </c>
      <c r="I290" s="89" t="s">
        <v>5958</v>
      </c>
      <c r="J290" s="89" t="s">
        <v>5875</v>
      </c>
      <c r="K290" s="475" t="s">
        <v>6665</v>
      </c>
    </row>
    <row r="291" spans="1:11" x14ac:dyDescent="0.3">
      <c r="A291" t="s">
        <v>4242</v>
      </c>
      <c r="B291" s="442" t="str">
        <f t="shared" si="8"/>
        <v>Type of waste</v>
      </c>
      <c r="C291" t="s">
        <v>2760</v>
      </c>
      <c r="D291" s="489" t="s">
        <v>8303</v>
      </c>
      <c r="E291" s="489" t="s">
        <v>8763</v>
      </c>
      <c r="F291" s="490" t="s">
        <v>7833</v>
      </c>
      <c r="G291" t="s">
        <v>9340</v>
      </c>
      <c r="H291" s="89" t="s">
        <v>6026</v>
      </c>
      <c r="I291" s="89" t="s">
        <v>6318</v>
      </c>
      <c r="J291" s="89" t="s">
        <v>7359</v>
      </c>
      <c r="K291" s="475" t="s">
        <v>6666</v>
      </c>
    </row>
    <row r="292" spans="1:11" x14ac:dyDescent="0.3">
      <c r="A292" t="s">
        <v>4243</v>
      </c>
      <c r="B292" s="442" t="str">
        <f t="shared" si="8"/>
        <v>Unit of measurement</v>
      </c>
      <c r="C292" t="s">
        <v>2756</v>
      </c>
      <c r="D292" s="489" t="s">
        <v>8304</v>
      </c>
      <c r="E292" s="489" t="s">
        <v>8764</v>
      </c>
      <c r="F292" s="490" t="s">
        <v>7834</v>
      </c>
      <c r="G292" t="s">
        <v>9341</v>
      </c>
      <c r="H292" s="89" t="s">
        <v>6027</v>
      </c>
      <c r="I292" s="89" t="s">
        <v>5959</v>
      </c>
      <c r="J292" s="89" t="s">
        <v>5876</v>
      </c>
      <c r="K292" s="475" t="s">
        <v>5780</v>
      </c>
    </row>
    <row r="293" spans="1:11" ht="28.8" x14ac:dyDescent="0.3">
      <c r="A293" t="s">
        <v>4244</v>
      </c>
      <c r="B293" s="442" t="str">
        <f t="shared" si="8"/>
        <v>Waste diverted to recycle or reuse</v>
      </c>
      <c r="C293" t="s">
        <v>3982</v>
      </c>
      <c r="D293" s="489" t="s">
        <v>8305</v>
      </c>
      <c r="E293" s="489" t="s">
        <v>8765</v>
      </c>
      <c r="F293" s="490" t="s">
        <v>7835</v>
      </c>
      <c r="G293" t="s">
        <v>9342</v>
      </c>
      <c r="H293" s="89" t="s">
        <v>6028</v>
      </c>
      <c r="I293" s="89" t="s">
        <v>5960</v>
      </c>
      <c r="J293" s="89" t="s">
        <v>6094</v>
      </c>
      <c r="K293" s="475" t="s">
        <v>5781</v>
      </c>
    </row>
    <row r="294" spans="1:11" x14ac:dyDescent="0.3">
      <c r="A294" t="s">
        <v>4245</v>
      </c>
      <c r="B294" s="442" t="str">
        <f t="shared" si="8"/>
        <v>Waste directed to disposal</v>
      </c>
      <c r="C294" t="s">
        <v>3071</v>
      </c>
      <c r="D294" s="489" t="s">
        <v>8306</v>
      </c>
      <c r="E294" s="489" t="s">
        <v>8766</v>
      </c>
      <c r="F294" s="490" t="s">
        <v>7836</v>
      </c>
      <c r="G294" t="s">
        <v>9343</v>
      </c>
      <c r="H294" s="89" t="s">
        <v>7008</v>
      </c>
      <c r="I294" s="89" t="s">
        <v>6319</v>
      </c>
      <c r="J294" s="89" t="s">
        <v>7360</v>
      </c>
      <c r="K294" s="475" t="s">
        <v>6667</v>
      </c>
    </row>
    <row r="295" spans="1:11" ht="28.8" x14ac:dyDescent="0.3">
      <c r="A295" t="s">
        <v>4246</v>
      </c>
      <c r="B295" s="442" t="str">
        <f t="shared" si="8"/>
        <v>Amount of waste recycled reused and directed to disposal</v>
      </c>
      <c r="C295" t="s">
        <v>4374</v>
      </c>
      <c r="D295" s="489" t="s">
        <v>8307</v>
      </c>
      <c r="E295" s="489" t="s">
        <v>8767</v>
      </c>
      <c r="F295" s="490" t="s">
        <v>7837</v>
      </c>
      <c r="G295" t="s">
        <v>9344</v>
      </c>
      <c r="H295" s="89" t="s">
        <v>7009</v>
      </c>
      <c r="I295" s="89" t="s">
        <v>6320</v>
      </c>
      <c r="J295" s="89" t="s">
        <v>7361</v>
      </c>
      <c r="K295" s="475" t="s">
        <v>6668</v>
      </c>
    </row>
    <row r="296" spans="1:11" x14ac:dyDescent="0.3">
      <c r="A296" t="s">
        <v>4247</v>
      </c>
      <c r="B296" s="442" t="str">
        <f t="shared" si="8"/>
        <v>Total Hazardous waste generated (mass)</v>
      </c>
      <c r="C296" t="s">
        <v>3608</v>
      </c>
      <c r="D296" s="489" t="s">
        <v>8308</v>
      </c>
      <c r="E296" s="489" t="s">
        <v>8768</v>
      </c>
      <c r="F296" s="490" t="s">
        <v>7838</v>
      </c>
      <c r="G296" t="s">
        <v>9345</v>
      </c>
      <c r="H296" s="89" t="s">
        <v>7010</v>
      </c>
      <c r="I296" s="89" t="s">
        <v>6321</v>
      </c>
      <c r="J296" s="89" t="s">
        <v>7362</v>
      </c>
      <c r="K296" s="475" t="s">
        <v>6669</v>
      </c>
    </row>
    <row r="297" spans="1:11" x14ac:dyDescent="0.3">
      <c r="A297" t="s">
        <v>4248</v>
      </c>
      <c r="B297" s="442" t="str">
        <f t="shared" si="8"/>
        <v>Total amount of waste generated</v>
      </c>
      <c r="C297" t="s">
        <v>3607</v>
      </c>
      <c r="D297" s="489" t="s">
        <v>8309</v>
      </c>
      <c r="E297" s="489" t="s">
        <v>8769</v>
      </c>
      <c r="F297" s="490" t="s">
        <v>7839</v>
      </c>
      <c r="G297" t="s">
        <v>9346</v>
      </c>
      <c r="H297" s="89" t="s">
        <v>6062</v>
      </c>
      <c r="I297" s="89" t="s">
        <v>6322</v>
      </c>
      <c r="J297" s="89" t="s">
        <v>5877</v>
      </c>
      <c r="K297" s="475" t="s">
        <v>5782</v>
      </c>
    </row>
    <row r="298" spans="1:11" ht="28.8" x14ac:dyDescent="0.3">
      <c r="A298" t="s">
        <v>4249</v>
      </c>
      <c r="B298" s="442" t="str">
        <f t="shared" si="8"/>
        <v>Total Non-Hazardous waste generated (mass)</v>
      </c>
      <c r="C298" t="s">
        <v>3609</v>
      </c>
      <c r="D298" s="489" t="s">
        <v>8310</v>
      </c>
      <c r="E298" s="489" t="s">
        <v>8770</v>
      </c>
      <c r="F298" s="490" t="s">
        <v>7840</v>
      </c>
      <c r="G298" t="s">
        <v>9347</v>
      </c>
      <c r="H298" s="89" t="s">
        <v>7011</v>
      </c>
      <c r="I298" s="89" t="s">
        <v>6323</v>
      </c>
      <c r="J298" s="89" t="s">
        <v>7363</v>
      </c>
      <c r="K298" s="475" t="s">
        <v>6670</v>
      </c>
    </row>
    <row r="299" spans="1:11" x14ac:dyDescent="0.3">
      <c r="A299" t="s">
        <v>4250</v>
      </c>
      <c r="B299" s="442" t="str">
        <f t="shared" si="8"/>
        <v>Total waste generated (mass)</v>
      </c>
      <c r="C299" t="s">
        <v>3610</v>
      </c>
      <c r="D299" s="489" t="s">
        <v>8311</v>
      </c>
      <c r="E299" s="489" t="s">
        <v>8771</v>
      </c>
      <c r="F299" s="490" t="s">
        <v>7841</v>
      </c>
      <c r="G299" t="s">
        <v>9348</v>
      </c>
      <c r="H299" s="89" t="s">
        <v>7012</v>
      </c>
      <c r="I299" s="89" t="s">
        <v>6324</v>
      </c>
      <c r="J299" s="89" t="s">
        <v>7364</v>
      </c>
      <c r="K299" s="475" t="s">
        <v>5783</v>
      </c>
    </row>
    <row r="300" spans="1:11" x14ac:dyDescent="0.3">
      <c r="A300" t="s">
        <v>4251</v>
      </c>
      <c r="B300" s="442" t="str">
        <f t="shared" si="8"/>
        <v>Total Hazardous waste generated (volume)</v>
      </c>
      <c r="C300" t="s">
        <v>3611</v>
      </c>
      <c r="D300" s="489" t="s">
        <v>8312</v>
      </c>
      <c r="E300" s="489" t="s">
        <v>8772</v>
      </c>
      <c r="F300" s="490" t="s">
        <v>7842</v>
      </c>
      <c r="G300" t="s">
        <v>9349</v>
      </c>
      <c r="H300" s="89" t="s">
        <v>7013</v>
      </c>
      <c r="I300" s="89" t="s">
        <v>6325</v>
      </c>
      <c r="J300" s="89" t="s">
        <v>7365</v>
      </c>
      <c r="K300" s="475" t="s">
        <v>6671</v>
      </c>
    </row>
    <row r="301" spans="1:11" x14ac:dyDescent="0.3">
      <c r="A301" t="s">
        <v>4252</v>
      </c>
      <c r="B301" s="442" t="str">
        <f t="shared" si="8"/>
        <v>cubic meters (m³)</v>
      </c>
      <c r="C301" t="s">
        <v>2762</v>
      </c>
      <c r="D301" s="489" t="s">
        <v>8313</v>
      </c>
      <c r="E301" s="489" t="s">
        <v>8773</v>
      </c>
      <c r="F301" s="490" t="s">
        <v>7843</v>
      </c>
      <c r="G301" t="s">
        <v>9350</v>
      </c>
      <c r="H301" s="89" t="s">
        <v>6029</v>
      </c>
      <c r="I301" s="89" t="s">
        <v>6326</v>
      </c>
      <c r="J301" s="89" t="s">
        <v>5784</v>
      </c>
      <c r="K301" s="475" t="s">
        <v>5784</v>
      </c>
    </row>
    <row r="302" spans="1:11" x14ac:dyDescent="0.3">
      <c r="A302" t="s">
        <v>4253</v>
      </c>
      <c r="B302" s="442" t="str">
        <f t="shared" si="8"/>
        <v>Total Non-Hazardous waste generated (volume)</v>
      </c>
      <c r="C302" t="s">
        <v>3612</v>
      </c>
      <c r="D302" s="489" t="s">
        <v>8314</v>
      </c>
      <c r="E302" s="489" t="s">
        <v>8774</v>
      </c>
      <c r="F302" s="490" t="s">
        <v>7844</v>
      </c>
      <c r="G302" t="s">
        <v>9351</v>
      </c>
      <c r="H302" s="89" t="s">
        <v>7014</v>
      </c>
      <c r="I302" s="89" t="s">
        <v>6327</v>
      </c>
      <c r="J302" s="89" t="s">
        <v>7366</v>
      </c>
      <c r="K302" s="475" t="s">
        <v>6672</v>
      </c>
    </row>
    <row r="303" spans="1:11" s="12" customFormat="1" ht="15" thickBot="1" x14ac:dyDescent="0.35">
      <c r="A303" s="12" t="s">
        <v>4254</v>
      </c>
      <c r="B303" s="476" t="str">
        <f t="shared" si="8"/>
        <v>Total waste generated (volume)</v>
      </c>
      <c r="C303" s="12" t="s">
        <v>3613</v>
      </c>
      <c r="D303" s="497" t="s">
        <v>8315</v>
      </c>
      <c r="E303" s="497" t="s">
        <v>8775</v>
      </c>
      <c r="F303" s="491" t="s">
        <v>7845</v>
      </c>
      <c r="G303" s="12" t="s">
        <v>9352</v>
      </c>
      <c r="H303" s="443" t="s">
        <v>6066</v>
      </c>
      <c r="I303" s="443" t="s">
        <v>6328</v>
      </c>
      <c r="J303" s="443" t="s">
        <v>7367</v>
      </c>
      <c r="K303" s="495" t="s">
        <v>6673</v>
      </c>
    </row>
    <row r="304" spans="1:11" ht="28.8" x14ac:dyDescent="0.3">
      <c r="A304" t="s">
        <v>4255</v>
      </c>
      <c r="B304" s="442" t="str">
        <f t="shared" si="8"/>
        <v>B7 – Annual mass-flow of relevant materials used</v>
      </c>
      <c r="C304" t="s">
        <v>4020</v>
      </c>
      <c r="D304" s="489" t="s">
        <v>8316</v>
      </c>
      <c r="E304" s="489" t="s">
        <v>8776</v>
      </c>
      <c r="F304" s="490" t="s">
        <v>7846</v>
      </c>
      <c r="G304" t="s">
        <v>9353</v>
      </c>
      <c r="H304" s="89" t="s">
        <v>7015</v>
      </c>
      <c r="I304" s="89" t="s">
        <v>6329</v>
      </c>
      <c r="J304" s="89" t="s">
        <v>7368</v>
      </c>
      <c r="K304" s="475" t="s">
        <v>6674</v>
      </c>
    </row>
    <row r="305" spans="1:11" ht="13.8" customHeight="1" x14ac:dyDescent="0.3">
      <c r="A305" t="s">
        <v>7170</v>
      </c>
      <c r="B305" s="442" t="str">
        <f t="shared" si="8"/>
        <v>Does the undertaking the undertaking operate in a sector using significant material flows (for example manufacturing construction packaging or others)?</v>
      </c>
      <c r="C305" t="s">
        <v>4375</v>
      </c>
      <c r="D305" s="489" t="s">
        <v>8317</v>
      </c>
      <c r="E305" s="489" t="s">
        <v>8777</v>
      </c>
      <c r="F305" s="490" t="s">
        <v>7847</v>
      </c>
      <c r="G305" t="s">
        <v>9354</v>
      </c>
      <c r="H305" s="89" t="s">
        <v>7016</v>
      </c>
      <c r="I305" s="89" t="s">
        <v>6330</v>
      </c>
      <c r="J305" s="89" t="s">
        <v>7369</v>
      </c>
      <c r="K305" s="475" t="s">
        <v>6675</v>
      </c>
    </row>
    <row r="306" spans="1:11" x14ac:dyDescent="0.3">
      <c r="A306" t="s">
        <v>4256</v>
      </c>
      <c r="B306" s="442" t="str">
        <f t="shared" si="8"/>
        <v>Name of the key material</v>
      </c>
      <c r="C306" t="s">
        <v>2759</v>
      </c>
      <c r="D306" s="489" t="s">
        <v>8318</v>
      </c>
      <c r="E306" s="489" t="s">
        <v>8778</v>
      </c>
      <c r="F306" s="490" t="s">
        <v>7848</v>
      </c>
      <c r="G306" t="s">
        <v>9355</v>
      </c>
      <c r="H306" s="89" t="s">
        <v>7017</v>
      </c>
      <c r="I306" s="89" t="s">
        <v>5961</v>
      </c>
      <c r="J306" s="89" t="s">
        <v>7370</v>
      </c>
      <c r="K306" s="475" t="s">
        <v>5785</v>
      </c>
    </row>
    <row r="307" spans="1:11" x14ac:dyDescent="0.3">
      <c r="A307" t="s">
        <v>4257</v>
      </c>
      <c r="B307" s="442" t="str">
        <f>INDEX(C307:K307,MATCH(template_selected_display_language,$C$3:$K$3,0))</f>
        <v>Mass / Volume</v>
      </c>
      <c r="C307" t="s">
        <v>9534</v>
      </c>
      <c r="D307" s="489" t="s">
        <v>8319</v>
      </c>
      <c r="E307" s="489" t="s">
        <v>9535</v>
      </c>
      <c r="F307" s="490" t="s">
        <v>7849</v>
      </c>
      <c r="G307" t="s">
        <v>9536</v>
      </c>
      <c r="H307" s="89" t="s">
        <v>7018</v>
      </c>
      <c r="I307" s="89" t="s">
        <v>9538</v>
      </c>
      <c r="J307" s="89" t="s">
        <v>9536</v>
      </c>
      <c r="K307" s="475" t="s">
        <v>9537</v>
      </c>
    </row>
    <row r="308" spans="1:11" ht="28.8" x14ac:dyDescent="0.3">
      <c r="A308" t="s">
        <v>4258</v>
      </c>
      <c r="B308" s="442" t="str">
        <f t="shared" si="8"/>
        <v>Total annual mass-flow of relevant materials used (mass in kg)</v>
      </c>
      <c r="C308" t="s">
        <v>2763</v>
      </c>
      <c r="D308" s="489" t="s">
        <v>8320</v>
      </c>
      <c r="E308" s="489" t="s">
        <v>8779</v>
      </c>
      <c r="F308" s="490" t="s">
        <v>7850</v>
      </c>
      <c r="G308" t="s">
        <v>9356</v>
      </c>
      <c r="H308" s="89" t="s">
        <v>7019</v>
      </c>
      <c r="I308" s="89" t="s">
        <v>6331</v>
      </c>
      <c r="J308" s="89" t="s">
        <v>7371</v>
      </c>
      <c r="K308" s="475" t="s">
        <v>6676</v>
      </c>
    </row>
    <row r="309" spans="1:11" x14ac:dyDescent="0.3">
      <c r="A309" t="s">
        <v>4259</v>
      </c>
      <c r="B309" s="442" t="str">
        <f t="shared" si="8"/>
        <v>kilograms (kg)</v>
      </c>
      <c r="C309" t="s">
        <v>2757</v>
      </c>
      <c r="D309" s="489" t="s">
        <v>8321</v>
      </c>
      <c r="E309" s="489" t="s">
        <v>8780</v>
      </c>
      <c r="F309" s="490" t="s">
        <v>7851</v>
      </c>
      <c r="G309" t="s">
        <v>9357</v>
      </c>
      <c r="H309" s="89" t="s">
        <v>6030</v>
      </c>
      <c r="I309" s="89" t="s">
        <v>5821</v>
      </c>
      <c r="J309" s="89" t="s">
        <v>5878</v>
      </c>
      <c r="K309" s="475" t="s">
        <v>5786</v>
      </c>
    </row>
    <row r="310" spans="1:11" s="12" customFormat="1" ht="29.4" thickBot="1" x14ac:dyDescent="0.35">
      <c r="A310" s="12" t="s">
        <v>4260</v>
      </c>
      <c r="B310" s="476" t="str">
        <f t="shared" si="8"/>
        <v>Total annual mass-flow of relevant materials used (volume in m³)</v>
      </c>
      <c r="C310" s="12" t="s">
        <v>3983</v>
      </c>
      <c r="D310" s="497" t="s">
        <v>8322</v>
      </c>
      <c r="E310" s="497" t="s">
        <v>8781</v>
      </c>
      <c r="F310" s="491" t="s">
        <v>7852</v>
      </c>
      <c r="G310" s="12" t="s">
        <v>9358</v>
      </c>
      <c r="H310" s="443" t="s">
        <v>7020</v>
      </c>
      <c r="I310" s="443" t="s">
        <v>6332</v>
      </c>
      <c r="J310" s="443" t="s">
        <v>7372</v>
      </c>
      <c r="K310" s="495" t="s">
        <v>6677</v>
      </c>
    </row>
    <row r="311" spans="1:11" x14ac:dyDescent="0.3">
      <c r="A311" t="s">
        <v>4261</v>
      </c>
      <c r="B311" s="442" t="str">
        <f t="shared" si="8"/>
        <v>C4 – Climate risks</v>
      </c>
      <c r="C311" t="s">
        <v>20</v>
      </c>
      <c r="D311" s="489" t="s">
        <v>8323</v>
      </c>
      <c r="E311" s="489" t="s">
        <v>8583</v>
      </c>
      <c r="F311" s="490" t="s">
        <v>7853</v>
      </c>
      <c r="G311" t="s">
        <v>9359</v>
      </c>
      <c r="H311" s="89" t="s">
        <v>7021</v>
      </c>
      <c r="I311" s="89" t="s">
        <v>6333</v>
      </c>
      <c r="J311" s="89" t="s">
        <v>7228</v>
      </c>
      <c r="K311" s="475" t="s">
        <v>5787</v>
      </c>
    </row>
    <row r="312" spans="1:11" ht="57.6" x14ac:dyDescent="0.3">
      <c r="A312" t="s">
        <v>4262</v>
      </c>
      <c r="B312" s="442" t="str">
        <f t="shared" si="8"/>
        <v>Has the undertaking identified climate-related hazards and climate-related transition events creating gross climate-related risks for the undertaking?</v>
      </c>
      <c r="C312" t="s">
        <v>4043</v>
      </c>
      <c r="D312" s="489" t="s">
        <v>8324</v>
      </c>
      <c r="E312" s="489" t="s">
        <v>8782</v>
      </c>
      <c r="F312" s="490" t="s">
        <v>7854</v>
      </c>
      <c r="G312" t="s">
        <v>9360</v>
      </c>
      <c r="H312" s="89" t="s">
        <v>7022</v>
      </c>
      <c r="I312" s="89" t="s">
        <v>6334</v>
      </c>
      <c r="J312" s="89" t="s">
        <v>7373</v>
      </c>
      <c r="K312" s="475" t="s">
        <v>6678</v>
      </c>
    </row>
    <row r="313" spans="1:11" ht="28.8" x14ac:dyDescent="0.3">
      <c r="A313" t="s">
        <v>4263</v>
      </c>
      <c r="B313" s="442" t="str">
        <f t="shared" si="8"/>
        <v>Description of climate-related hazards and climate-related transition events</v>
      </c>
      <c r="C313" t="s">
        <v>3550</v>
      </c>
      <c r="D313" s="489" t="s">
        <v>8325</v>
      </c>
      <c r="E313" s="489" t="s">
        <v>8783</v>
      </c>
      <c r="F313" s="490" t="s">
        <v>7855</v>
      </c>
      <c r="G313" t="s">
        <v>9361</v>
      </c>
      <c r="H313" s="89" t="s">
        <v>7023</v>
      </c>
      <c r="I313" s="89" t="s">
        <v>6335</v>
      </c>
      <c r="J313" s="89" t="s">
        <v>7374</v>
      </c>
      <c r="K313" s="475" t="s">
        <v>6679</v>
      </c>
    </row>
    <row r="314" spans="1:11" ht="57.6" x14ac:dyDescent="0.3">
      <c r="A314" t="s">
        <v>4264</v>
      </c>
      <c r="B314" s="442" t="str">
        <f t="shared" si="8"/>
        <v>Disclosure of how it has assessed the exposure and sensitivity of its assets activities and value chain to these hazards and transition events</v>
      </c>
      <c r="C314" t="s">
        <v>4044</v>
      </c>
      <c r="D314" s="489" t="s">
        <v>8326</v>
      </c>
      <c r="E314" s="489" t="s">
        <v>8784</v>
      </c>
      <c r="F314" s="490" t="s">
        <v>7856</v>
      </c>
      <c r="G314" t="s">
        <v>9362</v>
      </c>
      <c r="H314" s="89" t="s">
        <v>7024</v>
      </c>
      <c r="I314" s="89" t="s">
        <v>6336</v>
      </c>
      <c r="J314" s="89" t="s">
        <v>7375</v>
      </c>
      <c r="K314" s="475" t="s">
        <v>6680</v>
      </c>
    </row>
    <row r="315" spans="1:11" ht="28.8" x14ac:dyDescent="0.3">
      <c r="A315" t="s">
        <v>4265</v>
      </c>
      <c r="B315" s="442" t="str">
        <f t="shared" si="8"/>
        <v>Time horizons of any climate-related hazards and transition events identified</v>
      </c>
      <c r="C315" t="s">
        <v>21</v>
      </c>
      <c r="D315" s="489" t="s">
        <v>8327</v>
      </c>
      <c r="E315" s="489" t="s">
        <v>8785</v>
      </c>
      <c r="F315" s="490" t="s">
        <v>7857</v>
      </c>
      <c r="G315" t="s">
        <v>9363</v>
      </c>
      <c r="H315" s="89" t="s">
        <v>7025</v>
      </c>
      <c r="I315" s="89" t="s">
        <v>6337</v>
      </c>
      <c r="J315" s="89" t="s">
        <v>7376</v>
      </c>
      <c r="K315" s="475" t="s">
        <v>5788</v>
      </c>
    </row>
    <row r="316" spans="1:11" ht="43.2" x14ac:dyDescent="0.3">
      <c r="A316" t="s">
        <v>4266</v>
      </c>
      <c r="B316" s="442" t="str">
        <f t="shared" si="8"/>
        <v>Disclosure of whether it has undertaken climate change adaptation actions for any climate-related hazards and transition events</v>
      </c>
      <c r="C316" t="s">
        <v>3614</v>
      </c>
      <c r="D316" s="489" t="s">
        <v>8328</v>
      </c>
      <c r="E316" s="499" t="s">
        <v>8786</v>
      </c>
      <c r="F316" s="490" t="s">
        <v>7858</v>
      </c>
      <c r="G316" t="s">
        <v>9364</v>
      </c>
      <c r="H316" s="89" t="s">
        <v>7026</v>
      </c>
      <c r="I316" s="89" t="s">
        <v>6338</v>
      </c>
      <c r="J316" s="89" t="s">
        <v>7377</v>
      </c>
      <c r="K316" s="475" t="s">
        <v>6681</v>
      </c>
    </row>
    <row r="317" spans="1:11" ht="72" x14ac:dyDescent="0.3">
      <c r="A317" t="s">
        <v>4267</v>
      </c>
      <c r="B317" s="442" t="str">
        <f t="shared" si="8"/>
        <v>Potential adverse effects of climate risks that may affect its financial performance or business operations in the short- medium- or long-term indicating whether it assesses the risks to be high medium or low</v>
      </c>
      <c r="C317" t="s">
        <v>4045</v>
      </c>
      <c r="D317" s="489" t="s">
        <v>8329</v>
      </c>
      <c r="E317" s="489" t="s">
        <v>8787</v>
      </c>
      <c r="F317" s="490" t="s">
        <v>7859</v>
      </c>
      <c r="G317" t="s">
        <v>9365</v>
      </c>
      <c r="H317" s="89" t="s">
        <v>7027</v>
      </c>
      <c r="I317" s="89" t="s">
        <v>6339</v>
      </c>
      <c r="J317" s="89" t="s">
        <v>7378</v>
      </c>
      <c r="K317" s="475" t="s">
        <v>6682</v>
      </c>
    </row>
    <row r="318" spans="1:11" s="12" customFormat="1" ht="29.4" thickBot="1" x14ac:dyDescent="0.35">
      <c r="A318" s="12" t="s">
        <v>4268</v>
      </c>
      <c r="B318" s="476" t="str">
        <f t="shared" si="8"/>
        <v>Disclosure of any other environmental and or entity specific environmental disclosures</v>
      </c>
      <c r="C318" s="12" t="s">
        <v>3997</v>
      </c>
      <c r="D318" s="497" t="s">
        <v>8330</v>
      </c>
      <c r="E318" s="497" t="s">
        <v>8590</v>
      </c>
      <c r="F318" s="491" t="s">
        <v>7860</v>
      </c>
      <c r="G318" s="12" t="s">
        <v>9366</v>
      </c>
      <c r="H318" s="443" t="s">
        <v>7028</v>
      </c>
      <c r="I318" s="443" t="s">
        <v>6340</v>
      </c>
      <c r="J318" s="443" t="s">
        <v>7379</v>
      </c>
      <c r="K318" s="495" t="s">
        <v>6503</v>
      </c>
    </row>
    <row r="319" spans="1:11" ht="43.2" x14ac:dyDescent="0.3">
      <c r="A319" t="s">
        <v>4269</v>
      </c>
      <c r="B319" s="442" t="str">
        <f t="shared" si="8"/>
        <v>Employee counting methodology for the disclosures below (Headcount or Full time Equivalent linked from B1</v>
      </c>
      <c r="C319" t="s">
        <v>4046</v>
      </c>
      <c r="D319" s="489" t="s">
        <v>8331</v>
      </c>
      <c r="E319" s="489" t="s">
        <v>8788</v>
      </c>
      <c r="F319" s="490" t="s">
        <v>7861</v>
      </c>
      <c r="G319" t="s">
        <v>9367</v>
      </c>
      <c r="H319" s="89" t="s">
        <v>7029</v>
      </c>
      <c r="I319" s="89" t="s">
        <v>6341</v>
      </c>
      <c r="J319" s="89" t="s">
        <v>7380</v>
      </c>
      <c r="K319" s="475" t="s">
        <v>6683</v>
      </c>
    </row>
    <row r="320" spans="1:11" s="12" customFormat="1" ht="58.2" thickBot="1" x14ac:dyDescent="0.35">
      <c r="A320" s="12" t="s">
        <v>4270</v>
      </c>
      <c r="B320" s="476" t="str">
        <f t="shared" si="8"/>
        <v>Employee counting methodology for the disclosures below (At the end of the reporting period or as an average across the reporting period linked from B1)</v>
      </c>
      <c r="C320" s="12" t="s">
        <v>4060</v>
      </c>
      <c r="D320" s="497" t="s">
        <v>8332</v>
      </c>
      <c r="E320" s="497" t="s">
        <v>8789</v>
      </c>
      <c r="F320" s="491" t="s">
        <v>7862</v>
      </c>
      <c r="G320" s="12" t="s">
        <v>9368</v>
      </c>
      <c r="H320" s="443" t="s">
        <v>7030</v>
      </c>
      <c r="I320" s="443" t="s">
        <v>6342</v>
      </c>
      <c r="J320" s="443" t="s">
        <v>7381</v>
      </c>
      <c r="K320" s="495" t="s">
        <v>6684</v>
      </c>
    </row>
    <row r="321" spans="1:11" ht="28.8" x14ac:dyDescent="0.3">
      <c r="A321" t="s">
        <v>4271</v>
      </c>
      <c r="B321" s="442" t="str">
        <f t="shared" si="8"/>
        <v>B8 – Workforce – General characteristics - Type of contract</v>
      </c>
      <c r="C321" t="s">
        <v>4021</v>
      </c>
      <c r="D321" s="489" t="s">
        <v>8333</v>
      </c>
      <c r="E321" s="489" t="s">
        <v>8790</v>
      </c>
      <c r="F321" s="490" t="s">
        <v>7863</v>
      </c>
      <c r="G321" t="s">
        <v>9369</v>
      </c>
      <c r="H321" s="89" t="s">
        <v>7031</v>
      </c>
      <c r="I321" s="89" t="s">
        <v>6343</v>
      </c>
      <c r="J321" s="89" t="s">
        <v>7382</v>
      </c>
      <c r="K321" s="475" t="s">
        <v>6508</v>
      </c>
    </row>
    <row r="322" spans="1:11" x14ac:dyDescent="0.3">
      <c r="A322" t="s">
        <v>4272</v>
      </c>
      <c r="B322" s="442" t="str">
        <f t="shared" si="8"/>
        <v>Type of contract</v>
      </c>
      <c r="C322" t="s">
        <v>22</v>
      </c>
      <c r="D322" s="489" t="s">
        <v>8334</v>
      </c>
      <c r="E322" s="489" t="s">
        <v>8572</v>
      </c>
      <c r="F322" s="490" t="s">
        <v>7864</v>
      </c>
      <c r="G322" t="s">
        <v>9140</v>
      </c>
      <c r="H322" s="89" t="s">
        <v>6856</v>
      </c>
      <c r="I322" s="89" t="s">
        <v>5917</v>
      </c>
      <c r="J322" s="89" t="s">
        <v>5719</v>
      </c>
      <c r="K322" s="475" t="s">
        <v>5719</v>
      </c>
    </row>
    <row r="323" spans="1:11" x14ac:dyDescent="0.3">
      <c r="A323" t="s">
        <v>4273</v>
      </c>
      <c r="B323" s="442" t="str">
        <f t="shared" si="8"/>
        <v>Permanent contract</v>
      </c>
      <c r="C323" t="s">
        <v>24</v>
      </c>
      <c r="D323" s="489" t="s">
        <v>8335</v>
      </c>
      <c r="E323" s="489" t="s">
        <v>8791</v>
      </c>
      <c r="F323" s="490" t="s">
        <v>7865</v>
      </c>
      <c r="G323" t="s">
        <v>9370</v>
      </c>
      <c r="H323" s="89" t="s">
        <v>6031</v>
      </c>
      <c r="I323" s="89" t="s">
        <v>5962</v>
      </c>
      <c r="J323" s="89" t="s">
        <v>7383</v>
      </c>
      <c r="K323" s="475" t="s">
        <v>5789</v>
      </c>
    </row>
    <row r="324" spans="1:11" x14ac:dyDescent="0.3">
      <c r="A324" t="s">
        <v>4274</v>
      </c>
      <c r="B324" s="442" t="str">
        <f t="shared" ref="B324:B387" si="9">INDEX(C324:K324,MATCH(template_selected_display_language,$C$3:$K$3,0))</f>
        <v>Temporary contract</v>
      </c>
      <c r="C324" t="s">
        <v>23</v>
      </c>
      <c r="D324" s="489" t="s">
        <v>8336</v>
      </c>
      <c r="E324" s="489" t="s">
        <v>8792</v>
      </c>
      <c r="F324" s="490" t="s">
        <v>7866</v>
      </c>
      <c r="G324" t="s">
        <v>9371</v>
      </c>
      <c r="H324" s="89" t="s">
        <v>7032</v>
      </c>
      <c r="I324" s="89" t="s">
        <v>6077</v>
      </c>
      <c r="J324" s="89" t="s">
        <v>7384</v>
      </c>
      <c r="K324" s="475" t="s">
        <v>5790</v>
      </c>
    </row>
    <row r="325" spans="1:11" s="12" customFormat="1" ht="15" thickBot="1" x14ac:dyDescent="0.35">
      <c r="A325" s="12" t="s">
        <v>4275</v>
      </c>
      <c r="B325" s="476" t="str">
        <f t="shared" si="9"/>
        <v>Total employees (linked to B1)</v>
      </c>
      <c r="C325" s="12" t="s">
        <v>4499</v>
      </c>
      <c r="D325" s="497" t="s">
        <v>8337</v>
      </c>
      <c r="E325" s="497" t="s">
        <v>8793</v>
      </c>
      <c r="F325" s="491" t="s">
        <v>7867</v>
      </c>
      <c r="G325" s="12" t="s">
        <v>9372</v>
      </c>
      <c r="H325" s="443" t="s">
        <v>7033</v>
      </c>
      <c r="I325" s="443" t="s">
        <v>6344</v>
      </c>
      <c r="J325" s="443" t="s">
        <v>7385</v>
      </c>
      <c r="K325" s="495" t="s">
        <v>6685</v>
      </c>
    </row>
    <row r="326" spans="1:11" x14ac:dyDescent="0.3">
      <c r="A326" t="s">
        <v>4276</v>
      </c>
      <c r="B326" s="442" t="str">
        <f t="shared" si="9"/>
        <v>B8 – Workforce – General characteristics - Gender</v>
      </c>
      <c r="C326" t="s">
        <v>4022</v>
      </c>
      <c r="D326" s="489" t="s">
        <v>8338</v>
      </c>
      <c r="E326" s="489" t="s">
        <v>8794</v>
      </c>
      <c r="F326" s="490" t="s">
        <v>7868</v>
      </c>
      <c r="G326" t="s">
        <v>9373</v>
      </c>
      <c r="H326" s="89" t="s">
        <v>7034</v>
      </c>
      <c r="I326" s="89" t="s">
        <v>6345</v>
      </c>
      <c r="J326" s="89" t="s">
        <v>7386</v>
      </c>
      <c r="K326" s="475" t="s">
        <v>6686</v>
      </c>
    </row>
    <row r="327" spans="1:11" x14ac:dyDescent="0.3">
      <c r="A327" t="s">
        <v>4277</v>
      </c>
      <c r="B327" s="442" t="str">
        <f t="shared" si="9"/>
        <v>Gender</v>
      </c>
      <c r="C327" t="s">
        <v>25</v>
      </c>
      <c r="D327" s="489" t="s">
        <v>8102</v>
      </c>
      <c r="E327" s="489" t="s">
        <v>8573</v>
      </c>
      <c r="F327" s="490" t="s">
        <v>7632</v>
      </c>
      <c r="G327" t="s">
        <v>9141</v>
      </c>
      <c r="H327" s="89" t="s">
        <v>5998</v>
      </c>
      <c r="I327" s="89" t="s">
        <v>5918</v>
      </c>
      <c r="J327" s="89" t="s">
        <v>5720</v>
      </c>
      <c r="K327" s="475" t="s">
        <v>5720</v>
      </c>
    </row>
    <row r="328" spans="1:11" x14ac:dyDescent="0.3">
      <c r="A328" t="s">
        <v>4278</v>
      </c>
      <c r="B328" s="442" t="str">
        <f t="shared" si="9"/>
        <v>Male</v>
      </c>
      <c r="C328" t="s">
        <v>26</v>
      </c>
      <c r="D328" s="489" t="s">
        <v>8339</v>
      </c>
      <c r="E328" s="489" t="s">
        <v>8795</v>
      </c>
      <c r="F328" s="490" t="s">
        <v>7869</v>
      </c>
      <c r="G328" t="s">
        <v>9374</v>
      </c>
      <c r="H328" s="89" t="s">
        <v>7035</v>
      </c>
      <c r="I328" s="89" t="s">
        <v>5963</v>
      </c>
      <c r="J328" s="89" t="s">
        <v>5791</v>
      </c>
      <c r="K328" s="475" t="s">
        <v>5791</v>
      </c>
    </row>
    <row r="329" spans="1:11" x14ac:dyDescent="0.3">
      <c r="A329" t="s">
        <v>4279</v>
      </c>
      <c r="B329" s="442" t="str">
        <f t="shared" si="9"/>
        <v>Female</v>
      </c>
      <c r="C329" t="s">
        <v>27</v>
      </c>
      <c r="D329" s="489" t="s">
        <v>8340</v>
      </c>
      <c r="E329" s="489" t="s">
        <v>8796</v>
      </c>
      <c r="F329" s="490" t="s">
        <v>7870</v>
      </c>
      <c r="G329" t="s">
        <v>9375</v>
      </c>
      <c r="H329" s="89" t="s">
        <v>7036</v>
      </c>
      <c r="I329" s="89" t="s">
        <v>5964</v>
      </c>
      <c r="J329" s="89" t="s">
        <v>7387</v>
      </c>
      <c r="K329" s="475" t="s">
        <v>6687</v>
      </c>
    </row>
    <row r="330" spans="1:11" x14ac:dyDescent="0.3">
      <c r="A330" t="s">
        <v>4280</v>
      </c>
      <c r="B330" s="442" t="str">
        <f t="shared" si="9"/>
        <v>Other</v>
      </c>
      <c r="C330" t="s">
        <v>28</v>
      </c>
      <c r="D330" s="489" t="s">
        <v>8341</v>
      </c>
      <c r="E330" s="489" t="s">
        <v>8797</v>
      </c>
      <c r="F330" s="490" t="s">
        <v>7871</v>
      </c>
      <c r="G330" t="s">
        <v>9376</v>
      </c>
      <c r="H330" s="89" t="s">
        <v>7037</v>
      </c>
      <c r="I330" s="89" t="s">
        <v>6346</v>
      </c>
      <c r="J330" s="89" t="s">
        <v>5879</v>
      </c>
      <c r="K330" s="475" t="s">
        <v>5792</v>
      </c>
    </row>
    <row r="331" spans="1:11" s="12" customFormat="1" ht="15" thickBot="1" x14ac:dyDescent="0.35">
      <c r="A331" s="12" t="s">
        <v>4281</v>
      </c>
      <c r="B331" s="476" t="str">
        <f t="shared" si="9"/>
        <v>Not reported</v>
      </c>
      <c r="C331" s="12" t="s">
        <v>29</v>
      </c>
      <c r="D331" s="497" t="s">
        <v>8342</v>
      </c>
      <c r="E331" s="497" t="s">
        <v>8798</v>
      </c>
      <c r="F331" s="491" t="s">
        <v>7872</v>
      </c>
      <c r="G331" s="12" t="s">
        <v>9377</v>
      </c>
      <c r="H331" s="443" t="s">
        <v>7038</v>
      </c>
      <c r="I331" s="443" t="s">
        <v>5965</v>
      </c>
      <c r="J331" s="443" t="s">
        <v>7388</v>
      </c>
      <c r="K331" s="495" t="s">
        <v>6493</v>
      </c>
    </row>
    <row r="332" spans="1:11" ht="28.8" x14ac:dyDescent="0.3">
      <c r="A332" t="s">
        <v>4282</v>
      </c>
      <c r="B332" s="442" t="str">
        <f t="shared" si="9"/>
        <v>B8 – Workforce – General characteristics - Country of employment</v>
      </c>
      <c r="C332" t="s">
        <v>4023</v>
      </c>
      <c r="D332" s="489" t="s">
        <v>8343</v>
      </c>
      <c r="E332" s="489" t="s">
        <v>8799</v>
      </c>
      <c r="F332" s="490" t="s">
        <v>7873</v>
      </c>
      <c r="G332" t="s">
        <v>9378</v>
      </c>
      <c r="H332" s="89" t="s">
        <v>7039</v>
      </c>
      <c r="I332" s="89" t="s">
        <v>6347</v>
      </c>
      <c r="J332" s="89" t="s">
        <v>7389</v>
      </c>
      <c r="K332" s="475" t="s">
        <v>6688</v>
      </c>
    </row>
    <row r="333" spans="1:11" ht="43.2" x14ac:dyDescent="0.3">
      <c r="A333" t="s">
        <v>4283</v>
      </c>
      <c r="B333" s="442" t="str">
        <f t="shared" si="9"/>
        <v>Country of employment contract</v>
      </c>
      <c r="C333" t="s">
        <v>30</v>
      </c>
      <c r="D333" s="489" t="s">
        <v>8344</v>
      </c>
      <c r="E333" s="489" t="s">
        <v>8574</v>
      </c>
      <c r="F333" s="490" t="s">
        <v>7633</v>
      </c>
      <c r="G333" t="s">
        <v>9142</v>
      </c>
      <c r="H333" s="89" t="s">
        <v>7040</v>
      </c>
      <c r="I333" s="89" t="s">
        <v>6348</v>
      </c>
      <c r="J333" s="89" t="s">
        <v>5880</v>
      </c>
      <c r="K333" s="475" t="s">
        <v>6689</v>
      </c>
    </row>
    <row r="334" spans="1:11" s="12" customFormat="1" ht="29.4" thickBot="1" x14ac:dyDescent="0.35">
      <c r="A334" s="12" t="s">
        <v>5684</v>
      </c>
      <c r="B334" s="476" t="str">
        <f t="shared" si="9"/>
        <v>Does the undertaking operate in more than one country?</v>
      </c>
      <c r="C334" s="12" t="s">
        <v>5683</v>
      </c>
      <c r="D334" s="497" t="s">
        <v>8345</v>
      </c>
      <c r="E334" s="497" t="s">
        <v>8800</v>
      </c>
      <c r="F334" s="491" t="s">
        <v>7874</v>
      </c>
      <c r="G334" s="12" t="s">
        <v>9379</v>
      </c>
      <c r="H334" s="443" t="s">
        <v>6032</v>
      </c>
      <c r="I334" s="443" t="s">
        <v>6349</v>
      </c>
      <c r="J334" s="443" t="s">
        <v>5881</v>
      </c>
      <c r="K334" s="495" t="s">
        <v>5793</v>
      </c>
    </row>
    <row r="335" spans="1:11" ht="28.8" x14ac:dyDescent="0.3">
      <c r="A335" t="s">
        <v>4284</v>
      </c>
      <c r="B335" s="442" t="str">
        <f t="shared" si="9"/>
        <v>B8 – Workforce – General characteristics - Turnover rate</v>
      </c>
      <c r="C335" t="s">
        <v>4024</v>
      </c>
      <c r="D335" s="489" t="s">
        <v>8346</v>
      </c>
      <c r="E335" s="489" t="s">
        <v>8801</v>
      </c>
      <c r="F335" s="490" t="s">
        <v>7875</v>
      </c>
      <c r="G335" t="s">
        <v>9380</v>
      </c>
      <c r="H335" s="89" t="s">
        <v>7041</v>
      </c>
      <c r="I335" s="89" t="s">
        <v>6350</v>
      </c>
      <c r="J335" s="89" t="s">
        <v>7390</v>
      </c>
      <c r="K335" s="475" t="s">
        <v>6690</v>
      </c>
    </row>
    <row r="336" spans="1:11" ht="28.8" x14ac:dyDescent="0.3">
      <c r="A336" t="s">
        <v>4285</v>
      </c>
      <c r="B336" s="442" t="str">
        <f t="shared" si="9"/>
        <v>Number of employees who left during the reporting period</v>
      </c>
      <c r="C336" t="s">
        <v>3103</v>
      </c>
      <c r="D336" s="489" t="s">
        <v>8347</v>
      </c>
      <c r="E336" s="489" t="s">
        <v>8802</v>
      </c>
      <c r="F336" s="490" t="s">
        <v>7876</v>
      </c>
      <c r="G336" t="s">
        <v>9381</v>
      </c>
      <c r="H336" s="89" t="s">
        <v>7042</v>
      </c>
      <c r="I336" s="89" t="s">
        <v>6351</v>
      </c>
      <c r="J336" s="89" t="s">
        <v>7391</v>
      </c>
      <c r="K336" s="475" t="s">
        <v>6691</v>
      </c>
    </row>
    <row r="337" spans="1:11" x14ac:dyDescent="0.3">
      <c r="A337" t="s">
        <v>4286</v>
      </c>
      <c r="B337" s="442" t="str">
        <f t="shared" si="9"/>
        <v>Number of employees at the beginning of the reporting period</v>
      </c>
      <c r="C337" t="s">
        <v>3104</v>
      </c>
      <c r="D337" s="489" t="s">
        <v>8348</v>
      </c>
      <c r="E337" s="489" t="s">
        <v>8803</v>
      </c>
      <c r="F337" s="490" t="s">
        <v>7877</v>
      </c>
      <c r="G337" t="s">
        <v>9382</v>
      </c>
      <c r="H337" s="89" t="s">
        <v>6033</v>
      </c>
      <c r="I337" s="89" t="s">
        <v>6352</v>
      </c>
      <c r="J337" s="89" t="s">
        <v>7392</v>
      </c>
      <c r="K337" s="475" t="s">
        <v>6692</v>
      </c>
    </row>
    <row r="338" spans="1:11" x14ac:dyDescent="0.3">
      <c r="A338" t="s">
        <v>4287</v>
      </c>
      <c r="B338" s="442" t="str">
        <f t="shared" si="9"/>
        <v>Number of employees at the end of the reporting period</v>
      </c>
      <c r="C338" t="s">
        <v>3105</v>
      </c>
      <c r="D338" s="489" t="s">
        <v>8349</v>
      </c>
      <c r="E338" s="489" t="s">
        <v>8804</v>
      </c>
      <c r="F338" s="490" t="s">
        <v>7878</v>
      </c>
      <c r="G338" t="s">
        <v>9383</v>
      </c>
      <c r="H338" s="89" t="s">
        <v>6034</v>
      </c>
      <c r="I338" s="89" t="s">
        <v>6353</v>
      </c>
      <c r="J338" s="89" t="s">
        <v>7393</v>
      </c>
      <c r="K338" s="475" t="s">
        <v>6693</v>
      </c>
    </row>
    <row r="339" spans="1:11" s="12" customFormat="1" ht="43.8" thickBot="1" x14ac:dyDescent="0.35">
      <c r="A339" s="12" t="s">
        <v>4288</v>
      </c>
      <c r="B339" s="476" t="str">
        <f t="shared" si="9"/>
        <v>Employee turnover rate [%]  in the reporting period</v>
      </c>
      <c r="C339" s="12" t="s">
        <v>3549</v>
      </c>
      <c r="D339" s="497" t="s">
        <v>8350</v>
      </c>
      <c r="E339" s="497" t="s">
        <v>8805</v>
      </c>
      <c r="F339" s="491" t="s">
        <v>7879</v>
      </c>
      <c r="G339" s="12" t="s">
        <v>9384</v>
      </c>
      <c r="H339" s="443" t="s">
        <v>6035</v>
      </c>
      <c r="I339" s="443" t="s">
        <v>6354</v>
      </c>
      <c r="J339" s="443" t="s">
        <v>7394</v>
      </c>
      <c r="K339" s="495" t="s">
        <v>6694</v>
      </c>
    </row>
    <row r="340" spans="1:11" ht="43.2" x14ac:dyDescent="0.3">
      <c r="A340" t="s">
        <v>4289</v>
      </c>
      <c r="B340" s="442" t="str">
        <f t="shared" si="9"/>
        <v>B9 – Workforce – Health and safety</v>
      </c>
      <c r="C340" t="s">
        <v>31</v>
      </c>
      <c r="D340" s="489" t="s">
        <v>8351</v>
      </c>
      <c r="E340" s="489" t="s">
        <v>8576</v>
      </c>
      <c r="F340" s="490" t="s">
        <v>7880</v>
      </c>
      <c r="G340" t="s">
        <v>9385</v>
      </c>
      <c r="H340" s="89" t="s">
        <v>7043</v>
      </c>
      <c r="I340" s="89" t="s">
        <v>6355</v>
      </c>
      <c r="J340" s="89" t="s">
        <v>7222</v>
      </c>
      <c r="K340" s="475" t="s">
        <v>6695</v>
      </c>
    </row>
    <row r="341" spans="1:11" ht="28.8" x14ac:dyDescent="0.3">
      <c r="A341" t="s">
        <v>4290</v>
      </c>
      <c r="B341" s="442" t="str">
        <f t="shared" si="9"/>
        <v>Number of recordable work-related accidents in the reporting period</v>
      </c>
      <c r="C341" t="s">
        <v>3106</v>
      </c>
      <c r="D341" s="489" t="s">
        <v>8352</v>
      </c>
      <c r="E341" s="489" t="s">
        <v>8806</v>
      </c>
      <c r="F341" s="490" t="s">
        <v>7881</v>
      </c>
      <c r="G341" t="s">
        <v>9386</v>
      </c>
      <c r="H341" s="89" t="s">
        <v>7044</v>
      </c>
      <c r="I341" s="89" t="s">
        <v>6356</v>
      </c>
      <c r="J341" s="89" t="s">
        <v>7395</v>
      </c>
      <c r="K341" s="475" t="s">
        <v>6509</v>
      </c>
    </row>
    <row r="342" spans="1:11" ht="28.8" x14ac:dyDescent="0.3">
      <c r="A342" t="s">
        <v>4291</v>
      </c>
      <c r="B342" s="442" t="str">
        <f t="shared" si="9"/>
        <v>Number of hours worked by  one full-time employee in the reporting period</v>
      </c>
      <c r="C342" t="s">
        <v>3107</v>
      </c>
      <c r="D342" s="489" t="s">
        <v>8353</v>
      </c>
      <c r="E342" s="489" t="s">
        <v>8807</v>
      </c>
      <c r="F342" s="490" t="s">
        <v>7882</v>
      </c>
      <c r="G342" t="s">
        <v>9387</v>
      </c>
      <c r="H342" s="89" t="s">
        <v>7045</v>
      </c>
      <c r="I342" s="89" t="s">
        <v>6357</v>
      </c>
      <c r="J342" s="89" t="s">
        <v>7396</v>
      </c>
      <c r="K342" s="475" t="s">
        <v>6696</v>
      </c>
    </row>
    <row r="343" spans="1:11" ht="28.8" x14ac:dyDescent="0.3">
      <c r="A343" t="s">
        <v>4292</v>
      </c>
      <c r="B343" s="442" t="str">
        <f t="shared" si="9"/>
        <v>Total number of hours worked in a year by all employees in the reporting period</v>
      </c>
      <c r="C343" t="s">
        <v>3108</v>
      </c>
      <c r="D343" s="489" t="s">
        <v>8354</v>
      </c>
      <c r="E343" s="489" t="s">
        <v>8808</v>
      </c>
      <c r="F343" s="490" t="s">
        <v>7883</v>
      </c>
      <c r="G343" t="s">
        <v>9388</v>
      </c>
      <c r="H343" s="89" t="s">
        <v>7046</v>
      </c>
      <c r="I343" s="89" t="s">
        <v>6358</v>
      </c>
      <c r="J343" s="89" t="s">
        <v>7397</v>
      </c>
      <c r="K343" s="475" t="s">
        <v>6697</v>
      </c>
    </row>
    <row r="344" spans="1:11" ht="28.8" x14ac:dyDescent="0.3">
      <c r="A344" t="s">
        <v>4293</v>
      </c>
      <c r="B344" s="442" t="str">
        <f t="shared" si="9"/>
        <v>Rate of recordable work-related accidents in the reporting period</v>
      </c>
      <c r="C344" t="s">
        <v>3984</v>
      </c>
      <c r="D344" s="489" t="s">
        <v>8355</v>
      </c>
      <c r="E344" s="489" t="s">
        <v>8809</v>
      </c>
      <c r="F344" s="490" t="s">
        <v>7884</v>
      </c>
      <c r="G344" t="s">
        <v>9389</v>
      </c>
      <c r="H344" s="89" t="s">
        <v>7047</v>
      </c>
      <c r="I344" s="89" t="s">
        <v>6359</v>
      </c>
      <c r="J344" s="89" t="s">
        <v>7398</v>
      </c>
      <c r="K344" s="475" t="s">
        <v>6698</v>
      </c>
    </row>
    <row r="345" spans="1:11" s="12" customFormat="1" ht="29.4" thickBot="1" x14ac:dyDescent="0.35">
      <c r="A345" s="12" t="s">
        <v>4294</v>
      </c>
      <c r="B345" s="476" t="str">
        <f t="shared" si="9"/>
        <v>Number of fatalities as a result of work-related injuries and work-related ill health</v>
      </c>
      <c r="C345" s="12" t="s">
        <v>32</v>
      </c>
      <c r="D345" s="497" t="s">
        <v>8356</v>
      </c>
      <c r="E345" s="497" t="s">
        <v>8810</v>
      </c>
      <c r="F345" s="491" t="s">
        <v>7885</v>
      </c>
      <c r="G345" s="12" t="s">
        <v>9390</v>
      </c>
      <c r="H345" s="443" t="s">
        <v>6036</v>
      </c>
      <c r="I345" s="443" t="s">
        <v>6360</v>
      </c>
      <c r="J345" s="443" t="s">
        <v>7399</v>
      </c>
      <c r="K345" s="495" t="s">
        <v>6699</v>
      </c>
    </row>
    <row r="346" spans="1:11" ht="57.6" x14ac:dyDescent="0.3">
      <c r="A346" t="s">
        <v>4295</v>
      </c>
      <c r="B346" s="442" t="str">
        <f t="shared" si="9"/>
        <v>B10 – Workforce – Remuneration collective bargaining and training</v>
      </c>
      <c r="C346" t="s">
        <v>4047</v>
      </c>
      <c r="D346" s="489" t="s">
        <v>8357</v>
      </c>
      <c r="E346" s="489" t="s">
        <v>8811</v>
      </c>
      <c r="F346" s="490" t="s">
        <v>7886</v>
      </c>
      <c r="G346" t="s">
        <v>9391</v>
      </c>
      <c r="H346" s="89" t="s">
        <v>7048</v>
      </c>
      <c r="I346" s="89" t="s">
        <v>6179</v>
      </c>
      <c r="J346" s="89" t="s">
        <v>5882</v>
      </c>
      <c r="K346" s="475" t="s">
        <v>6700</v>
      </c>
    </row>
    <row r="347" spans="1:11" ht="57.6" x14ac:dyDescent="0.3">
      <c r="A347" t="s">
        <v>4296</v>
      </c>
      <c r="B347" s="442" t="str">
        <f t="shared" si="9"/>
        <v>Employees receive pay that is equal or above applicable minimum wage determined directly by the national minimum wage law or through a collective bargaining agreement</v>
      </c>
      <c r="C347" t="s">
        <v>3053</v>
      </c>
      <c r="D347" s="489" t="s">
        <v>8358</v>
      </c>
      <c r="E347" s="489" t="s">
        <v>8812</v>
      </c>
      <c r="F347" s="490" t="s">
        <v>7887</v>
      </c>
      <c r="G347" t="s">
        <v>9392</v>
      </c>
      <c r="H347" s="89" t="s">
        <v>7049</v>
      </c>
      <c r="I347" s="89" t="s">
        <v>6361</v>
      </c>
      <c r="J347" s="89" t="s">
        <v>7400</v>
      </c>
      <c r="K347" s="475" t="s">
        <v>6701</v>
      </c>
    </row>
    <row r="348" spans="1:11" ht="28.8" x14ac:dyDescent="0.3">
      <c r="A348" t="s">
        <v>4297</v>
      </c>
      <c r="B348" s="442" t="str">
        <f t="shared" si="9"/>
        <v>Average gross hourly pay level of male employees</v>
      </c>
      <c r="C348" t="s">
        <v>3999</v>
      </c>
      <c r="D348" s="489" t="s">
        <v>8359</v>
      </c>
      <c r="E348" s="489" t="s">
        <v>8813</v>
      </c>
      <c r="F348" s="490" t="s">
        <v>7888</v>
      </c>
      <c r="G348" t="s">
        <v>9393</v>
      </c>
      <c r="H348" s="89" t="s">
        <v>7050</v>
      </c>
      <c r="I348" s="89" t="s">
        <v>6078</v>
      </c>
      <c r="J348" s="89" t="s">
        <v>7401</v>
      </c>
      <c r="K348" s="475" t="s">
        <v>6702</v>
      </c>
    </row>
    <row r="349" spans="1:11" ht="28.8" x14ac:dyDescent="0.3">
      <c r="A349" t="s">
        <v>4298</v>
      </c>
      <c r="B349" s="442" t="str">
        <f t="shared" si="9"/>
        <v>Average gross hourly pay level of female employees</v>
      </c>
      <c r="C349" t="s">
        <v>4000</v>
      </c>
      <c r="D349" s="489" t="s">
        <v>8360</v>
      </c>
      <c r="E349" s="489" t="s">
        <v>8814</v>
      </c>
      <c r="F349" s="490" t="s">
        <v>7889</v>
      </c>
      <c r="G349" t="s">
        <v>9394</v>
      </c>
      <c r="H349" s="89" t="s">
        <v>7051</v>
      </c>
      <c r="I349" s="89" t="s">
        <v>6362</v>
      </c>
      <c r="J349" s="89" t="s">
        <v>7402</v>
      </c>
      <c r="K349" s="475" t="s">
        <v>6703</v>
      </c>
    </row>
    <row r="350" spans="1:11" ht="28.8" x14ac:dyDescent="0.3">
      <c r="A350" t="s">
        <v>4299</v>
      </c>
      <c r="B350" s="442" t="str">
        <f t="shared" si="9"/>
        <v>Percentage gap in pay between the  undertaking's female and male employees [%]</v>
      </c>
      <c r="C350" t="s">
        <v>4025</v>
      </c>
      <c r="D350" s="489" t="s">
        <v>8361</v>
      </c>
      <c r="E350" s="489" t="s">
        <v>8815</v>
      </c>
      <c r="F350" s="490" t="s">
        <v>7890</v>
      </c>
      <c r="G350" t="s">
        <v>9395</v>
      </c>
      <c r="H350" s="89" t="s">
        <v>7052</v>
      </c>
      <c r="I350" s="89" t="s">
        <v>6363</v>
      </c>
      <c r="J350" s="89" t="s">
        <v>7403</v>
      </c>
      <c r="K350" s="475" t="s">
        <v>6704</v>
      </c>
    </row>
    <row r="351" spans="1:11" ht="28.8" x14ac:dyDescent="0.3">
      <c r="A351" t="s">
        <v>4300</v>
      </c>
      <c r="B351" s="442" t="str">
        <f t="shared" si="9"/>
        <v>Number of employees covered by collective bargaining agreements</v>
      </c>
      <c r="C351" t="s">
        <v>2902</v>
      </c>
      <c r="D351" s="489" t="s">
        <v>8362</v>
      </c>
      <c r="E351" s="489" t="s">
        <v>8816</v>
      </c>
      <c r="F351" s="490" t="s">
        <v>7891</v>
      </c>
      <c r="G351" t="s">
        <v>9396</v>
      </c>
      <c r="H351" s="89" t="s">
        <v>6037</v>
      </c>
      <c r="I351" s="89" t="s">
        <v>5966</v>
      </c>
      <c r="J351" s="89" t="s">
        <v>7404</v>
      </c>
      <c r="K351" s="475" t="s">
        <v>6510</v>
      </c>
    </row>
    <row r="352" spans="1:11" s="12" customFormat="1" ht="29.4" thickBot="1" x14ac:dyDescent="0.35">
      <c r="A352" s="12" t="s">
        <v>4301</v>
      </c>
      <c r="B352" s="476" t="str">
        <f t="shared" si="9"/>
        <v>Percentage of employees covered by collective bargaining agreements [%]</v>
      </c>
      <c r="C352" s="12" t="s">
        <v>3094</v>
      </c>
      <c r="D352" s="497" t="s">
        <v>8363</v>
      </c>
      <c r="E352" s="497" t="s">
        <v>8817</v>
      </c>
      <c r="F352" s="491" t="s">
        <v>7892</v>
      </c>
      <c r="G352" s="12" t="s">
        <v>9397</v>
      </c>
      <c r="H352" s="443" t="s">
        <v>6038</v>
      </c>
      <c r="I352" s="443" t="s">
        <v>5967</v>
      </c>
      <c r="J352" s="443" t="s">
        <v>7405</v>
      </c>
      <c r="K352" s="495" t="s">
        <v>6511</v>
      </c>
    </row>
    <row r="353" spans="1:11" ht="28.8" x14ac:dyDescent="0.3">
      <c r="A353" t="s">
        <v>4302</v>
      </c>
      <c r="B353" s="442" t="str">
        <f t="shared" si="9"/>
        <v>B10 – Number of annual training hours per employee during the reporting period</v>
      </c>
      <c r="C353" t="s">
        <v>7546</v>
      </c>
      <c r="D353" s="489" t="s">
        <v>9529</v>
      </c>
      <c r="E353" s="489" t="s">
        <v>9530</v>
      </c>
      <c r="F353" s="490" t="s">
        <v>9531</v>
      </c>
      <c r="G353" t="s">
        <v>9532</v>
      </c>
      <c r="H353" s="89" t="s">
        <v>7547</v>
      </c>
      <c r="I353" s="89" t="s">
        <v>7548</v>
      </c>
      <c r="J353" s="89" t="s">
        <v>7549</v>
      </c>
      <c r="K353" s="475" t="s">
        <v>7550</v>
      </c>
    </row>
    <row r="354" spans="1:11" s="12" customFormat="1" ht="29.4" thickBot="1" x14ac:dyDescent="0.35">
      <c r="A354" s="12" t="s">
        <v>4303</v>
      </c>
      <c r="B354" s="476" t="str">
        <f t="shared" si="9"/>
        <v>Average number of annual training hours per employee</v>
      </c>
      <c r="C354" s="12" t="s">
        <v>2919</v>
      </c>
      <c r="D354" s="497" t="s">
        <v>8364</v>
      </c>
      <c r="E354" s="497" t="s">
        <v>8818</v>
      </c>
      <c r="F354" s="491" t="s">
        <v>7893</v>
      </c>
      <c r="G354" s="12" t="s">
        <v>9398</v>
      </c>
      <c r="H354" s="443" t="s">
        <v>7053</v>
      </c>
      <c r="I354" s="443" t="s">
        <v>6364</v>
      </c>
      <c r="J354" s="443" t="s">
        <v>7406</v>
      </c>
      <c r="K354" s="495" t="s">
        <v>6705</v>
      </c>
    </row>
    <row r="355" spans="1:11" ht="28.8" x14ac:dyDescent="0.3">
      <c r="A355" t="s">
        <v>4304</v>
      </c>
      <c r="B355" s="442" t="str">
        <f t="shared" si="9"/>
        <v>C5 – Additional (general) workforce characteristics</v>
      </c>
      <c r="C355" t="s">
        <v>33</v>
      </c>
      <c r="D355" s="489" t="s">
        <v>8365</v>
      </c>
      <c r="E355" s="489" t="s">
        <v>8584</v>
      </c>
      <c r="F355" s="490" t="s">
        <v>7894</v>
      </c>
      <c r="G355" t="s">
        <v>9399</v>
      </c>
      <c r="H355" s="89" t="s">
        <v>7054</v>
      </c>
      <c r="I355" s="89" t="s">
        <v>6185</v>
      </c>
      <c r="J355" s="89" t="s">
        <v>7407</v>
      </c>
      <c r="K355" s="475" t="s">
        <v>6565</v>
      </c>
    </row>
    <row r="356" spans="1:11" x14ac:dyDescent="0.3">
      <c r="A356" t="s">
        <v>4305</v>
      </c>
      <c r="B356" s="442" t="str">
        <f t="shared" si="9"/>
        <v>Number of male employees at management level</v>
      </c>
      <c r="C356" t="s">
        <v>3985</v>
      </c>
      <c r="D356" s="489" t="s">
        <v>8366</v>
      </c>
      <c r="E356" s="489" t="s">
        <v>8819</v>
      </c>
      <c r="F356" s="490" t="s">
        <v>7895</v>
      </c>
      <c r="G356" t="s">
        <v>9400</v>
      </c>
      <c r="H356" s="89" t="s">
        <v>7055</v>
      </c>
      <c r="I356" s="89" t="s">
        <v>6365</v>
      </c>
      <c r="J356" s="89" t="s">
        <v>7408</v>
      </c>
      <c r="K356" s="475" t="s">
        <v>6706</v>
      </c>
    </row>
    <row r="357" spans="1:11" x14ac:dyDescent="0.3">
      <c r="A357" t="s">
        <v>4306</v>
      </c>
      <c r="B357" s="442" t="str">
        <f t="shared" si="9"/>
        <v>Number of female employees at management level</v>
      </c>
      <c r="C357" t="s">
        <v>2903</v>
      </c>
      <c r="D357" s="489" t="s">
        <v>8367</v>
      </c>
      <c r="E357" s="489" t="s">
        <v>8820</v>
      </c>
      <c r="F357" s="490" t="s">
        <v>7896</v>
      </c>
      <c r="G357" t="s">
        <v>9401</v>
      </c>
      <c r="H357" s="89" t="s">
        <v>7056</v>
      </c>
      <c r="I357" s="89" t="s">
        <v>6366</v>
      </c>
      <c r="J357" s="89" t="s">
        <v>7409</v>
      </c>
      <c r="K357" s="475" t="s">
        <v>6707</v>
      </c>
    </row>
    <row r="358" spans="1:11" ht="28.8" x14ac:dyDescent="0.3">
      <c r="A358" t="s">
        <v>4307</v>
      </c>
      <c r="B358" s="442" t="str">
        <f t="shared" si="9"/>
        <v>Female-to-male ratio at management level for the reporting period</v>
      </c>
      <c r="C358" t="s">
        <v>2917</v>
      </c>
      <c r="D358" s="489" t="s">
        <v>8368</v>
      </c>
      <c r="E358" s="489" t="s">
        <v>8821</v>
      </c>
      <c r="F358" s="490" t="s">
        <v>7897</v>
      </c>
      <c r="G358" t="s">
        <v>9402</v>
      </c>
      <c r="H358" s="89" t="s">
        <v>7057</v>
      </c>
      <c r="I358" s="89" t="s">
        <v>6367</v>
      </c>
      <c r="J358" s="89" t="s">
        <v>7410</v>
      </c>
      <c r="K358" s="475" t="s">
        <v>6708</v>
      </c>
    </row>
    <row r="359" spans="1:11" ht="28.8" x14ac:dyDescent="0.3">
      <c r="A359" t="s">
        <v>4308</v>
      </c>
      <c r="B359" s="442" t="str">
        <f t="shared" si="9"/>
        <v>Total self-employed workers without personnel that are working exclusively for the undertaking</v>
      </c>
      <c r="C359" t="s">
        <v>3054</v>
      </c>
      <c r="D359" s="489" t="s">
        <v>8369</v>
      </c>
      <c r="E359" s="489" t="s">
        <v>8822</v>
      </c>
      <c r="F359" s="490" t="s">
        <v>7898</v>
      </c>
      <c r="G359" t="s">
        <v>9403</v>
      </c>
      <c r="H359" s="89" t="s">
        <v>7058</v>
      </c>
      <c r="I359" s="89" t="s">
        <v>6368</v>
      </c>
      <c r="J359" s="89" t="s">
        <v>5883</v>
      </c>
      <c r="K359" s="475" t="s">
        <v>6709</v>
      </c>
    </row>
    <row r="360" spans="1:11" s="12" customFormat="1" ht="43.8" thickBot="1" x14ac:dyDescent="0.35">
      <c r="A360" s="12" t="s">
        <v>4309</v>
      </c>
      <c r="B360" s="476" t="str">
        <f t="shared" si="9"/>
        <v>Total temporary workers provided by undertakings primarily engaged in employment activities</v>
      </c>
      <c r="C360" s="12" t="s">
        <v>34</v>
      </c>
      <c r="D360" s="497" t="s">
        <v>8370</v>
      </c>
      <c r="E360" s="497" t="s">
        <v>8823</v>
      </c>
      <c r="F360" s="491" t="s">
        <v>7899</v>
      </c>
      <c r="G360" s="12" t="s">
        <v>9404</v>
      </c>
      <c r="H360" s="443" t="s">
        <v>7059</v>
      </c>
      <c r="I360" s="443" t="s">
        <v>6369</v>
      </c>
      <c r="J360" s="443" t="s">
        <v>7411</v>
      </c>
      <c r="K360" s="495" t="s">
        <v>5794</v>
      </c>
    </row>
    <row r="361" spans="1:11" ht="43.2" x14ac:dyDescent="0.3">
      <c r="A361" t="s">
        <v>4310</v>
      </c>
      <c r="B361" s="442" t="str">
        <f t="shared" si="9"/>
        <v>C6 – Additional own workforce information - Human rights policies and processes</v>
      </c>
      <c r="C361" t="s">
        <v>35</v>
      </c>
      <c r="D361" s="489" t="s">
        <v>8371</v>
      </c>
      <c r="E361" s="489" t="s">
        <v>8824</v>
      </c>
      <c r="F361" s="490" t="s">
        <v>7900</v>
      </c>
      <c r="G361" t="s">
        <v>9405</v>
      </c>
      <c r="H361" s="89" t="s">
        <v>7060</v>
      </c>
      <c r="I361" s="89" t="s">
        <v>6186</v>
      </c>
      <c r="J361" s="89" t="s">
        <v>7412</v>
      </c>
      <c r="K361" s="475" t="s">
        <v>6566</v>
      </c>
    </row>
    <row r="362" spans="1:11" ht="43.2" x14ac:dyDescent="0.3">
      <c r="A362" t="s">
        <v>4311</v>
      </c>
      <c r="B362" s="442" t="str">
        <f t="shared" si="9"/>
        <v>Does the undertaking have a code of conduct or human rights policy for its own workforce?</v>
      </c>
      <c r="C362" t="s">
        <v>36</v>
      </c>
      <c r="D362" s="489" t="s">
        <v>8372</v>
      </c>
      <c r="E362" s="489" t="s">
        <v>8825</v>
      </c>
      <c r="F362" s="490" t="s">
        <v>7901</v>
      </c>
      <c r="G362" t="s">
        <v>9406</v>
      </c>
      <c r="H362" s="89" t="s">
        <v>7061</v>
      </c>
      <c r="I362" s="89" t="s">
        <v>6370</v>
      </c>
      <c r="J362" s="89" t="s">
        <v>7413</v>
      </c>
      <c r="K362" s="475" t="s">
        <v>6710</v>
      </c>
    </row>
    <row r="363" spans="1:11" x14ac:dyDescent="0.3">
      <c r="A363" t="s">
        <v>4312</v>
      </c>
      <c r="B363" s="442" t="str">
        <f t="shared" si="9"/>
        <v>If yes does this cover:</v>
      </c>
      <c r="C363" t="s">
        <v>4048</v>
      </c>
      <c r="D363" s="489" t="s">
        <v>8373</v>
      </c>
      <c r="E363" s="489" t="s">
        <v>8826</v>
      </c>
      <c r="F363" s="490" t="s">
        <v>7902</v>
      </c>
      <c r="G363" t="s">
        <v>9407</v>
      </c>
      <c r="H363" s="89" t="s">
        <v>7062</v>
      </c>
      <c r="I363" s="89" t="s">
        <v>6371</v>
      </c>
      <c r="J363" s="89" t="s">
        <v>7414</v>
      </c>
      <c r="K363" s="475" t="s">
        <v>6711</v>
      </c>
    </row>
    <row r="364" spans="1:11" x14ac:dyDescent="0.3">
      <c r="A364" t="s">
        <v>4313</v>
      </c>
      <c r="B364" s="442" t="str">
        <f t="shared" si="9"/>
        <v>· child labour</v>
      </c>
      <c r="C364" t="s">
        <v>4500</v>
      </c>
      <c r="D364" s="489" t="s">
        <v>8374</v>
      </c>
      <c r="E364" s="489" t="s">
        <v>8827</v>
      </c>
      <c r="F364" s="490" t="s">
        <v>7903</v>
      </c>
      <c r="G364" t="s">
        <v>9408</v>
      </c>
      <c r="H364" s="89" t="s">
        <v>9030</v>
      </c>
      <c r="I364" s="89" t="s">
        <v>9029</v>
      </c>
      <c r="J364" s="89" t="s">
        <v>6095</v>
      </c>
      <c r="K364" s="475" t="s">
        <v>5795</v>
      </c>
    </row>
    <row r="365" spans="1:11" x14ac:dyDescent="0.3">
      <c r="A365" t="s">
        <v>4314</v>
      </c>
      <c r="B365" s="442" t="str">
        <f t="shared" si="9"/>
        <v>· forced labour</v>
      </c>
      <c r="C365" t="s">
        <v>4501</v>
      </c>
      <c r="D365" s="489" t="s">
        <v>8375</v>
      </c>
      <c r="E365" s="489" t="s">
        <v>8828</v>
      </c>
      <c r="F365" s="490" t="s">
        <v>7904</v>
      </c>
      <c r="G365" t="s">
        <v>9409</v>
      </c>
      <c r="H365" s="89" t="s">
        <v>6063</v>
      </c>
      <c r="I365" s="89" t="s">
        <v>9031</v>
      </c>
      <c r="J365" s="89" t="s">
        <v>5884</v>
      </c>
      <c r="K365" s="475" t="s">
        <v>5796</v>
      </c>
    </row>
    <row r="366" spans="1:11" x14ac:dyDescent="0.3">
      <c r="A366" t="s">
        <v>4315</v>
      </c>
      <c r="B366" s="442" t="str">
        <f t="shared" si="9"/>
        <v>· human trafficking</v>
      </c>
      <c r="C366" t="s">
        <v>4502</v>
      </c>
      <c r="D366" s="489" t="s">
        <v>8376</v>
      </c>
      <c r="E366" s="489" t="s">
        <v>8829</v>
      </c>
      <c r="F366" s="490" t="s">
        <v>7905</v>
      </c>
      <c r="G366" t="s">
        <v>9410</v>
      </c>
      <c r="H366" s="89" t="s">
        <v>7063</v>
      </c>
      <c r="I366" s="89" t="s">
        <v>9032</v>
      </c>
      <c r="J366" s="89" t="s">
        <v>7415</v>
      </c>
      <c r="K366" s="475" t="s">
        <v>6712</v>
      </c>
    </row>
    <row r="367" spans="1:11" x14ac:dyDescent="0.3">
      <c r="A367" t="s">
        <v>4316</v>
      </c>
      <c r="B367" s="442" t="str">
        <f t="shared" si="9"/>
        <v>· discrimination</v>
      </c>
      <c r="C367" t="s">
        <v>4503</v>
      </c>
      <c r="D367" s="489" t="s">
        <v>8377</v>
      </c>
      <c r="E367" s="489" t="s">
        <v>4503</v>
      </c>
      <c r="F367" s="490" t="s">
        <v>7906</v>
      </c>
      <c r="G367" t="s">
        <v>9411</v>
      </c>
      <c r="H367" s="89" t="s">
        <v>5690</v>
      </c>
      <c r="I367" s="89" t="s">
        <v>9033</v>
      </c>
      <c r="J367" s="89" t="s">
        <v>5885</v>
      </c>
      <c r="K367" s="475" t="s">
        <v>5797</v>
      </c>
    </row>
    <row r="368" spans="1:11" x14ac:dyDescent="0.3">
      <c r="A368" t="s">
        <v>4317</v>
      </c>
      <c r="B368" s="442" t="str">
        <f t="shared" si="9"/>
        <v>· accident prevention</v>
      </c>
      <c r="C368" t="s">
        <v>4504</v>
      </c>
      <c r="D368" s="489" t="s">
        <v>8378</v>
      </c>
      <c r="E368" s="489" t="s">
        <v>8974</v>
      </c>
      <c r="F368" s="490" t="s">
        <v>7907</v>
      </c>
      <c r="G368" t="s">
        <v>9412</v>
      </c>
      <c r="H368" s="89" t="s">
        <v>7064</v>
      </c>
      <c r="I368" s="89" t="s">
        <v>9034</v>
      </c>
      <c r="J368" s="89" t="s">
        <v>9036</v>
      </c>
      <c r="K368" s="475" t="s">
        <v>5798</v>
      </c>
    </row>
    <row r="369" spans="1:11" x14ac:dyDescent="0.3">
      <c r="A369" t="s">
        <v>4318</v>
      </c>
      <c r="B369" s="442" t="str">
        <f t="shared" si="9"/>
        <v>· other? ( if yes specify)</v>
      </c>
      <c r="C369" t="s">
        <v>4505</v>
      </c>
      <c r="D369" s="489" t="s">
        <v>8379</v>
      </c>
      <c r="E369" s="489" t="s">
        <v>8830</v>
      </c>
      <c r="F369" s="490" t="s">
        <v>7908</v>
      </c>
      <c r="G369" t="s">
        <v>9413</v>
      </c>
      <c r="H369" s="89" t="s">
        <v>8997</v>
      </c>
      <c r="I369" s="89" t="s">
        <v>9035</v>
      </c>
      <c r="J369" s="89" t="s">
        <v>9037</v>
      </c>
      <c r="K369" s="475" t="s">
        <v>6713</v>
      </c>
    </row>
    <row r="370" spans="1:11" ht="43.2" x14ac:dyDescent="0.3">
      <c r="A370" t="s">
        <v>4319</v>
      </c>
      <c r="B370" s="442" t="str">
        <f t="shared" si="9"/>
        <v>Specify other types of content covered by the code of conduct or human rights policy</v>
      </c>
      <c r="C370" t="s">
        <v>3102</v>
      </c>
      <c r="D370" s="489" t="s">
        <v>8380</v>
      </c>
      <c r="E370" s="489" t="s">
        <v>8831</v>
      </c>
      <c r="F370" s="490" t="s">
        <v>7909</v>
      </c>
      <c r="G370" t="s">
        <v>9414</v>
      </c>
      <c r="H370" s="89" t="s">
        <v>7065</v>
      </c>
      <c r="I370" s="89" t="s">
        <v>6372</v>
      </c>
      <c r="J370" s="89" t="s">
        <v>7416</v>
      </c>
      <c r="K370" s="475" t="s">
        <v>6714</v>
      </c>
    </row>
    <row r="371" spans="1:11" s="12" customFormat="1" ht="29.4" thickBot="1" x14ac:dyDescent="0.35">
      <c r="A371" s="12" t="s">
        <v>4320</v>
      </c>
      <c r="B371" s="476" t="str">
        <f t="shared" si="9"/>
        <v>Does the undertaking have a complaint-handling mechanism for its own workforce?</v>
      </c>
      <c r="C371" s="12" t="s">
        <v>3986</v>
      </c>
      <c r="D371" s="497" t="s">
        <v>8381</v>
      </c>
      <c r="E371" s="501" t="s">
        <v>8832</v>
      </c>
      <c r="F371" s="491" t="s">
        <v>7910</v>
      </c>
      <c r="G371" s="12" t="s">
        <v>9415</v>
      </c>
      <c r="H371" s="443" t="s">
        <v>7066</v>
      </c>
      <c r="I371" s="443" t="s">
        <v>6373</v>
      </c>
      <c r="J371" s="443" t="s">
        <v>7417</v>
      </c>
      <c r="K371" s="495" t="s">
        <v>6715</v>
      </c>
    </row>
    <row r="372" spans="1:11" ht="28.8" x14ac:dyDescent="0.3">
      <c r="A372" t="s">
        <v>4321</v>
      </c>
      <c r="B372" s="442" t="str">
        <f t="shared" si="9"/>
        <v>C7 – Severe negative human rights incidents</v>
      </c>
      <c r="C372" t="s">
        <v>37</v>
      </c>
      <c r="D372" s="489" t="s">
        <v>8382</v>
      </c>
      <c r="E372" s="489" t="s">
        <v>8585</v>
      </c>
      <c r="F372" s="490" t="s">
        <v>7911</v>
      </c>
      <c r="G372" t="s">
        <v>9416</v>
      </c>
      <c r="H372" s="89" t="s">
        <v>7067</v>
      </c>
      <c r="I372" s="89" t="s">
        <v>6187</v>
      </c>
      <c r="J372" s="89" t="s">
        <v>7418</v>
      </c>
      <c r="K372" s="475" t="s">
        <v>6716</v>
      </c>
    </row>
    <row r="373" spans="1:11" ht="43.2" x14ac:dyDescent="0.3">
      <c r="A373" t="s">
        <v>4322</v>
      </c>
      <c r="B373" s="442" t="str">
        <f t="shared" si="9"/>
        <v>Does the undertaking have confirmed incidents in its own workforce?</v>
      </c>
      <c r="C373" t="s">
        <v>3017</v>
      </c>
      <c r="D373" s="489" t="s">
        <v>8383</v>
      </c>
      <c r="E373" s="489" t="s">
        <v>8833</v>
      </c>
      <c r="F373" s="490" t="s">
        <v>7912</v>
      </c>
      <c r="G373" t="s">
        <v>9417</v>
      </c>
      <c r="H373" s="89" t="s">
        <v>7068</v>
      </c>
      <c r="I373" s="89" t="s">
        <v>6374</v>
      </c>
      <c r="J373" s="89" t="s">
        <v>7419</v>
      </c>
      <c r="K373" s="475" t="s">
        <v>6717</v>
      </c>
    </row>
    <row r="374" spans="1:11" x14ac:dyDescent="0.3">
      <c r="A374" t="s">
        <v>4323</v>
      </c>
      <c r="B374" s="442" t="str">
        <f t="shared" si="9"/>
        <v>If yes are incidents related to:</v>
      </c>
      <c r="C374" t="s">
        <v>4049</v>
      </c>
      <c r="D374" s="489" t="s">
        <v>8384</v>
      </c>
      <c r="E374" s="489" t="s">
        <v>8834</v>
      </c>
      <c r="F374" s="490" t="s">
        <v>7913</v>
      </c>
      <c r="G374" t="s">
        <v>9418</v>
      </c>
      <c r="H374" s="89" t="s">
        <v>7069</v>
      </c>
      <c r="I374" s="89" t="s">
        <v>6375</v>
      </c>
      <c r="J374" s="89" t="s">
        <v>7420</v>
      </c>
      <c r="K374" s="475" t="s">
        <v>6718</v>
      </c>
    </row>
    <row r="375" spans="1:11" ht="28.8" x14ac:dyDescent="0.3">
      <c r="A375" t="s">
        <v>4324</v>
      </c>
      <c r="B375" s="442" t="str">
        <f t="shared" si="9"/>
        <v>Specify other human rights related to the confirmed incidents</v>
      </c>
      <c r="C375" t="s">
        <v>3541</v>
      </c>
      <c r="D375" s="489" t="s">
        <v>8385</v>
      </c>
      <c r="E375" s="489" t="s">
        <v>8835</v>
      </c>
      <c r="F375" s="490" t="s">
        <v>7914</v>
      </c>
      <c r="G375" t="s">
        <v>9419</v>
      </c>
      <c r="H375" s="89" t="s">
        <v>7070</v>
      </c>
      <c r="I375" s="89" t="s">
        <v>6376</v>
      </c>
      <c r="J375" s="89" t="s">
        <v>7421</v>
      </c>
      <c r="K375" s="475" t="s">
        <v>6719</v>
      </c>
    </row>
    <row r="376" spans="1:11" ht="57.6" x14ac:dyDescent="0.3">
      <c r="A376" t="s">
        <v>4325</v>
      </c>
      <c r="B376" s="442" t="str">
        <f t="shared" si="9"/>
        <v>Description of actions taken to address the confirmed incidents</v>
      </c>
      <c r="C376" t="s">
        <v>4001</v>
      </c>
      <c r="D376" s="489" t="s">
        <v>8386</v>
      </c>
      <c r="E376" s="489" t="s">
        <v>8836</v>
      </c>
      <c r="F376" s="490" t="s">
        <v>7915</v>
      </c>
      <c r="G376" t="s">
        <v>9420</v>
      </c>
      <c r="H376" s="89" t="s">
        <v>7071</v>
      </c>
      <c r="I376" s="89" t="s">
        <v>6377</v>
      </c>
      <c r="J376" s="89" t="s">
        <v>7422</v>
      </c>
      <c r="K376" s="475" t="s">
        <v>6720</v>
      </c>
    </row>
    <row r="377" spans="1:11" ht="72" x14ac:dyDescent="0.3">
      <c r="A377" t="s">
        <v>4326</v>
      </c>
      <c r="B377" s="442" t="str">
        <f t="shared" si="9"/>
        <v>Is the undertaking aware of any confirmed incidents involving workers in the value chain affected communities consumers and end-users?</v>
      </c>
      <c r="C377" t="s">
        <v>4050</v>
      </c>
      <c r="D377" s="489" t="s">
        <v>8387</v>
      </c>
      <c r="E377" s="489" t="s">
        <v>8837</v>
      </c>
      <c r="F377" s="490" t="s">
        <v>7916</v>
      </c>
      <c r="G377" t="s">
        <v>9421</v>
      </c>
      <c r="H377" s="89" t="s">
        <v>7072</v>
      </c>
      <c r="I377" s="89" t="s">
        <v>6378</v>
      </c>
      <c r="J377" s="89" t="s">
        <v>7423</v>
      </c>
      <c r="K377" s="475" t="s">
        <v>6721</v>
      </c>
    </row>
    <row r="378" spans="1:11" s="12" customFormat="1" ht="58.2" thickBot="1" x14ac:dyDescent="0.35">
      <c r="A378" s="12" t="s">
        <v>4327</v>
      </c>
      <c r="B378" s="476" t="str">
        <f t="shared" si="9"/>
        <v>Specification of any confirmed incident involving workers in the value chain affected communities consumers and end-users</v>
      </c>
      <c r="C378" s="12" t="s">
        <v>4051</v>
      </c>
      <c r="D378" s="497" t="s">
        <v>8388</v>
      </c>
      <c r="E378" s="497" t="s">
        <v>8838</v>
      </c>
      <c r="F378" s="491" t="s">
        <v>7917</v>
      </c>
      <c r="G378" s="12" t="s">
        <v>9422</v>
      </c>
      <c r="H378" s="443" t="s">
        <v>7073</v>
      </c>
      <c r="I378" s="443" t="s">
        <v>6379</v>
      </c>
      <c r="J378" s="443" t="s">
        <v>7424</v>
      </c>
      <c r="K378" s="495" t="s">
        <v>6722</v>
      </c>
    </row>
    <row r="379" spans="1:11" s="119" customFormat="1" ht="29.4" thickBot="1" x14ac:dyDescent="0.35">
      <c r="A379" s="119" t="s">
        <v>4328</v>
      </c>
      <c r="B379" s="478" t="str">
        <f t="shared" si="9"/>
        <v>Disclosure of any other social and or entity specific social disclosures</v>
      </c>
      <c r="C379" s="119" t="s">
        <v>4057</v>
      </c>
      <c r="D379" s="502" t="s">
        <v>8389</v>
      </c>
      <c r="E379" s="502" t="s">
        <v>8591</v>
      </c>
      <c r="F379" s="492" t="s">
        <v>7918</v>
      </c>
      <c r="G379" s="119" t="s">
        <v>9423</v>
      </c>
      <c r="H379" s="479" t="s">
        <v>7074</v>
      </c>
      <c r="I379" s="479" t="s">
        <v>6380</v>
      </c>
      <c r="J379" s="479" t="s">
        <v>7425</v>
      </c>
      <c r="K379" s="496" t="s">
        <v>6723</v>
      </c>
    </row>
    <row r="380" spans="1:11" ht="28.8" x14ac:dyDescent="0.3">
      <c r="A380" t="s">
        <v>4329</v>
      </c>
      <c r="B380" t="str">
        <f t="shared" si="9"/>
        <v>B11 – Convictions and fines for corruption and bribery</v>
      </c>
      <c r="C380" t="s">
        <v>38</v>
      </c>
      <c r="D380" s="489" t="s">
        <v>8390</v>
      </c>
      <c r="E380" s="489" t="s">
        <v>8578</v>
      </c>
      <c r="F380" s="490" t="s">
        <v>7919</v>
      </c>
      <c r="G380" t="s">
        <v>9424</v>
      </c>
      <c r="H380" s="89" t="s">
        <v>7075</v>
      </c>
      <c r="I380" s="89" t="s">
        <v>6181</v>
      </c>
      <c r="J380" s="89" t="s">
        <v>5886</v>
      </c>
      <c r="K380" s="475" t="s">
        <v>6724</v>
      </c>
    </row>
    <row r="381" spans="1:11" ht="28.8" x14ac:dyDescent="0.3">
      <c r="A381" t="s">
        <v>4330</v>
      </c>
      <c r="B381" t="str">
        <f t="shared" si="9"/>
        <v>Has the undertaking incurred in convictions and fines in the reporting period?</v>
      </c>
      <c r="C381" t="s">
        <v>3089</v>
      </c>
      <c r="D381" s="489" t="s">
        <v>8391</v>
      </c>
      <c r="E381" s="489" t="s">
        <v>8839</v>
      </c>
      <c r="F381" s="490" t="s">
        <v>7920</v>
      </c>
      <c r="G381" t="s">
        <v>9425</v>
      </c>
      <c r="H381" s="89" t="s">
        <v>7076</v>
      </c>
      <c r="I381" s="89" t="s">
        <v>6381</v>
      </c>
      <c r="J381" s="89" t="s">
        <v>7426</v>
      </c>
      <c r="K381" s="475" t="s">
        <v>6725</v>
      </c>
    </row>
    <row r="382" spans="1:11" ht="43.2" x14ac:dyDescent="0.3">
      <c r="A382" t="s">
        <v>4331</v>
      </c>
      <c r="B382" t="str">
        <f t="shared" si="9"/>
        <v>Total number of convictions  for the violation of anti-corruption and anti-bribery laws</v>
      </c>
      <c r="C382" t="s">
        <v>3109</v>
      </c>
      <c r="D382" s="489" t="s">
        <v>8392</v>
      </c>
      <c r="E382" s="489" t="s">
        <v>8840</v>
      </c>
      <c r="F382" s="490" t="s">
        <v>7921</v>
      </c>
      <c r="G382" t="s">
        <v>9426</v>
      </c>
      <c r="H382" s="89" t="s">
        <v>7077</v>
      </c>
      <c r="I382" s="89" t="s">
        <v>6382</v>
      </c>
      <c r="J382" s="89" t="s">
        <v>6096</v>
      </c>
      <c r="K382" s="475" t="s">
        <v>6726</v>
      </c>
    </row>
    <row r="383" spans="1:11" s="12" customFormat="1" ht="43.8" thickBot="1" x14ac:dyDescent="0.35">
      <c r="A383" s="12" t="s">
        <v>4332</v>
      </c>
      <c r="B383" s="12" t="str">
        <f t="shared" si="9"/>
        <v>Total amount of fines for the violation of anti-corruption and anti-bribery laws</v>
      </c>
      <c r="C383" s="12" t="s">
        <v>4508</v>
      </c>
      <c r="D383" s="497" t="s">
        <v>8393</v>
      </c>
      <c r="E383" s="497" t="s">
        <v>8841</v>
      </c>
      <c r="F383" s="491" t="s">
        <v>7922</v>
      </c>
      <c r="G383" s="12" t="s">
        <v>9427</v>
      </c>
      <c r="H383" s="443" t="s">
        <v>7078</v>
      </c>
      <c r="I383" s="443" t="s">
        <v>6383</v>
      </c>
      <c r="J383" s="443" t="s">
        <v>7427</v>
      </c>
      <c r="K383" s="495" t="s">
        <v>6727</v>
      </c>
    </row>
    <row r="384" spans="1:11" x14ac:dyDescent="0.3">
      <c r="A384" t="s">
        <v>4333</v>
      </c>
      <c r="B384" t="str">
        <f t="shared" si="9"/>
        <v>C8 – Revenues from certain activities</v>
      </c>
      <c r="C384" t="s">
        <v>4616</v>
      </c>
      <c r="D384" s="489" t="s">
        <v>8394</v>
      </c>
      <c r="E384" s="489" t="s">
        <v>8842</v>
      </c>
      <c r="F384" s="490" t="s">
        <v>7923</v>
      </c>
      <c r="G384" t="s">
        <v>9428</v>
      </c>
      <c r="H384" s="89" t="s">
        <v>7079</v>
      </c>
      <c r="I384" s="89" t="s">
        <v>5968</v>
      </c>
      <c r="J384" s="89" t="s">
        <v>7428</v>
      </c>
      <c r="K384" s="475" t="s">
        <v>6728</v>
      </c>
    </row>
    <row r="385" spans="1:11" ht="28.8" x14ac:dyDescent="0.3">
      <c r="A385" t="s">
        <v>4334</v>
      </c>
      <c r="B385" t="str">
        <f t="shared" si="9"/>
        <v>Is the undertaking deriving revenues from one of the activities listed below?</v>
      </c>
      <c r="C385" t="s">
        <v>3090</v>
      </c>
      <c r="D385" s="489" t="s">
        <v>8395</v>
      </c>
      <c r="E385" s="489" t="s">
        <v>8843</v>
      </c>
      <c r="F385" s="490" t="s">
        <v>7924</v>
      </c>
      <c r="G385" t="s">
        <v>9429</v>
      </c>
      <c r="H385" s="89" t="s">
        <v>7080</v>
      </c>
      <c r="I385" s="89" t="s">
        <v>6384</v>
      </c>
      <c r="J385" s="89" t="s">
        <v>7429</v>
      </c>
      <c r="K385" s="475" t="s">
        <v>5799</v>
      </c>
    </row>
    <row r="386" spans="1:11" x14ac:dyDescent="0.3">
      <c r="A386" t="s">
        <v>4335</v>
      </c>
      <c r="B386" t="str">
        <f t="shared" si="9"/>
        <v>Monetary amount in</v>
      </c>
      <c r="C386" t="s">
        <v>3987</v>
      </c>
      <c r="D386" s="489" t="s">
        <v>8396</v>
      </c>
      <c r="E386" s="489" t="s">
        <v>8844</v>
      </c>
      <c r="F386" s="490" t="s">
        <v>7669</v>
      </c>
      <c r="G386" t="s">
        <v>9430</v>
      </c>
      <c r="H386" s="89" t="s">
        <v>7081</v>
      </c>
      <c r="I386" s="89" t="s">
        <v>5969</v>
      </c>
      <c r="J386" s="89" t="s">
        <v>5887</v>
      </c>
      <c r="K386" s="475" t="s">
        <v>5800</v>
      </c>
    </row>
    <row r="387" spans="1:11" ht="43.2" x14ac:dyDescent="0.3">
      <c r="A387" t="s">
        <v>4336</v>
      </c>
      <c r="B387" t="str">
        <f t="shared" si="9"/>
        <v>Revenue derived from controversial weapons (anti-personnel mines cluster munitions chemical weapons and biological weapons)</v>
      </c>
      <c r="C387" t="s">
        <v>4052</v>
      </c>
      <c r="D387" s="489" t="s">
        <v>8397</v>
      </c>
      <c r="E387" s="489" t="s">
        <v>8845</v>
      </c>
      <c r="F387" s="490" t="s">
        <v>7925</v>
      </c>
      <c r="G387" t="s">
        <v>9431</v>
      </c>
      <c r="H387" s="89" t="s">
        <v>7082</v>
      </c>
      <c r="I387" s="89" t="s">
        <v>6385</v>
      </c>
      <c r="J387" s="89" t="s">
        <v>7430</v>
      </c>
      <c r="K387" s="475" t="s">
        <v>6512</v>
      </c>
    </row>
    <row r="388" spans="1:11" ht="28.8" x14ac:dyDescent="0.3">
      <c r="A388" t="s">
        <v>4337</v>
      </c>
      <c r="B388" t="str">
        <f t="shared" ref="B388:B451" si="10">INDEX(C388:K388,MATCH(template_selected_display_language,$C$3:$K$3,0))</f>
        <v>Revenue derived from cultivation and production of tobacco</v>
      </c>
      <c r="C388" t="s">
        <v>3043</v>
      </c>
      <c r="D388" s="489" t="s">
        <v>8398</v>
      </c>
      <c r="E388" s="489" t="s">
        <v>8846</v>
      </c>
      <c r="F388" s="490" t="s">
        <v>7926</v>
      </c>
      <c r="G388" t="s">
        <v>9432</v>
      </c>
      <c r="H388" s="89" t="s">
        <v>7083</v>
      </c>
      <c r="I388" s="89" t="s">
        <v>6386</v>
      </c>
      <c r="J388" s="89" t="s">
        <v>7431</v>
      </c>
      <c r="K388" s="475" t="s">
        <v>6729</v>
      </c>
    </row>
    <row r="389" spans="1:11" x14ac:dyDescent="0.3">
      <c r="A389" t="s">
        <v>4338</v>
      </c>
      <c r="B389" t="str">
        <f t="shared" si="10"/>
        <v>Revenue derived from coal</v>
      </c>
      <c r="C389" t="s">
        <v>3042</v>
      </c>
      <c r="D389" s="489" t="s">
        <v>8399</v>
      </c>
      <c r="E389" s="489" t="s">
        <v>8847</v>
      </c>
      <c r="F389" s="490" t="s">
        <v>7927</v>
      </c>
      <c r="G389" t="s">
        <v>9433</v>
      </c>
      <c r="H389" s="89" t="s">
        <v>6039</v>
      </c>
      <c r="I389" s="89" t="s">
        <v>6387</v>
      </c>
      <c r="J389" s="89" t="s">
        <v>7432</v>
      </c>
      <c r="K389" s="475" t="s">
        <v>5801</v>
      </c>
    </row>
    <row r="390" spans="1:11" x14ac:dyDescent="0.3">
      <c r="A390" t="s">
        <v>4339</v>
      </c>
      <c r="B390" t="str">
        <f t="shared" si="10"/>
        <v>Revenue derived from oil</v>
      </c>
      <c r="C390" t="s">
        <v>3041</v>
      </c>
      <c r="D390" s="489" t="s">
        <v>8400</v>
      </c>
      <c r="E390" s="489" t="s">
        <v>8848</v>
      </c>
      <c r="F390" s="490" t="s">
        <v>7928</v>
      </c>
      <c r="G390" t="s">
        <v>9434</v>
      </c>
      <c r="H390" s="89" t="s">
        <v>7084</v>
      </c>
      <c r="I390" s="89" t="s">
        <v>6388</v>
      </c>
      <c r="J390" s="89" t="s">
        <v>7433</v>
      </c>
      <c r="K390" s="475" t="s">
        <v>5802</v>
      </c>
    </row>
    <row r="391" spans="1:11" x14ac:dyDescent="0.3">
      <c r="A391" t="s">
        <v>4340</v>
      </c>
      <c r="B391" t="str">
        <f t="shared" si="10"/>
        <v>Revenue derived from gas</v>
      </c>
      <c r="C391" t="s">
        <v>3040</v>
      </c>
      <c r="D391" s="489" t="s">
        <v>8401</v>
      </c>
      <c r="E391" s="489" t="s">
        <v>8849</v>
      </c>
      <c r="F391" s="490" t="s">
        <v>7929</v>
      </c>
      <c r="G391" t="s">
        <v>9435</v>
      </c>
      <c r="H391" s="89" t="s">
        <v>7085</v>
      </c>
      <c r="I391" s="89" t="s">
        <v>6389</v>
      </c>
      <c r="J391" s="89" t="s">
        <v>7434</v>
      </c>
      <c r="K391" s="475" t="s">
        <v>6101</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4632</v>
      </c>
      <c r="D392" s="489" t="s">
        <v>8402</v>
      </c>
      <c r="E392" s="489" t="s">
        <v>8850</v>
      </c>
      <c r="F392" s="490" t="s">
        <v>7930</v>
      </c>
      <c r="G392" t="s">
        <v>9436</v>
      </c>
      <c r="H392" s="89" t="s">
        <v>7086</v>
      </c>
      <c r="I392" s="89" t="s">
        <v>6390</v>
      </c>
      <c r="J392" s="89" t="s">
        <v>7435</v>
      </c>
      <c r="K392" s="475" t="s">
        <v>6513</v>
      </c>
    </row>
    <row r="393" spans="1:11" s="12" customFormat="1" ht="29.4" thickBot="1" x14ac:dyDescent="0.35">
      <c r="A393" s="12" t="s">
        <v>4342</v>
      </c>
      <c r="B393" s="12" t="str">
        <f t="shared" si="10"/>
        <v>Revenue derived from chemicals production</v>
      </c>
      <c r="C393" s="12" t="s">
        <v>3039</v>
      </c>
      <c r="D393" s="497" t="s">
        <v>8403</v>
      </c>
      <c r="E393" s="497" t="s">
        <v>8851</v>
      </c>
      <c r="F393" s="491" t="s">
        <v>7931</v>
      </c>
      <c r="G393" s="12" t="s">
        <v>9437</v>
      </c>
      <c r="H393" s="443" t="s">
        <v>7087</v>
      </c>
      <c r="I393" s="443" t="s">
        <v>6391</v>
      </c>
      <c r="J393" s="443" t="s">
        <v>7436</v>
      </c>
      <c r="K393" s="495" t="s">
        <v>5803</v>
      </c>
    </row>
    <row r="394" spans="1:11" ht="28.8" x14ac:dyDescent="0.3">
      <c r="A394" t="s">
        <v>4343</v>
      </c>
      <c r="B394" t="str">
        <f t="shared" si="10"/>
        <v>C8 – Exclusion from EU reference benchmarks</v>
      </c>
      <c r="C394" t="s">
        <v>4026</v>
      </c>
      <c r="D394" s="489" t="s">
        <v>8404</v>
      </c>
      <c r="E394" s="489" t="s">
        <v>8852</v>
      </c>
      <c r="F394" s="490" t="s">
        <v>7932</v>
      </c>
      <c r="G394" t="s">
        <v>9438</v>
      </c>
      <c r="H394" s="89" t="s">
        <v>7088</v>
      </c>
      <c r="I394" s="89" t="s">
        <v>6392</v>
      </c>
      <c r="J394" s="89" t="s">
        <v>7437</v>
      </c>
      <c r="K394" s="475" t="s">
        <v>5804</v>
      </c>
    </row>
    <row r="395" spans="1:11" ht="28.8" x14ac:dyDescent="0.3">
      <c r="A395" t="s">
        <v>4344</v>
      </c>
      <c r="B395" t="str">
        <f t="shared" si="10"/>
        <v>Undertakings are excluded from the EU Paris-aligned Benchmarks if they  derive:</v>
      </c>
      <c r="C395" t="s">
        <v>2901</v>
      </c>
      <c r="D395" s="489" t="s">
        <v>8405</v>
      </c>
      <c r="E395" s="489" t="s">
        <v>8853</v>
      </c>
      <c r="F395" s="490" t="s">
        <v>7933</v>
      </c>
      <c r="G395" t="s">
        <v>9439</v>
      </c>
      <c r="H395" s="89" t="s">
        <v>7089</v>
      </c>
      <c r="I395" s="89" t="s">
        <v>6393</v>
      </c>
      <c r="J395" s="89" t="s">
        <v>7438</v>
      </c>
      <c r="K395" s="475" t="s">
        <v>6797</v>
      </c>
    </row>
    <row r="396" spans="1:11" ht="43.2" x14ac:dyDescent="0.3">
      <c r="A396" t="s">
        <v>4345</v>
      </c>
      <c r="B396" t="str">
        <f t="shared" si="10"/>
        <v>1% or more of their revenues from exploration mining extraction distribution or refining of hard coal and lignite</v>
      </c>
      <c r="C396" t="s">
        <v>4002</v>
      </c>
      <c r="D396" s="489" t="s">
        <v>8406</v>
      </c>
      <c r="E396" s="489" t="s">
        <v>8854</v>
      </c>
      <c r="F396" s="490" t="s">
        <v>7934</v>
      </c>
      <c r="G396" t="s">
        <v>9440</v>
      </c>
      <c r="H396" s="89" t="s">
        <v>7090</v>
      </c>
      <c r="I396" s="89" t="s">
        <v>6394</v>
      </c>
      <c r="J396" s="89" t="s">
        <v>7439</v>
      </c>
      <c r="K396" s="475" t="s">
        <v>6494</v>
      </c>
    </row>
    <row r="397" spans="1:11" ht="43.2" x14ac:dyDescent="0.3">
      <c r="A397" t="s">
        <v>4346</v>
      </c>
      <c r="B397" t="str">
        <f t="shared" si="10"/>
        <v>10% or more of their revenues from the exploration extraction distribution or refining of oil fuels</v>
      </c>
      <c r="C397" t="s">
        <v>4003</v>
      </c>
      <c r="D397" s="489" t="s">
        <v>8407</v>
      </c>
      <c r="E397" s="489" t="s">
        <v>8855</v>
      </c>
      <c r="F397" s="490" t="s">
        <v>7935</v>
      </c>
      <c r="G397" t="s">
        <v>9441</v>
      </c>
      <c r="H397" s="89" t="s">
        <v>7091</v>
      </c>
      <c r="I397" s="89" t="s">
        <v>6395</v>
      </c>
      <c r="J397" s="89" t="s">
        <v>7440</v>
      </c>
      <c r="K397" s="475" t="s">
        <v>6730</v>
      </c>
    </row>
    <row r="398" spans="1:11" ht="43.2" x14ac:dyDescent="0.3">
      <c r="A398" t="s">
        <v>4347</v>
      </c>
      <c r="B398" t="str">
        <f t="shared" si="10"/>
        <v>50% or more of their revenues from the exploration extraction manufacturing or distribution of gaseous fuels</v>
      </c>
      <c r="C398" t="s">
        <v>4004</v>
      </c>
      <c r="D398" s="489" t="s">
        <v>8408</v>
      </c>
      <c r="E398" s="489" t="s">
        <v>8856</v>
      </c>
      <c r="F398" s="490" t="s">
        <v>7936</v>
      </c>
      <c r="G398" t="s">
        <v>9442</v>
      </c>
      <c r="H398" s="89" t="s">
        <v>7092</v>
      </c>
      <c r="I398" s="89" t="s">
        <v>6396</v>
      </c>
      <c r="J398" s="89" t="s">
        <v>7441</v>
      </c>
      <c r="K398" s="475" t="s">
        <v>6731</v>
      </c>
    </row>
    <row r="399" spans="1:11" ht="57.6" x14ac:dyDescent="0.3">
      <c r="A399" t="s">
        <v>4348</v>
      </c>
      <c r="B399" t="str">
        <f t="shared" si="10"/>
        <v>50% or more of their revenues from electricity generation with a GHG intensity of more than 100g CO2 e kWh</v>
      </c>
      <c r="C399" t="s">
        <v>4058</v>
      </c>
      <c r="D399" s="489" t="s">
        <v>8409</v>
      </c>
      <c r="E399" s="489" t="s">
        <v>8857</v>
      </c>
      <c r="F399" s="490" t="s">
        <v>7937</v>
      </c>
      <c r="G399" t="s">
        <v>9443</v>
      </c>
      <c r="H399" s="89" t="s">
        <v>7093</v>
      </c>
      <c r="I399" s="89" t="s">
        <v>6397</v>
      </c>
      <c r="J399" s="89" t="s">
        <v>7442</v>
      </c>
      <c r="K399" s="475" t="s">
        <v>6732</v>
      </c>
    </row>
    <row r="400" spans="1:11" x14ac:dyDescent="0.3">
      <c r="A400" t="s">
        <v>4349</v>
      </c>
      <c r="B400" t="str">
        <f t="shared" si="10"/>
        <v>None of the above</v>
      </c>
      <c r="C400" t="s">
        <v>2924</v>
      </c>
      <c r="D400" s="489" t="s">
        <v>8410</v>
      </c>
      <c r="E400" s="489" t="s">
        <v>8858</v>
      </c>
      <c r="F400" s="490" t="s">
        <v>7938</v>
      </c>
      <c r="G400" t="s">
        <v>9444</v>
      </c>
      <c r="H400" s="89" t="s">
        <v>7094</v>
      </c>
      <c r="I400" s="89" t="s">
        <v>6398</v>
      </c>
      <c r="J400" s="89" t="s">
        <v>7443</v>
      </c>
      <c r="K400" s="475" t="s">
        <v>5805</v>
      </c>
    </row>
    <row r="401" spans="1:11" s="12" customFormat="1" ht="29.4" thickBot="1" x14ac:dyDescent="0.35">
      <c r="A401" s="12" t="s">
        <v>4350</v>
      </c>
      <c r="B401" s="12" t="str">
        <f t="shared" si="10"/>
        <v>Undertakings are excluded from any EU reference benchmarks that are aligned with the Paris Agreement</v>
      </c>
      <c r="C401" s="12" t="s">
        <v>3988</v>
      </c>
      <c r="D401" s="497" t="s">
        <v>8411</v>
      </c>
      <c r="E401" s="497" t="s">
        <v>8859</v>
      </c>
      <c r="F401" s="491" t="s">
        <v>7939</v>
      </c>
      <c r="G401" s="12" t="s">
        <v>9445</v>
      </c>
      <c r="H401" s="443" t="s">
        <v>7095</v>
      </c>
      <c r="I401" s="443" t="s">
        <v>6399</v>
      </c>
      <c r="J401" s="443" t="s">
        <v>7444</v>
      </c>
      <c r="K401" s="495" t="s">
        <v>6733</v>
      </c>
    </row>
    <row r="402" spans="1:11" x14ac:dyDescent="0.3">
      <c r="A402" t="s">
        <v>4351</v>
      </c>
      <c r="B402" t="str">
        <f t="shared" si="10"/>
        <v>C9 – Gender diversity ratio in the governance body</v>
      </c>
      <c r="C402" t="s">
        <v>39</v>
      </c>
      <c r="D402" s="489" t="s">
        <v>8412</v>
      </c>
      <c r="E402" s="489" t="s">
        <v>8588</v>
      </c>
      <c r="F402" s="490" t="s">
        <v>7940</v>
      </c>
      <c r="G402" t="s">
        <v>9446</v>
      </c>
      <c r="H402" s="89" t="s">
        <v>6040</v>
      </c>
      <c r="I402" s="89" t="s">
        <v>6400</v>
      </c>
      <c r="J402" s="89" t="s">
        <v>7445</v>
      </c>
      <c r="K402" s="475" t="s">
        <v>6568</v>
      </c>
    </row>
    <row r="403" spans="1:11" ht="43.2" x14ac:dyDescent="0.3">
      <c r="A403" t="s">
        <v>4352</v>
      </c>
      <c r="B403" t="str">
        <f t="shared" si="10"/>
        <v>Does the undertaking have a governance body in place?</v>
      </c>
      <c r="C403" t="s">
        <v>3091</v>
      </c>
      <c r="D403" s="489" t="s">
        <v>8413</v>
      </c>
      <c r="E403" s="489" t="s">
        <v>8860</v>
      </c>
      <c r="F403" s="490" t="s">
        <v>7941</v>
      </c>
      <c r="G403" t="s">
        <v>9447</v>
      </c>
      <c r="H403" s="89" t="s">
        <v>7096</v>
      </c>
      <c r="I403" s="89" t="s">
        <v>6401</v>
      </c>
      <c r="J403" s="89" t="s">
        <v>7446</v>
      </c>
      <c r="K403" s="475" t="s">
        <v>6734</v>
      </c>
    </row>
    <row r="404" spans="1:11" ht="28.8" x14ac:dyDescent="0.3">
      <c r="A404" t="s">
        <v>4353</v>
      </c>
      <c r="B404" t="str">
        <f t="shared" si="10"/>
        <v>Number of female board members at the end of the reporting period</v>
      </c>
      <c r="C404" t="s">
        <v>3546</v>
      </c>
      <c r="D404" s="489" t="s">
        <v>8414</v>
      </c>
      <c r="E404" s="489" t="s">
        <v>8861</v>
      </c>
      <c r="F404" s="490" t="s">
        <v>7942</v>
      </c>
      <c r="G404" t="s">
        <v>9448</v>
      </c>
      <c r="H404" s="89" t="s">
        <v>6041</v>
      </c>
      <c r="I404" s="89" t="s">
        <v>6402</v>
      </c>
      <c r="J404" s="89" t="s">
        <v>7447</v>
      </c>
      <c r="K404" s="475" t="s">
        <v>6735</v>
      </c>
    </row>
    <row r="405" spans="1:11" ht="28.8" x14ac:dyDescent="0.3">
      <c r="A405" t="s">
        <v>4354</v>
      </c>
      <c r="B405" t="str">
        <f t="shared" si="10"/>
        <v>Number of male board members at the end of the reporting period</v>
      </c>
      <c r="C405" t="s">
        <v>3547</v>
      </c>
      <c r="D405" s="489" t="s">
        <v>8415</v>
      </c>
      <c r="E405" s="489" t="s">
        <v>8862</v>
      </c>
      <c r="F405" s="490" t="s">
        <v>7943</v>
      </c>
      <c r="G405" t="s">
        <v>9449</v>
      </c>
      <c r="H405" s="89" t="s">
        <v>6042</v>
      </c>
      <c r="I405" s="89" t="s">
        <v>6403</v>
      </c>
      <c r="J405" s="89" t="s">
        <v>7448</v>
      </c>
      <c r="K405" s="475" t="s">
        <v>6736</v>
      </c>
    </row>
    <row r="406" spans="1:11" s="12" customFormat="1" ht="29.4" thickBot="1" x14ac:dyDescent="0.35">
      <c r="A406" s="12" t="s">
        <v>4355</v>
      </c>
      <c r="B406" s="12" t="str">
        <f t="shared" si="10"/>
        <v>Gender diversity ratio in governance body</v>
      </c>
      <c r="C406" s="12" t="s">
        <v>3989</v>
      </c>
      <c r="D406" s="497" t="s">
        <v>8416</v>
      </c>
      <c r="E406" s="497" t="s">
        <v>8863</v>
      </c>
      <c r="F406" s="491" t="s">
        <v>7944</v>
      </c>
      <c r="G406" s="12" t="s">
        <v>9446</v>
      </c>
      <c r="H406" s="443" t="s">
        <v>6043</v>
      </c>
      <c r="I406" s="443" t="s">
        <v>6404</v>
      </c>
      <c r="J406" s="443" t="s">
        <v>5888</v>
      </c>
      <c r="K406" s="495" t="s">
        <v>5806</v>
      </c>
    </row>
    <row r="407" spans="1:11" s="119" customFormat="1" ht="29.4" thickBot="1" x14ac:dyDescent="0.35">
      <c r="A407" s="119" t="s">
        <v>4356</v>
      </c>
      <c r="B407" s="119" t="str">
        <f t="shared" si="10"/>
        <v>Disclosure of any other governance and or entity specific governance disclosures</v>
      </c>
      <c r="C407" s="119" t="s">
        <v>4059</v>
      </c>
      <c r="D407" s="502" t="s">
        <v>8417</v>
      </c>
      <c r="E407" s="502" t="s">
        <v>8592</v>
      </c>
      <c r="F407" s="492" t="s">
        <v>7945</v>
      </c>
      <c r="G407" s="119" t="s">
        <v>9450</v>
      </c>
      <c r="H407" s="479" t="s">
        <v>7097</v>
      </c>
      <c r="I407" s="479" t="s">
        <v>6405</v>
      </c>
      <c r="J407" s="479" t="s">
        <v>7449</v>
      </c>
      <c r="K407" s="496" t="s">
        <v>6737</v>
      </c>
    </row>
    <row r="408" spans="1:11" x14ac:dyDescent="0.3">
      <c r="A408" t="s">
        <v>4540</v>
      </c>
      <c r="B408" t="str">
        <f t="shared" si="10"/>
        <v>FUEL CONVERTER</v>
      </c>
      <c r="C408" t="s">
        <v>2925</v>
      </c>
      <c r="D408" s="489" t="s">
        <v>8418</v>
      </c>
      <c r="E408" s="489" t="s">
        <v>8864</v>
      </c>
      <c r="F408" s="490" t="s">
        <v>7946</v>
      </c>
      <c r="G408" t="s">
        <v>9451</v>
      </c>
      <c r="H408" s="89" t="s">
        <v>7098</v>
      </c>
      <c r="I408" s="89" t="s">
        <v>5970</v>
      </c>
      <c r="J408" s="89" t="s">
        <v>5889</v>
      </c>
      <c r="K408" s="475" t="s">
        <v>5807</v>
      </c>
    </row>
    <row r="409" spans="1:11" x14ac:dyDescent="0.3">
      <c r="A409" t="s">
        <v>4541</v>
      </c>
      <c r="B409" t="str">
        <f t="shared" si="10"/>
        <v>DISCLAIMER:</v>
      </c>
      <c r="C409" t="s">
        <v>4531</v>
      </c>
      <c r="D409" s="489" t="s">
        <v>8419</v>
      </c>
      <c r="E409" s="489" t="s">
        <v>8865</v>
      </c>
      <c r="F409" s="490" t="s">
        <v>7947</v>
      </c>
      <c r="G409" t="s">
        <v>9452</v>
      </c>
      <c r="H409" s="89" t="s">
        <v>7099</v>
      </c>
      <c r="I409" s="89" t="s">
        <v>6406</v>
      </c>
      <c r="J409" s="89" t="s">
        <v>7450</v>
      </c>
      <c r="K409" s="475" t="s">
        <v>6738</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4532</v>
      </c>
      <c r="D410" s="489" t="s">
        <v>8420</v>
      </c>
      <c r="E410" s="489" t="s">
        <v>8866</v>
      </c>
      <c r="F410" s="490" t="s">
        <v>7948</v>
      </c>
      <c r="G410" t="s">
        <v>9453</v>
      </c>
      <c r="H410" s="89" t="s">
        <v>7100</v>
      </c>
      <c r="I410" s="89" t="s">
        <v>6407</v>
      </c>
      <c r="J410" s="89" t="s">
        <v>7451</v>
      </c>
      <c r="K410" s="475" t="s">
        <v>6514</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4533</v>
      </c>
      <c r="D411" s="489" t="s">
        <v>8421</v>
      </c>
      <c r="E411" s="489" t="s">
        <v>8867</v>
      </c>
      <c r="F411" s="490" t="s">
        <v>7949</v>
      </c>
      <c r="G411" t="s">
        <v>9454</v>
      </c>
      <c r="H411" s="89" t="s">
        <v>7101</v>
      </c>
      <c r="I411" s="89" t="s">
        <v>6408</v>
      </c>
      <c r="J411" s="89" t="s">
        <v>7452</v>
      </c>
      <c r="K411" s="475" t="s">
        <v>6739</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4534</v>
      </c>
      <c r="D412" s="489" t="s">
        <v>8422</v>
      </c>
      <c r="E412" s="489" t="s">
        <v>8868</v>
      </c>
      <c r="F412" s="490" t="s">
        <v>7950</v>
      </c>
      <c r="G412" t="s">
        <v>9455</v>
      </c>
      <c r="H412" s="89" t="s">
        <v>7102</v>
      </c>
      <c r="I412" s="89" t="s">
        <v>6409</v>
      </c>
      <c r="J412" s="89" t="s">
        <v>7453</v>
      </c>
      <c r="K412" s="475" t="s">
        <v>6515</v>
      </c>
    </row>
    <row r="413" spans="1:11" ht="57.6" x14ac:dyDescent="0.3">
      <c r="A413" t="s">
        <v>4544</v>
      </c>
      <c r="B413" t="str">
        <f t="shared" si="10"/>
        <v>Indicates that the cell should be filled either by selecting a value from the dropdown (e.g. Type of fuel or Unit of Measurement) or by entering an amount.</v>
      </c>
      <c r="C413" t="s">
        <v>3775</v>
      </c>
      <c r="D413" s="489" t="s">
        <v>8423</v>
      </c>
      <c r="E413" s="489" t="s">
        <v>8869</v>
      </c>
      <c r="F413" s="490" t="s">
        <v>7951</v>
      </c>
      <c r="G413" t="s">
        <v>9456</v>
      </c>
      <c r="H413" s="89" t="s">
        <v>7103</v>
      </c>
      <c r="I413" s="89" t="s">
        <v>6410</v>
      </c>
      <c r="J413" s="89" t="s">
        <v>7454</v>
      </c>
      <c r="K413" s="475" t="s">
        <v>6740</v>
      </c>
    </row>
    <row r="414" spans="1:11" x14ac:dyDescent="0.3">
      <c r="A414" t="s">
        <v>4545</v>
      </c>
      <c r="B414" t="str">
        <f t="shared" si="10"/>
        <v>Fuel type</v>
      </c>
      <c r="C414" t="s">
        <v>4063</v>
      </c>
      <c r="D414" s="489" t="s">
        <v>8424</v>
      </c>
      <c r="E414" s="489" t="s">
        <v>8870</v>
      </c>
      <c r="F414" s="490" t="s">
        <v>7952</v>
      </c>
      <c r="G414" t="s">
        <v>9457</v>
      </c>
      <c r="H414" s="89" t="s">
        <v>7104</v>
      </c>
      <c r="I414" s="89" t="s">
        <v>5971</v>
      </c>
      <c r="J414" s="89" t="s">
        <v>6097</v>
      </c>
      <c r="K414" s="475" t="s">
        <v>5808</v>
      </c>
    </row>
    <row r="415" spans="1:11" x14ac:dyDescent="0.3">
      <c r="A415" t="s">
        <v>4546</v>
      </c>
      <c r="B415" t="str">
        <f t="shared" si="10"/>
        <v>Amount</v>
      </c>
      <c r="C415" t="s">
        <v>3024</v>
      </c>
      <c r="D415" s="489" t="s">
        <v>8425</v>
      </c>
      <c r="E415" s="489" t="s">
        <v>8871</v>
      </c>
      <c r="F415" s="490" t="s">
        <v>7953</v>
      </c>
      <c r="G415" t="s">
        <v>9458</v>
      </c>
      <c r="H415" s="89" t="s">
        <v>7105</v>
      </c>
      <c r="I415" s="89" t="s">
        <v>6411</v>
      </c>
      <c r="J415" s="89" t="s">
        <v>5890</v>
      </c>
      <c r="K415" s="475" t="s">
        <v>6741</v>
      </c>
    </row>
    <row r="416" spans="1:11" x14ac:dyDescent="0.3">
      <c r="A416" t="s">
        <v>4547</v>
      </c>
      <c r="B416" t="str">
        <f t="shared" si="10"/>
        <v>State of matter</v>
      </c>
      <c r="C416" t="s">
        <v>3019</v>
      </c>
      <c r="D416" s="489" t="s">
        <v>8426</v>
      </c>
      <c r="E416" s="489" t="s">
        <v>8872</v>
      </c>
      <c r="F416" s="490" t="s">
        <v>7954</v>
      </c>
      <c r="G416" t="s">
        <v>9459</v>
      </c>
      <c r="H416" s="89" t="s">
        <v>7106</v>
      </c>
      <c r="I416" s="89" t="s">
        <v>5972</v>
      </c>
      <c r="J416" s="89" t="s">
        <v>5891</v>
      </c>
      <c r="K416" s="475" t="s">
        <v>6742</v>
      </c>
    </row>
    <row r="417" spans="1:11" x14ac:dyDescent="0.3">
      <c r="A417" t="s">
        <v>4548</v>
      </c>
      <c r="B417" t="str">
        <f t="shared" si="10"/>
        <v>Typical renewable state</v>
      </c>
      <c r="C417" t="s">
        <v>4064</v>
      </c>
      <c r="D417" s="489" t="s">
        <v>8427</v>
      </c>
      <c r="E417" s="489" t="s">
        <v>8873</v>
      </c>
      <c r="F417" s="490" t="s">
        <v>7955</v>
      </c>
      <c r="G417" t="s">
        <v>9460</v>
      </c>
      <c r="H417" s="89" t="s">
        <v>7107</v>
      </c>
      <c r="I417" s="89" t="s">
        <v>5973</v>
      </c>
      <c r="J417" s="89" t="s">
        <v>5892</v>
      </c>
      <c r="K417" s="475" t="s">
        <v>5809</v>
      </c>
    </row>
    <row r="418" spans="1:11" x14ac:dyDescent="0.3">
      <c r="A418" t="s">
        <v>4549</v>
      </c>
      <c r="B418" t="str">
        <f t="shared" si="10"/>
        <v>Calculated Energy in MWh</v>
      </c>
      <c r="C418" t="s">
        <v>4065</v>
      </c>
      <c r="D418" s="489" t="s">
        <v>8428</v>
      </c>
      <c r="E418" s="489" t="s">
        <v>8874</v>
      </c>
      <c r="F418" s="490" t="s">
        <v>7956</v>
      </c>
      <c r="G418" t="s">
        <v>9461</v>
      </c>
      <c r="H418" s="89" t="s">
        <v>7108</v>
      </c>
      <c r="I418" s="89" t="s">
        <v>6079</v>
      </c>
      <c r="J418" s="89" t="s">
        <v>7455</v>
      </c>
      <c r="K418" s="475" t="s">
        <v>5810</v>
      </c>
    </row>
    <row r="419" spans="1:11" x14ac:dyDescent="0.3">
      <c r="A419" t="s">
        <v>4550</v>
      </c>
      <c r="B419" t="str">
        <f t="shared" si="10"/>
        <v>Usage of Fuel Converter:</v>
      </c>
      <c r="C419" t="s">
        <v>3673</v>
      </c>
      <c r="D419" s="489" t="s">
        <v>8429</v>
      </c>
      <c r="E419" s="489" t="s">
        <v>8875</v>
      </c>
      <c r="F419" s="490" t="s">
        <v>7957</v>
      </c>
      <c r="G419" t="s">
        <v>9462</v>
      </c>
      <c r="H419" s="89" t="s">
        <v>7109</v>
      </c>
      <c r="I419" s="89" t="s">
        <v>6412</v>
      </c>
      <c r="J419" s="89" t="s">
        <v>7456</v>
      </c>
      <c r="K419" s="475" t="s">
        <v>6743</v>
      </c>
    </row>
    <row r="420" spans="1:11" ht="43.2" x14ac:dyDescent="0.3">
      <c r="A420" t="s">
        <v>4573</v>
      </c>
      <c r="B420" t="str">
        <f t="shared" si="10"/>
        <v>1. In cell A9 select the Fuel used, searching for it or scrolling down the list displayed clicking the cell</v>
      </c>
      <c r="C420" t="s">
        <v>4066</v>
      </c>
      <c r="D420" s="489" t="s">
        <v>8430</v>
      </c>
      <c r="E420" s="489" t="s">
        <v>8876</v>
      </c>
      <c r="F420" s="490" t="s">
        <v>7958</v>
      </c>
      <c r="G420" t="s">
        <v>9463</v>
      </c>
      <c r="H420" s="89" t="s">
        <v>7110</v>
      </c>
      <c r="I420" s="89" t="s">
        <v>6413</v>
      </c>
      <c r="J420" s="89" t="s">
        <v>7505</v>
      </c>
      <c r="K420" s="475" t="s">
        <v>6744</v>
      </c>
    </row>
    <row r="421" spans="1:11" x14ac:dyDescent="0.3">
      <c r="A421" t="s">
        <v>4551</v>
      </c>
      <c r="B421" t="str">
        <f t="shared" si="10"/>
        <v>2. In cell B9 select the Unit of measurement used</v>
      </c>
      <c r="C421" t="s">
        <v>4067</v>
      </c>
      <c r="D421" s="489" t="s">
        <v>8431</v>
      </c>
      <c r="E421" s="489" t="s">
        <v>8877</v>
      </c>
      <c r="F421" s="490" t="s">
        <v>7959</v>
      </c>
      <c r="G421" t="s">
        <v>9464</v>
      </c>
      <c r="H421" s="89" t="s">
        <v>6044</v>
      </c>
      <c r="I421" s="89" t="s">
        <v>6414</v>
      </c>
      <c r="J421" s="89" t="s">
        <v>7504</v>
      </c>
      <c r="K421" s="475" t="s">
        <v>6788</v>
      </c>
    </row>
    <row r="422" spans="1:11" ht="28.8" x14ac:dyDescent="0.3">
      <c r="A422" t="s">
        <v>4552</v>
      </c>
      <c r="B422" t="str">
        <f t="shared" si="10"/>
        <v>3. In cell C9 select the Amount of fuel used</v>
      </c>
      <c r="C422" t="s">
        <v>4068</v>
      </c>
      <c r="D422" s="489" t="s">
        <v>8432</v>
      </c>
      <c r="E422" s="489" t="s">
        <v>8878</v>
      </c>
      <c r="F422" s="490" t="s">
        <v>7960</v>
      </c>
      <c r="G422" t="s">
        <v>9465</v>
      </c>
      <c r="H422" s="89" t="s">
        <v>7111</v>
      </c>
      <c r="I422" s="89" t="s">
        <v>5974</v>
      </c>
      <c r="J422" s="89" t="s">
        <v>7457</v>
      </c>
      <c r="K422" s="475" t="s">
        <v>6789</v>
      </c>
    </row>
    <row r="423" spans="1:11" ht="28.8" x14ac:dyDescent="0.3">
      <c r="A423" t="s">
        <v>4553</v>
      </c>
      <c r="B423" t="str">
        <f t="shared" si="10"/>
        <v>4. In cell D9 it is displayed the State of matter for the Fuel selected</v>
      </c>
      <c r="C423" t="s">
        <v>4070</v>
      </c>
      <c r="D423" s="489" t="s">
        <v>8433</v>
      </c>
      <c r="E423" s="489" t="s">
        <v>8879</v>
      </c>
      <c r="F423" s="490" t="s">
        <v>7961</v>
      </c>
      <c r="G423" t="s">
        <v>9466</v>
      </c>
      <c r="H423" s="89" t="s">
        <v>7112</v>
      </c>
      <c r="I423" s="89" t="s">
        <v>5975</v>
      </c>
      <c r="J423" s="89" t="s">
        <v>7458</v>
      </c>
      <c r="K423" s="475" t="s">
        <v>6790</v>
      </c>
    </row>
    <row r="424" spans="1:11" ht="28.8" x14ac:dyDescent="0.3">
      <c r="A424" t="s">
        <v>4554</v>
      </c>
      <c r="B424" t="str">
        <f t="shared" si="10"/>
        <v>5. In cell E9 it is displayed the Typical renewability state for the Fuel selected</v>
      </c>
      <c r="C424" t="s">
        <v>4069</v>
      </c>
      <c r="D424" s="489" t="s">
        <v>8434</v>
      </c>
      <c r="E424" s="489" t="s">
        <v>8880</v>
      </c>
      <c r="F424" s="490" t="s">
        <v>7962</v>
      </c>
      <c r="G424" t="s">
        <v>9467</v>
      </c>
      <c r="H424" s="89" t="s">
        <v>7113</v>
      </c>
      <c r="I424" s="89" t="s">
        <v>6415</v>
      </c>
      <c r="J424" s="89" t="s">
        <v>7506</v>
      </c>
      <c r="K424" s="475" t="s">
        <v>6791</v>
      </c>
    </row>
    <row r="425" spans="1:11" ht="28.8" x14ac:dyDescent="0.3">
      <c r="A425" t="s">
        <v>4555</v>
      </c>
      <c r="B425" t="str">
        <f t="shared" si="10"/>
        <v>6. In cell F9 is displayed the Energy produced in Mega Watt hours by the Amount of Fuel specified</v>
      </c>
      <c r="C425" t="s">
        <v>4071</v>
      </c>
      <c r="D425" s="489" t="s">
        <v>8435</v>
      </c>
      <c r="E425" s="489" t="s">
        <v>8881</v>
      </c>
      <c r="F425" s="490" t="s">
        <v>7963</v>
      </c>
      <c r="G425" t="s">
        <v>9468</v>
      </c>
      <c r="H425" s="89" t="s">
        <v>7114</v>
      </c>
      <c r="I425" s="89" t="s">
        <v>6416</v>
      </c>
      <c r="J425" s="89" t="s">
        <v>7507</v>
      </c>
      <c r="K425" s="475" t="s">
        <v>6792</v>
      </c>
    </row>
    <row r="426" spans="1:11" ht="28.8" x14ac:dyDescent="0.3">
      <c r="A426" t="s">
        <v>4556</v>
      </c>
      <c r="B426" t="str">
        <f t="shared" si="10"/>
        <v>7. In cell A28 is displayed the Total Energy in Mega Watt hours</v>
      </c>
      <c r="C426" t="s">
        <v>4535</v>
      </c>
      <c r="D426" s="489" t="s">
        <v>8436</v>
      </c>
      <c r="E426" s="489" t="s">
        <v>8882</v>
      </c>
      <c r="F426" s="490" t="s">
        <v>7964</v>
      </c>
      <c r="G426" t="s">
        <v>9469</v>
      </c>
      <c r="H426" s="89" t="s">
        <v>7115</v>
      </c>
      <c r="I426" s="89" t="s">
        <v>6080</v>
      </c>
      <c r="J426" s="89" t="s">
        <v>7508</v>
      </c>
      <c r="K426" s="475" t="s">
        <v>6793</v>
      </c>
    </row>
    <row r="427" spans="1:11" ht="28.8" x14ac:dyDescent="0.3">
      <c r="A427" t="s">
        <v>4557</v>
      </c>
      <c r="B427" t="str">
        <f t="shared" si="10"/>
        <v>8. In cell A31 is displayed the Total Renewable Energy in Mega Watt hours</v>
      </c>
      <c r="C427" t="s">
        <v>4536</v>
      </c>
      <c r="D427" s="489" t="s">
        <v>8437</v>
      </c>
      <c r="E427" s="489" t="s">
        <v>8883</v>
      </c>
      <c r="F427" s="490" t="s">
        <v>7965</v>
      </c>
      <c r="G427" t="s">
        <v>9470</v>
      </c>
      <c r="H427" s="89" t="s">
        <v>7116</v>
      </c>
      <c r="I427" s="89" t="s">
        <v>6081</v>
      </c>
      <c r="J427" s="89" t="s">
        <v>7509</v>
      </c>
      <c r="K427" s="475" t="s">
        <v>6794</v>
      </c>
    </row>
    <row r="428" spans="1:11" ht="28.8" x14ac:dyDescent="0.3">
      <c r="A428" t="s">
        <v>4574</v>
      </c>
      <c r="B428" t="str">
        <f t="shared" si="10"/>
        <v>9. In cell B31 is displayed the Total Non-renewable Energy in Mega Watt hours</v>
      </c>
      <c r="C428" t="s">
        <v>4537</v>
      </c>
      <c r="D428" s="489" t="s">
        <v>8438</v>
      </c>
      <c r="E428" s="489" t="s">
        <v>8884</v>
      </c>
      <c r="F428" s="490" t="s">
        <v>7966</v>
      </c>
      <c r="G428" t="s">
        <v>9471</v>
      </c>
      <c r="H428" s="89" t="s">
        <v>7117</v>
      </c>
      <c r="I428" s="89" t="s">
        <v>5976</v>
      </c>
      <c r="J428" s="89" t="s">
        <v>7510</v>
      </c>
      <c r="K428" s="475" t="s">
        <v>6795</v>
      </c>
    </row>
    <row r="429" spans="1:11" x14ac:dyDescent="0.3">
      <c r="A429" t="s">
        <v>4558</v>
      </c>
      <c r="B429" t="str">
        <f t="shared" si="10"/>
        <v>10. Further notes can be found below</v>
      </c>
      <c r="C429" t="s">
        <v>4538</v>
      </c>
      <c r="D429" s="489" t="s">
        <v>8439</v>
      </c>
      <c r="E429" s="489" t="s">
        <v>8885</v>
      </c>
      <c r="F429" s="490" t="s">
        <v>7967</v>
      </c>
      <c r="G429" t="s">
        <v>9472</v>
      </c>
      <c r="H429" s="89" t="s">
        <v>7118</v>
      </c>
      <c r="I429" s="89" t="s">
        <v>5977</v>
      </c>
      <c r="J429" s="89" t="s">
        <v>7459</v>
      </c>
      <c r="K429" s="475" t="s">
        <v>6796</v>
      </c>
    </row>
    <row r="430" spans="1:11" ht="28.8" x14ac:dyDescent="0.3">
      <c r="A430" t="s">
        <v>4559</v>
      </c>
      <c r="B430" t="str">
        <f t="shared" si="10"/>
        <v>Transfer the total calculated results to the B3 "Fuel Energy Consumption" reporting cell</v>
      </c>
      <c r="C430" t="s">
        <v>4635</v>
      </c>
      <c r="D430" s="489" t="s">
        <v>8440</v>
      </c>
      <c r="E430" s="489" t="s">
        <v>8886</v>
      </c>
      <c r="F430" s="490" t="s">
        <v>7968</v>
      </c>
      <c r="G430" t="s">
        <v>9473</v>
      </c>
      <c r="H430" s="89" t="s">
        <v>7119</v>
      </c>
      <c r="I430" s="89" t="s">
        <v>6417</v>
      </c>
      <c r="J430" s="89" t="s">
        <v>7460</v>
      </c>
      <c r="K430" s="475" t="s">
        <v>6745</v>
      </c>
    </row>
    <row r="431" spans="1:11" x14ac:dyDescent="0.3">
      <c r="A431" t="s">
        <v>4560</v>
      </c>
      <c r="B431" t="str">
        <f t="shared" si="10"/>
        <v>Total Energy [MWh]</v>
      </c>
      <c r="C431" t="s">
        <v>3561</v>
      </c>
      <c r="D431" s="489" t="s">
        <v>8441</v>
      </c>
      <c r="E431" s="489" t="s">
        <v>8887</v>
      </c>
      <c r="F431" s="490" t="s">
        <v>7969</v>
      </c>
      <c r="G431" t="s">
        <v>9474</v>
      </c>
      <c r="H431" s="89" t="s">
        <v>6064</v>
      </c>
      <c r="I431" s="89" t="s">
        <v>6418</v>
      </c>
      <c r="J431" s="89" t="s">
        <v>5893</v>
      </c>
      <c r="K431" s="475" t="s">
        <v>6746</v>
      </c>
    </row>
    <row r="432" spans="1:11" ht="57.6" x14ac:dyDescent="0.3">
      <c r="A432" t="s">
        <v>4561</v>
      </c>
      <c r="B432" t="str">
        <f t="shared" si="10"/>
        <v>Total Renewable Energy [MWh]</v>
      </c>
      <c r="C432" t="s">
        <v>3543</v>
      </c>
      <c r="D432" s="489" t="s">
        <v>8442</v>
      </c>
      <c r="E432" s="489" t="s">
        <v>8888</v>
      </c>
      <c r="F432" s="490" t="s">
        <v>7970</v>
      </c>
      <c r="G432" t="s">
        <v>9475</v>
      </c>
      <c r="H432" s="89" t="s">
        <v>7120</v>
      </c>
      <c r="I432" s="89" t="s">
        <v>6419</v>
      </c>
      <c r="J432" s="89" t="s">
        <v>7461</v>
      </c>
      <c r="K432" s="475" t="s">
        <v>6747</v>
      </c>
    </row>
    <row r="433" spans="1:11" x14ac:dyDescent="0.3">
      <c r="A433" t="s">
        <v>4575</v>
      </c>
      <c r="B433" t="str">
        <f t="shared" si="10"/>
        <v>Total Non-renewable Energy [MWh]</v>
      </c>
      <c r="C433" t="s">
        <v>3544</v>
      </c>
      <c r="D433" s="489" t="s">
        <v>8443</v>
      </c>
      <c r="E433" s="489" t="s">
        <v>8889</v>
      </c>
      <c r="F433" s="490" t="s">
        <v>7971</v>
      </c>
      <c r="G433" t="s">
        <v>9476</v>
      </c>
      <c r="H433" s="89" t="s">
        <v>7121</v>
      </c>
      <c r="I433" s="89" t="s">
        <v>6420</v>
      </c>
      <c r="J433" s="89" t="s">
        <v>7462</v>
      </c>
      <c r="K433" s="475" t="s">
        <v>6748</v>
      </c>
    </row>
    <row r="434" spans="1:11" x14ac:dyDescent="0.3">
      <c r="A434" t="s">
        <v>4562</v>
      </c>
      <c r="B434" t="str">
        <f t="shared" si="10"/>
        <v>Further notes:</v>
      </c>
      <c r="C434" t="s">
        <v>3672</v>
      </c>
      <c r="D434" s="489" t="s">
        <v>8444</v>
      </c>
      <c r="E434" s="489" t="s">
        <v>8890</v>
      </c>
      <c r="F434" s="490" t="s">
        <v>7972</v>
      </c>
      <c r="G434" t="s">
        <v>9477</v>
      </c>
      <c r="H434" s="89" t="s">
        <v>7122</v>
      </c>
      <c r="I434" s="89" t="s">
        <v>5978</v>
      </c>
      <c r="J434" s="89" t="s">
        <v>7463</v>
      </c>
      <c r="K434" s="475" t="s">
        <v>5811</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77" t="s">
        <v>3671</v>
      </c>
      <c r="D435" s="497" t="s">
        <v>8445</v>
      </c>
      <c r="E435" s="497" t="s">
        <v>8891</v>
      </c>
      <c r="F435" s="491" t="s">
        <v>7973</v>
      </c>
      <c r="G435" s="12" t="s">
        <v>9478</v>
      </c>
      <c r="H435" s="443" t="s">
        <v>7123</v>
      </c>
      <c r="I435" s="443" t="s">
        <v>6421</v>
      </c>
      <c r="J435" s="443" t="s">
        <v>7464</v>
      </c>
      <c r="K435" s="495" t="s">
        <v>6516</v>
      </c>
    </row>
    <row r="436" spans="1:11" ht="28.8" x14ac:dyDescent="0.3">
      <c r="A436" t="s">
        <v>4564</v>
      </c>
      <c r="B436" t="str">
        <f t="shared" si="10"/>
        <v>Energy Consumption per Hour in MWh for Solid Fuels:</v>
      </c>
      <c r="C436" t="s">
        <v>4509</v>
      </c>
      <c r="D436" s="489" t="s">
        <v>8446</v>
      </c>
      <c r="E436" s="489" t="s">
        <v>8892</v>
      </c>
      <c r="F436" s="490" t="s">
        <v>7974</v>
      </c>
      <c r="G436" t="s">
        <v>9479</v>
      </c>
      <c r="H436" s="89" t="s">
        <v>7124</v>
      </c>
      <c r="I436" s="89" t="s">
        <v>6082</v>
      </c>
      <c r="J436" s="89" t="s">
        <v>7465</v>
      </c>
      <c r="K436" s="475" t="s">
        <v>6102</v>
      </c>
    </row>
    <row r="437" spans="1:11" ht="43.2" x14ac:dyDescent="0.3">
      <c r="A437" t="s">
        <v>4565</v>
      </c>
      <c r="B437" t="str">
        <f t="shared" si="10"/>
        <v>Energy [MWh] = Mass [t] * NCV [MWh/t]</v>
      </c>
      <c r="C437" t="s">
        <v>4511</v>
      </c>
      <c r="D437" s="489" t="s">
        <v>8447</v>
      </c>
      <c r="E437" s="489" t="s">
        <v>8893</v>
      </c>
      <c r="F437" s="490" t="s">
        <v>7975</v>
      </c>
      <c r="G437" t="s">
        <v>9480</v>
      </c>
      <c r="H437" s="89" t="s">
        <v>7125</v>
      </c>
      <c r="I437" s="89" t="s">
        <v>6422</v>
      </c>
      <c r="J437" s="89" t="s">
        <v>7466</v>
      </c>
      <c r="K437" s="475" t="s">
        <v>6749</v>
      </c>
    </row>
    <row r="438" spans="1:11" ht="28.8" x14ac:dyDescent="0.3">
      <c r="A438" t="s">
        <v>4566</v>
      </c>
      <c r="B438" t="str">
        <f t="shared" si="10"/>
        <v>Energy Consumption per Hour in MWh for Liquid Fuels:</v>
      </c>
      <c r="C438" t="s">
        <v>4510</v>
      </c>
      <c r="D438" s="489" t="s">
        <v>8448</v>
      </c>
      <c r="E438" s="489" t="s">
        <v>8894</v>
      </c>
      <c r="F438" s="490" t="s">
        <v>7976</v>
      </c>
      <c r="G438" t="s">
        <v>9481</v>
      </c>
      <c r="H438" s="89" t="s">
        <v>7126</v>
      </c>
      <c r="I438" s="89" t="s">
        <v>6423</v>
      </c>
      <c r="J438" s="89" t="s">
        <v>7467</v>
      </c>
      <c r="K438" s="475" t="s">
        <v>5812</v>
      </c>
    </row>
    <row r="439" spans="1:11" x14ac:dyDescent="0.3">
      <c r="A439" t="s">
        <v>4567</v>
      </c>
      <c r="B439" t="str">
        <f t="shared" si="10"/>
        <v>Mass [t] = Volume [L] * Density [t/L]</v>
      </c>
      <c r="C439" t="s">
        <v>4512</v>
      </c>
      <c r="D439" s="489" t="s">
        <v>8449</v>
      </c>
      <c r="E439" s="489" t="s">
        <v>8895</v>
      </c>
      <c r="F439" s="490" t="s">
        <v>7977</v>
      </c>
      <c r="G439" t="s">
        <v>9482</v>
      </c>
      <c r="H439" s="89" t="s">
        <v>6045</v>
      </c>
      <c r="I439" s="89" t="s">
        <v>5979</v>
      </c>
      <c r="J439" s="89" t="s">
        <v>5894</v>
      </c>
      <c r="K439" s="475" t="s">
        <v>5813</v>
      </c>
    </row>
    <row r="440" spans="1:11" x14ac:dyDescent="0.3">
      <c r="A440" t="s">
        <v>4568</v>
      </c>
      <c r="B440" t="str">
        <f t="shared" si="10"/>
        <v>Energy [MWh] = Mass [t] * [MWh/t]</v>
      </c>
      <c r="C440" t="s">
        <v>4513</v>
      </c>
      <c r="D440" s="489" t="s">
        <v>8450</v>
      </c>
      <c r="E440" s="489" t="s">
        <v>8896</v>
      </c>
      <c r="F440" s="490" t="s">
        <v>7978</v>
      </c>
      <c r="G440" t="s">
        <v>5694</v>
      </c>
      <c r="H440" s="89" t="s">
        <v>7127</v>
      </c>
      <c r="I440" s="89" t="s">
        <v>5980</v>
      </c>
      <c r="J440" s="89" t="s">
        <v>5694</v>
      </c>
      <c r="K440" s="475" t="s">
        <v>5814</v>
      </c>
    </row>
    <row r="441" spans="1:11" ht="28.8" x14ac:dyDescent="0.3">
      <c r="A441" t="s">
        <v>4569</v>
      </c>
      <c r="B441" t="str">
        <f t="shared" si="10"/>
        <v>Energy Consumption per Hour in MWh for Gaseous Fuels:</v>
      </c>
      <c r="C441" t="s">
        <v>4514</v>
      </c>
      <c r="D441" s="489" t="s">
        <v>8451</v>
      </c>
      <c r="E441" s="489" t="s">
        <v>8897</v>
      </c>
      <c r="F441" s="490" t="s">
        <v>7979</v>
      </c>
      <c r="G441" t="s">
        <v>9483</v>
      </c>
      <c r="H441" s="89" t="s">
        <v>7128</v>
      </c>
      <c r="I441" s="89" t="s">
        <v>5981</v>
      </c>
      <c r="J441" s="89" t="s">
        <v>7468</v>
      </c>
      <c r="K441" s="475" t="s">
        <v>5815</v>
      </c>
    </row>
    <row r="442" spans="1:11" x14ac:dyDescent="0.3">
      <c r="A442" t="s">
        <v>4570</v>
      </c>
      <c r="B442" t="str">
        <f t="shared" si="10"/>
        <v>Mass [t] = Volume [m³] * Density [t/m³]</v>
      </c>
      <c r="C442" t="s">
        <v>4539</v>
      </c>
      <c r="D442" s="489" t="s">
        <v>8452</v>
      </c>
      <c r="E442" s="489" t="s">
        <v>8898</v>
      </c>
      <c r="F442" s="490" t="s">
        <v>7980</v>
      </c>
      <c r="G442" t="s">
        <v>9484</v>
      </c>
      <c r="H442" s="89" t="s">
        <v>6065</v>
      </c>
      <c r="I442" s="89" t="s">
        <v>6083</v>
      </c>
      <c r="J442" s="89" t="s">
        <v>6098</v>
      </c>
      <c r="K442" s="475" t="s">
        <v>6103</v>
      </c>
    </row>
    <row r="443" spans="1:11" s="12" customFormat="1" ht="15" thickBot="1" x14ac:dyDescent="0.35">
      <c r="A443" s="12" t="s">
        <v>4571</v>
      </c>
      <c r="B443" s="12" t="str">
        <f t="shared" si="10"/>
        <v>Energy [MWh] = Mass [t] * NCV [MWh/t]</v>
      </c>
      <c r="C443" s="12" t="s">
        <v>4511</v>
      </c>
      <c r="D443" s="497" t="s">
        <v>8447</v>
      </c>
      <c r="E443" s="497" t="s">
        <v>8899</v>
      </c>
      <c r="F443" s="491" t="s">
        <v>7975</v>
      </c>
      <c r="G443" s="12" t="s">
        <v>9480</v>
      </c>
      <c r="H443" s="443" t="s">
        <v>7125</v>
      </c>
      <c r="I443" s="443" t="s">
        <v>6422</v>
      </c>
      <c r="J443" s="443" t="s">
        <v>7466</v>
      </c>
      <c r="K443" s="495" t="s">
        <v>6750</v>
      </c>
    </row>
    <row r="444" spans="1:11" x14ac:dyDescent="0.3">
      <c r="A444" t="s">
        <v>4582</v>
      </c>
      <c r="B444" t="str">
        <f t="shared" si="10"/>
        <v>UNIT OF MEASUREMENT CONVERTER</v>
      </c>
      <c r="C444" t="s">
        <v>2928</v>
      </c>
      <c r="D444" s="489" t="s">
        <v>8453</v>
      </c>
      <c r="E444" s="489" t="s">
        <v>8900</v>
      </c>
      <c r="F444" s="490" t="s">
        <v>7981</v>
      </c>
      <c r="G444" t="s">
        <v>9485</v>
      </c>
      <c r="H444" s="89" t="s">
        <v>7129</v>
      </c>
      <c r="I444" s="89" t="s">
        <v>6424</v>
      </c>
      <c r="J444" s="89" t="s">
        <v>7469</v>
      </c>
      <c r="K444" s="475" t="s">
        <v>5816</v>
      </c>
    </row>
    <row r="445" spans="1:11" x14ac:dyDescent="0.3">
      <c r="A445" t="s">
        <v>4588</v>
      </c>
      <c r="B445" t="str">
        <f t="shared" si="10"/>
        <v xml:space="preserve">From </v>
      </c>
      <c r="C445" t="s">
        <v>4576</v>
      </c>
      <c r="D445" s="489" t="s">
        <v>8454</v>
      </c>
      <c r="E445" s="489" t="s">
        <v>5695</v>
      </c>
      <c r="F445" s="490" t="s">
        <v>7982</v>
      </c>
      <c r="G445" t="s">
        <v>9486</v>
      </c>
      <c r="H445" s="89" t="s">
        <v>7130</v>
      </c>
      <c r="I445" s="89" t="s">
        <v>5691</v>
      </c>
      <c r="J445" s="89" t="s">
        <v>5695</v>
      </c>
      <c r="K445" s="475" t="s">
        <v>6751</v>
      </c>
    </row>
    <row r="446" spans="1:11" x14ac:dyDescent="0.3">
      <c r="A446" t="s">
        <v>4583</v>
      </c>
      <c r="B446" t="str">
        <f t="shared" si="10"/>
        <v>Unit of measurement of Mass Converter</v>
      </c>
      <c r="C446" t="s">
        <v>2929</v>
      </c>
      <c r="D446" s="489" t="s">
        <v>8455</v>
      </c>
      <c r="E446" s="489" t="s">
        <v>8901</v>
      </c>
      <c r="F446" s="490" t="s">
        <v>7983</v>
      </c>
      <c r="G446" t="s">
        <v>9487</v>
      </c>
      <c r="H446" s="89" t="s">
        <v>7131</v>
      </c>
      <c r="I446" s="89" t="s">
        <v>6425</v>
      </c>
      <c r="J446" s="89" t="s">
        <v>7470</v>
      </c>
      <c r="K446" s="475" t="s">
        <v>6752</v>
      </c>
    </row>
    <row r="447" spans="1:11" x14ac:dyDescent="0.3">
      <c r="A447" t="s">
        <v>4584</v>
      </c>
      <c r="B447" t="str">
        <f t="shared" si="10"/>
        <v>Unit of measurement of Volume Converter</v>
      </c>
      <c r="C447" t="s">
        <v>2931</v>
      </c>
      <c r="D447" s="489" t="s">
        <v>8456</v>
      </c>
      <c r="E447" s="489" t="s">
        <v>8902</v>
      </c>
      <c r="F447" s="490" t="s">
        <v>7984</v>
      </c>
      <c r="G447" t="s">
        <v>9488</v>
      </c>
      <c r="H447" s="89" t="s">
        <v>7132</v>
      </c>
      <c r="I447" s="89" t="s">
        <v>6426</v>
      </c>
      <c r="J447" s="89" t="s">
        <v>7471</v>
      </c>
      <c r="K447" s="475" t="s">
        <v>6753</v>
      </c>
    </row>
    <row r="448" spans="1:11" x14ac:dyDescent="0.3">
      <c r="A448" t="s">
        <v>4585</v>
      </c>
      <c r="B448" t="str">
        <f t="shared" si="10"/>
        <v>Unit of measurement of Energy Consumption per Hour</v>
      </c>
      <c r="C448" t="s">
        <v>2932</v>
      </c>
      <c r="D448" s="489" t="s">
        <v>8457</v>
      </c>
      <c r="E448" s="489" t="s">
        <v>8903</v>
      </c>
      <c r="F448" s="490" t="s">
        <v>7985</v>
      </c>
      <c r="G448" t="s">
        <v>9489</v>
      </c>
      <c r="H448" s="89" t="s">
        <v>6046</v>
      </c>
      <c r="I448" s="89" t="s">
        <v>5982</v>
      </c>
      <c r="J448" s="89" t="s">
        <v>7472</v>
      </c>
      <c r="K448" s="475" t="s">
        <v>6754</v>
      </c>
    </row>
    <row r="449" spans="1:11" ht="28.8" x14ac:dyDescent="0.3">
      <c r="A449" t="s">
        <v>4590</v>
      </c>
      <c r="B449" t="str">
        <f t="shared" si="10"/>
        <v>Unit of measurement of NCV Converter</v>
      </c>
      <c r="C449" t="s">
        <v>2934</v>
      </c>
      <c r="D449" s="489" t="s">
        <v>8458</v>
      </c>
      <c r="E449" s="489" t="s">
        <v>8904</v>
      </c>
      <c r="F449" s="490" t="s">
        <v>7986</v>
      </c>
      <c r="G449" t="s">
        <v>9490</v>
      </c>
      <c r="H449" s="89" t="s">
        <v>7133</v>
      </c>
      <c r="I449" s="89" t="s">
        <v>6427</v>
      </c>
      <c r="J449" s="89" t="s">
        <v>5895</v>
      </c>
      <c r="K449" s="475" t="s">
        <v>5817</v>
      </c>
    </row>
    <row r="450" spans="1:11" ht="43.2" x14ac:dyDescent="0.3">
      <c r="A450" t="s">
        <v>4596</v>
      </c>
      <c r="B450" t="str">
        <f t="shared" si="10"/>
        <v>Unit of measurement of Density Converter</v>
      </c>
      <c r="C450" t="s">
        <v>2933</v>
      </c>
      <c r="D450" s="489" t="s">
        <v>8459</v>
      </c>
      <c r="E450" s="489" t="s">
        <v>8905</v>
      </c>
      <c r="F450" s="490" t="s">
        <v>7987</v>
      </c>
      <c r="G450" t="s">
        <v>9491</v>
      </c>
      <c r="H450" s="89" t="s">
        <v>7134</v>
      </c>
      <c r="I450" s="89" t="s">
        <v>6428</v>
      </c>
      <c r="J450" s="89" t="s">
        <v>7473</v>
      </c>
      <c r="K450" s="475" t="s">
        <v>6755</v>
      </c>
    </row>
    <row r="451" spans="1:11" x14ac:dyDescent="0.3">
      <c r="A451" t="s">
        <v>4586</v>
      </c>
      <c r="B451" t="str">
        <f t="shared" si="10"/>
        <v>Usage of Unit of Measurement Converter</v>
      </c>
      <c r="C451" t="s">
        <v>4515</v>
      </c>
      <c r="D451" s="489" t="s">
        <v>8460</v>
      </c>
      <c r="E451" s="489" t="s">
        <v>8906</v>
      </c>
      <c r="F451" s="490" t="s">
        <v>7988</v>
      </c>
      <c r="G451" t="s">
        <v>9492</v>
      </c>
      <c r="H451" s="89" t="s">
        <v>7135</v>
      </c>
      <c r="I451" s="89" t="s">
        <v>6429</v>
      </c>
      <c r="J451" s="89" t="s">
        <v>7474</v>
      </c>
      <c r="K451" s="475" t="s">
        <v>6756</v>
      </c>
    </row>
    <row r="452" spans="1:11" x14ac:dyDescent="0.3">
      <c r="A452" t="s">
        <v>4587</v>
      </c>
      <c r="B452" t="str">
        <f t="shared" ref="B452:B490" si="11">INDEX(C452:K452,MATCH(template_selected_display_language,$C$3:$K$3,0))</f>
        <v>Steps to follow for the Mass table:</v>
      </c>
      <c r="C452" t="s">
        <v>4516</v>
      </c>
      <c r="D452" s="489" t="s">
        <v>8461</v>
      </c>
      <c r="E452" s="489" t="s">
        <v>8907</v>
      </c>
      <c r="F452" s="490" t="s">
        <v>7989</v>
      </c>
      <c r="G452" t="s">
        <v>9493</v>
      </c>
      <c r="H452" s="89" t="s">
        <v>7136</v>
      </c>
      <c r="I452" s="89" t="s">
        <v>6430</v>
      </c>
      <c r="J452" s="89" t="s">
        <v>7475</v>
      </c>
      <c r="K452" s="475" t="s">
        <v>6757</v>
      </c>
    </row>
    <row r="453" spans="1:11" ht="57.6" x14ac:dyDescent="0.3">
      <c r="A453" t="s">
        <v>4595</v>
      </c>
      <c r="B453" t="str">
        <f t="shared" si="11"/>
        <v>1. In the cell B5 of the table related to the Unit of measurement of Mass Converter should be inserted the Unit of measurement to convert.</v>
      </c>
      <c r="C453" t="s">
        <v>4530</v>
      </c>
      <c r="D453" s="489" t="s">
        <v>8462</v>
      </c>
      <c r="E453" s="489" t="s">
        <v>8908</v>
      </c>
      <c r="F453" s="490" t="s">
        <v>7990</v>
      </c>
      <c r="G453" t="s">
        <v>9494</v>
      </c>
      <c r="H453" s="89" t="s">
        <v>7137</v>
      </c>
      <c r="I453" s="89" t="s">
        <v>6431</v>
      </c>
      <c r="J453" s="89" t="s">
        <v>7503</v>
      </c>
      <c r="K453" s="475" t="s">
        <v>6758</v>
      </c>
    </row>
    <row r="454" spans="1:11" ht="28.8" x14ac:dyDescent="0.3">
      <c r="A454" t="s">
        <v>4591</v>
      </c>
      <c r="B454" t="str">
        <f t="shared" si="11"/>
        <v>2. Then in the cell B6 the amount of mass can be inserted.</v>
      </c>
      <c r="C454" t="s">
        <v>4528</v>
      </c>
      <c r="D454" s="489" t="s">
        <v>8463</v>
      </c>
      <c r="E454" s="489" t="s">
        <v>8909</v>
      </c>
      <c r="F454" s="490" t="s">
        <v>7991</v>
      </c>
      <c r="G454" t="s">
        <v>9495</v>
      </c>
      <c r="H454" s="89" t="s">
        <v>7138</v>
      </c>
      <c r="I454" s="89" t="s">
        <v>5983</v>
      </c>
      <c r="J454" s="89" t="s">
        <v>7502</v>
      </c>
      <c r="K454" s="475" t="s">
        <v>6759</v>
      </c>
    </row>
    <row r="455" spans="1:11" ht="28.8" x14ac:dyDescent="0.3">
      <c r="A455" t="s">
        <v>4592</v>
      </c>
      <c r="B455" t="str">
        <f t="shared" si="11"/>
        <v>3. Finally in the cell D5 there should be the unit of measurement of interest.</v>
      </c>
      <c r="C455" t="s">
        <v>4529</v>
      </c>
      <c r="D455" s="489" t="s">
        <v>8464</v>
      </c>
      <c r="E455" s="489" t="s">
        <v>8910</v>
      </c>
      <c r="F455" s="490" t="s">
        <v>7992</v>
      </c>
      <c r="G455" t="s">
        <v>9496</v>
      </c>
      <c r="H455" s="89" t="s">
        <v>7139</v>
      </c>
      <c r="I455" s="89" t="s">
        <v>6432</v>
      </c>
      <c r="J455" s="89" t="s">
        <v>7501</v>
      </c>
      <c r="K455" s="475" t="s">
        <v>6760</v>
      </c>
    </row>
    <row r="456" spans="1:11" x14ac:dyDescent="0.3">
      <c r="A456" t="s">
        <v>4593</v>
      </c>
      <c r="B456" t="str">
        <f t="shared" si="11"/>
        <v>4. The outcome of the conversion will be displayed in the cell D6.</v>
      </c>
      <c r="C456" t="s">
        <v>4527</v>
      </c>
      <c r="D456" s="489" t="s">
        <v>8465</v>
      </c>
      <c r="E456" s="489" t="s">
        <v>8911</v>
      </c>
      <c r="F456" s="490" t="s">
        <v>7993</v>
      </c>
      <c r="G456" t="s">
        <v>9497</v>
      </c>
      <c r="H456" s="89" t="s">
        <v>7140</v>
      </c>
      <c r="I456" s="89" t="s">
        <v>5984</v>
      </c>
      <c r="J456" s="89" t="s">
        <v>5896</v>
      </c>
      <c r="K456" s="475" t="s">
        <v>6761</v>
      </c>
    </row>
    <row r="457" spans="1:11" ht="43.2" x14ac:dyDescent="0.3">
      <c r="A457" t="s">
        <v>4594</v>
      </c>
      <c r="B457" t="str">
        <f t="shared" si="11"/>
        <v>The steps to follow for the other tables (Volume, Energy Consumption, Density and NCV) are the same of the Mass table.</v>
      </c>
      <c r="C457" t="s">
        <v>4517</v>
      </c>
      <c r="D457" s="489" t="s">
        <v>8466</v>
      </c>
      <c r="E457" s="489" t="s">
        <v>8912</v>
      </c>
      <c r="F457" s="490" t="s">
        <v>7994</v>
      </c>
      <c r="G457" t="s">
        <v>9498</v>
      </c>
      <c r="H457" s="89" t="s">
        <v>7141</v>
      </c>
      <c r="I457" s="89" t="s">
        <v>6433</v>
      </c>
      <c r="J457" s="89" t="s">
        <v>7476</v>
      </c>
      <c r="K457" s="475" t="s">
        <v>6762</v>
      </c>
    </row>
    <row r="458" spans="1:11" ht="28.8" x14ac:dyDescent="0.3">
      <c r="A458" t="s">
        <v>4589</v>
      </c>
      <c r="B458" t="str">
        <f t="shared" si="11"/>
        <v>Below are specified all the Units of measurement conversions of each table.</v>
      </c>
      <c r="C458" t="s">
        <v>4518</v>
      </c>
      <c r="D458" s="489" t="s">
        <v>8467</v>
      </c>
      <c r="E458" s="489" t="s">
        <v>8913</v>
      </c>
      <c r="F458" s="490" t="s">
        <v>7995</v>
      </c>
      <c r="G458" t="s">
        <v>9499</v>
      </c>
      <c r="H458" s="89" t="s">
        <v>7142</v>
      </c>
      <c r="I458" s="89" t="s">
        <v>6434</v>
      </c>
      <c r="J458" s="89" t="s">
        <v>7477</v>
      </c>
      <c r="K458" s="475" t="s">
        <v>5818</v>
      </c>
    </row>
    <row r="459" spans="1:11" x14ac:dyDescent="0.3">
      <c r="A459" t="s">
        <v>4601</v>
      </c>
      <c r="B459" t="str">
        <f t="shared" si="11"/>
        <v>▪ Unit of measurement of Mass Converter:</v>
      </c>
      <c r="C459" t="s">
        <v>4577</v>
      </c>
      <c r="D459" s="489" t="s">
        <v>8468</v>
      </c>
      <c r="E459" s="489" t="s">
        <v>8914</v>
      </c>
      <c r="F459" s="490" t="s">
        <v>8975</v>
      </c>
      <c r="G459" t="s">
        <v>9500</v>
      </c>
      <c r="H459" s="89" t="s">
        <v>8998</v>
      </c>
      <c r="I459" s="89" t="s">
        <v>6435</v>
      </c>
      <c r="J459" s="89" t="s">
        <v>5897</v>
      </c>
      <c r="K459" s="475" t="s">
        <v>6763</v>
      </c>
    </row>
    <row r="460" spans="1:11" x14ac:dyDescent="0.3">
      <c r="A460" t="s">
        <v>4600</v>
      </c>
      <c r="B460" t="str">
        <f t="shared" si="11"/>
        <v>▪ Unit of measurement of Volume Converter:</v>
      </c>
      <c r="C460" t="s">
        <v>4578</v>
      </c>
      <c r="D460" s="489" t="s">
        <v>8469</v>
      </c>
      <c r="E460" s="489" t="s">
        <v>8915</v>
      </c>
      <c r="F460" s="490" t="s">
        <v>8976</v>
      </c>
      <c r="G460" t="s">
        <v>9501</v>
      </c>
      <c r="H460" s="89" t="s">
        <v>8999</v>
      </c>
      <c r="I460" s="89" t="s">
        <v>6436</v>
      </c>
      <c r="J460" s="89" t="s">
        <v>7500</v>
      </c>
      <c r="K460" s="475" t="s">
        <v>6764</v>
      </c>
    </row>
    <row r="461" spans="1:11" x14ac:dyDescent="0.3">
      <c r="A461" t="s">
        <v>4599</v>
      </c>
      <c r="B461" t="str">
        <f t="shared" si="11"/>
        <v>▪ Unit of measurement of Energy Converter:</v>
      </c>
      <c r="C461" t="s">
        <v>4579</v>
      </c>
      <c r="D461" s="489" t="s">
        <v>8470</v>
      </c>
      <c r="E461" s="489" t="s">
        <v>8916</v>
      </c>
      <c r="F461" s="490" t="s">
        <v>8977</v>
      </c>
      <c r="G461" t="s">
        <v>9502</v>
      </c>
      <c r="H461" s="89" t="s">
        <v>9000</v>
      </c>
      <c r="I461" s="89" t="s">
        <v>6437</v>
      </c>
      <c r="J461" s="89" t="s">
        <v>7499</v>
      </c>
      <c r="K461" s="475" t="s">
        <v>6765</v>
      </c>
    </row>
    <row r="462" spans="1:11" x14ac:dyDescent="0.3">
      <c r="A462" t="s">
        <v>4598</v>
      </c>
      <c r="B462" t="str">
        <f t="shared" si="11"/>
        <v>▪ Unit of measurement of Density Converter:</v>
      </c>
      <c r="C462" t="s">
        <v>4580</v>
      </c>
      <c r="D462" s="489" t="s">
        <v>8471</v>
      </c>
      <c r="E462" s="489" t="s">
        <v>8917</v>
      </c>
      <c r="F462" s="490" t="s">
        <v>8978</v>
      </c>
      <c r="G462" t="s">
        <v>9503</v>
      </c>
      <c r="H462" s="89" t="s">
        <v>9001</v>
      </c>
      <c r="I462" s="89" t="s">
        <v>6438</v>
      </c>
      <c r="J462" s="89" t="s">
        <v>7478</v>
      </c>
      <c r="K462" s="475" t="s">
        <v>6766</v>
      </c>
    </row>
    <row r="463" spans="1:11" s="12" customFormat="1" ht="15" thickBot="1" x14ac:dyDescent="0.35">
      <c r="A463" s="12" t="s">
        <v>4597</v>
      </c>
      <c r="B463" s="12" t="str">
        <f t="shared" si="11"/>
        <v>▪ Unit of measurement of NCV Converter:</v>
      </c>
      <c r="C463" s="12" t="s">
        <v>4581</v>
      </c>
      <c r="D463" s="497" t="s">
        <v>8472</v>
      </c>
      <c r="E463" s="497" t="s">
        <v>8918</v>
      </c>
      <c r="F463" s="491" t="s">
        <v>8979</v>
      </c>
      <c r="G463" s="12" t="s">
        <v>9504</v>
      </c>
      <c r="H463" s="443" t="s">
        <v>9002</v>
      </c>
      <c r="I463" s="443" t="s">
        <v>6439</v>
      </c>
      <c r="J463" s="443" t="s">
        <v>7479</v>
      </c>
      <c r="K463" s="495" t="s">
        <v>6767</v>
      </c>
    </row>
    <row r="464" spans="1:11" x14ac:dyDescent="0.3">
      <c r="A464" t="s">
        <v>4604</v>
      </c>
      <c r="B464" t="str">
        <f t="shared" si="11"/>
        <v>INCOMPLETE</v>
      </c>
      <c r="C464" t="s">
        <v>4602</v>
      </c>
      <c r="D464" s="489" t="s">
        <v>8473</v>
      </c>
      <c r="E464" s="489" t="s">
        <v>8919</v>
      </c>
      <c r="F464" s="490" t="s">
        <v>7996</v>
      </c>
      <c r="G464" t="s">
        <v>5698</v>
      </c>
      <c r="H464" s="89" t="s">
        <v>7143</v>
      </c>
      <c r="I464" s="89" t="s">
        <v>6440</v>
      </c>
      <c r="J464" s="89" t="s">
        <v>5698</v>
      </c>
      <c r="K464" s="475" t="s">
        <v>5698</v>
      </c>
    </row>
    <row r="465" spans="1:11" ht="28.8" x14ac:dyDescent="0.3">
      <c r="A465" t="s">
        <v>4605</v>
      </c>
      <c r="B465" t="str">
        <f t="shared" si="11"/>
        <v>COMPLETE</v>
      </c>
      <c r="C465" t="s">
        <v>4603</v>
      </c>
      <c r="D465" s="489" t="s">
        <v>8474</v>
      </c>
      <c r="E465" s="489" t="s">
        <v>8920</v>
      </c>
      <c r="F465" s="490" t="s">
        <v>7997</v>
      </c>
      <c r="G465" t="s">
        <v>5699</v>
      </c>
      <c r="H465" s="89" t="s">
        <v>7144</v>
      </c>
      <c r="I465" s="89" t="s">
        <v>6441</v>
      </c>
      <c r="J465" s="89" t="s">
        <v>5699</v>
      </c>
      <c r="K465" s="475" t="s">
        <v>5699</v>
      </c>
    </row>
    <row r="466" spans="1:11" x14ac:dyDescent="0.3">
      <c r="A466" t="s">
        <v>4617</v>
      </c>
      <c r="B466" t="str">
        <f t="shared" si="11"/>
        <v>MISSING VALUE</v>
      </c>
      <c r="C466" t="s">
        <v>4606</v>
      </c>
      <c r="D466" s="489" t="s">
        <v>8475</v>
      </c>
      <c r="E466" s="489" t="s">
        <v>8921</v>
      </c>
      <c r="F466" s="490" t="s">
        <v>7998</v>
      </c>
      <c r="G466" t="s">
        <v>9505</v>
      </c>
      <c r="H466" s="89" t="s">
        <v>7145</v>
      </c>
      <c r="I466" s="89" t="s">
        <v>6442</v>
      </c>
      <c r="J466" s="89" t="s">
        <v>7480</v>
      </c>
      <c r="K466" s="475" t="s">
        <v>6495</v>
      </c>
    </row>
    <row r="467" spans="1:11" x14ac:dyDescent="0.3">
      <c r="A467" t="s">
        <v>4618</v>
      </c>
      <c r="B467" t="str">
        <f t="shared" si="11"/>
        <v>ERROR</v>
      </c>
      <c r="C467" t="s">
        <v>4607</v>
      </c>
      <c r="D467" s="489" t="s">
        <v>8476</v>
      </c>
      <c r="E467" s="489" t="s">
        <v>8922</v>
      </c>
      <c r="F467" s="490" t="s">
        <v>7999</v>
      </c>
      <c r="G467" t="s">
        <v>9506</v>
      </c>
      <c r="H467" s="89" t="s">
        <v>6047</v>
      </c>
      <c r="I467" s="89" t="s">
        <v>5985</v>
      </c>
      <c r="J467" s="89" t="s">
        <v>5898</v>
      </c>
      <c r="K467" s="475" t="s">
        <v>4607</v>
      </c>
    </row>
    <row r="468" spans="1:11" x14ac:dyDescent="0.3">
      <c r="A468" t="s">
        <v>4619</v>
      </c>
      <c r="B468" t="str">
        <f t="shared" si="11"/>
        <v>VALUE INCONSISTENCY</v>
      </c>
      <c r="C468" t="s">
        <v>4608</v>
      </c>
      <c r="D468" s="489" t="s">
        <v>8477</v>
      </c>
      <c r="E468" s="489" t="s">
        <v>8923</v>
      </c>
      <c r="F468" s="490" t="s">
        <v>8000</v>
      </c>
      <c r="G468" t="s">
        <v>9507</v>
      </c>
      <c r="H468" s="89" t="s">
        <v>7146</v>
      </c>
      <c r="I468" s="89" t="s">
        <v>5986</v>
      </c>
      <c r="J468" s="89" t="s">
        <v>7481</v>
      </c>
      <c r="K468" s="475" t="s">
        <v>5819</v>
      </c>
    </row>
    <row r="469" spans="1:11" x14ac:dyDescent="0.3">
      <c r="A469" t="s">
        <v>4621</v>
      </c>
      <c r="B469" t="str">
        <f t="shared" si="11"/>
        <v>ERROR + VALUE INCONSISTENCY</v>
      </c>
      <c r="C469" t="s">
        <v>4609</v>
      </c>
      <c r="D469" s="489" t="s">
        <v>8478</v>
      </c>
      <c r="E469" s="489" t="s">
        <v>8924</v>
      </c>
      <c r="F469" s="490" t="s">
        <v>8001</v>
      </c>
      <c r="G469" t="s">
        <v>9508</v>
      </c>
      <c r="H469" s="89" t="s">
        <v>7147</v>
      </c>
      <c r="I469" s="89" t="s">
        <v>5987</v>
      </c>
      <c r="J469" s="89" t="s">
        <v>5899</v>
      </c>
      <c r="K469" s="475" t="s">
        <v>6496</v>
      </c>
    </row>
    <row r="470" spans="1:11" ht="28.8" x14ac:dyDescent="0.3">
      <c r="A470" t="s">
        <v>4622</v>
      </c>
      <c r="B470" t="str">
        <f t="shared" si="11"/>
        <v>ERROR + MISSING VALUE + VALUE INCONSISTENCY</v>
      </c>
      <c r="C470" t="s">
        <v>4610</v>
      </c>
      <c r="D470" s="489" t="s">
        <v>8479</v>
      </c>
      <c r="E470" s="489" t="s">
        <v>8925</v>
      </c>
      <c r="F470" s="490" t="s">
        <v>8002</v>
      </c>
      <c r="G470" t="s">
        <v>9509</v>
      </c>
      <c r="H470" s="89" t="s">
        <v>7148</v>
      </c>
      <c r="I470" s="89" t="s">
        <v>6443</v>
      </c>
      <c r="J470" s="89" t="s">
        <v>7482</v>
      </c>
      <c r="K470" s="475" t="s">
        <v>6497</v>
      </c>
    </row>
    <row r="471" spans="1:11" x14ac:dyDescent="0.3">
      <c r="A471" t="s">
        <v>4623</v>
      </c>
      <c r="B471" t="str">
        <f t="shared" si="11"/>
        <v>ERROR + MISSING VALUE</v>
      </c>
      <c r="C471" t="s">
        <v>4611</v>
      </c>
      <c r="D471" s="489" t="s">
        <v>8480</v>
      </c>
      <c r="E471" s="489" t="s">
        <v>8926</v>
      </c>
      <c r="F471" s="490" t="s">
        <v>8003</v>
      </c>
      <c r="G471" t="s">
        <v>9510</v>
      </c>
      <c r="H471" s="89" t="s">
        <v>7149</v>
      </c>
      <c r="I471" s="89" t="s">
        <v>6444</v>
      </c>
      <c r="J471" s="89" t="s">
        <v>7483</v>
      </c>
      <c r="K471" s="475" t="s">
        <v>6498</v>
      </c>
    </row>
    <row r="472" spans="1:11" x14ac:dyDescent="0.3">
      <c r="A472" t="s">
        <v>4624</v>
      </c>
      <c r="B472" t="str">
        <f t="shared" si="11"/>
        <v>MISSING VALUE + VALUE INCONSISTENCY</v>
      </c>
      <c r="C472" t="s">
        <v>4612</v>
      </c>
      <c r="D472" s="489" t="s">
        <v>8481</v>
      </c>
      <c r="E472" s="489" t="s">
        <v>8927</v>
      </c>
      <c r="F472" s="490" t="s">
        <v>8004</v>
      </c>
      <c r="G472" t="s">
        <v>9511</v>
      </c>
      <c r="H472" s="89" t="s">
        <v>7150</v>
      </c>
      <c r="I472" s="89" t="s">
        <v>6445</v>
      </c>
      <c r="J472" s="89" t="s">
        <v>7484</v>
      </c>
      <c r="K472" s="475" t="s">
        <v>6499</v>
      </c>
    </row>
    <row r="473" spans="1:11" x14ac:dyDescent="0.3">
      <c r="A473" t="s">
        <v>4620</v>
      </c>
      <c r="B473" t="str">
        <f t="shared" si="11"/>
        <v>INVALID URL</v>
      </c>
      <c r="C473" t="s">
        <v>4613</v>
      </c>
      <c r="D473" s="489" t="s">
        <v>8482</v>
      </c>
      <c r="E473" s="489" t="s">
        <v>8928</v>
      </c>
      <c r="F473" s="490" t="s">
        <v>8005</v>
      </c>
      <c r="G473" t="s">
        <v>9512</v>
      </c>
      <c r="H473" s="89" t="s">
        <v>7151</v>
      </c>
      <c r="I473" s="89" t="s">
        <v>6446</v>
      </c>
      <c r="J473" s="89" t="s">
        <v>5900</v>
      </c>
      <c r="K473" s="475" t="s">
        <v>6768</v>
      </c>
    </row>
    <row r="474" spans="1:11" x14ac:dyDescent="0.3">
      <c r="A474" t="s">
        <v>5633</v>
      </c>
      <c r="B474" t="str">
        <f t="shared" si="11"/>
        <v>OK</v>
      </c>
      <c r="C474" t="s">
        <v>5632</v>
      </c>
      <c r="D474" s="489" t="s">
        <v>5632</v>
      </c>
      <c r="E474" s="489" t="s">
        <v>5632</v>
      </c>
      <c r="F474" s="490" t="s">
        <v>5632</v>
      </c>
      <c r="G474" t="s">
        <v>5632</v>
      </c>
      <c r="H474" s="89" t="s">
        <v>7152</v>
      </c>
      <c r="I474" s="89" t="s">
        <v>5632</v>
      </c>
      <c r="J474" s="89" t="s">
        <v>5632</v>
      </c>
      <c r="K474" s="475" t="s">
        <v>6787</v>
      </c>
    </row>
    <row r="475" spans="1:11" ht="28.8" x14ac:dyDescent="0.3">
      <c r="A475" t="s">
        <v>5636</v>
      </c>
      <c r="B475" t="str">
        <f t="shared" si="11"/>
        <v>ℹ️ Liquid fuel: please select one unit of measurement among m³ and L</v>
      </c>
      <c r="C475" t="s">
        <v>6112</v>
      </c>
      <c r="D475" s="489" t="s">
        <v>8483</v>
      </c>
      <c r="E475" s="489" t="s">
        <v>8929</v>
      </c>
      <c r="F475" s="490" t="s">
        <v>8006</v>
      </c>
      <c r="G475" t="s">
        <v>9513</v>
      </c>
      <c r="H475" s="89" t="s">
        <v>7153</v>
      </c>
      <c r="I475" s="89" t="s">
        <v>6447</v>
      </c>
      <c r="J475" s="89" t="s">
        <v>6129</v>
      </c>
      <c r="K475" s="475" t="s">
        <v>6769</v>
      </c>
    </row>
    <row r="476" spans="1:11" ht="28.8" x14ac:dyDescent="0.3">
      <c r="A476" t="s">
        <v>5634</v>
      </c>
      <c r="B476" t="str">
        <f t="shared" si="11"/>
        <v>ℹ️ Solid fuel: please select one unit of measurement among Gg, t, Kg and g</v>
      </c>
      <c r="C476" t="s">
        <v>6113</v>
      </c>
      <c r="D476" s="489" t="s">
        <v>8484</v>
      </c>
      <c r="E476" s="489" t="s">
        <v>8930</v>
      </c>
      <c r="F476" s="490" t="s">
        <v>8007</v>
      </c>
      <c r="G476" t="s">
        <v>9514</v>
      </c>
      <c r="H476" s="89" t="s">
        <v>7154</v>
      </c>
      <c r="I476" s="89" t="s">
        <v>6127</v>
      </c>
      <c r="J476" s="89" t="s">
        <v>7498</v>
      </c>
      <c r="K476" s="475" t="s">
        <v>6130</v>
      </c>
    </row>
    <row r="477" spans="1:11" ht="28.8" x14ac:dyDescent="0.3">
      <c r="A477" t="s">
        <v>5635</v>
      </c>
      <c r="B477" t="str">
        <f t="shared" si="11"/>
        <v>ℹ️ Gaseous fuel: please select one unit of measurement among m³ and L</v>
      </c>
      <c r="C477" t="s">
        <v>6114</v>
      </c>
      <c r="D477" s="489" t="s">
        <v>8485</v>
      </c>
      <c r="E477" s="489" t="s">
        <v>8931</v>
      </c>
      <c r="F477" s="490" t="s">
        <v>8008</v>
      </c>
      <c r="G477" t="s">
        <v>9515</v>
      </c>
      <c r="H477" s="89" t="s">
        <v>7155</v>
      </c>
      <c r="I477" s="89" t="s">
        <v>6128</v>
      </c>
      <c r="J477" s="89" t="s">
        <v>7485</v>
      </c>
      <c r="K477" s="475" t="s">
        <v>6131</v>
      </c>
    </row>
    <row r="478" spans="1:11" ht="100.8" x14ac:dyDescent="0.3">
      <c r="A478" t="s">
        <v>5671</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t="s">
        <v>6115</v>
      </c>
      <c r="D478" s="489" t="s">
        <v>8486</v>
      </c>
      <c r="E478" s="489" t="s">
        <v>8932</v>
      </c>
      <c r="F478" s="490" t="s">
        <v>8009</v>
      </c>
      <c r="G478" t="s">
        <v>9516</v>
      </c>
      <c r="H478" s="89" t="s">
        <v>7156</v>
      </c>
      <c r="I478" s="89" t="s">
        <v>6448</v>
      </c>
      <c r="J478" s="89" t="s">
        <v>7486</v>
      </c>
      <c r="K478" s="475" t="s">
        <v>6770</v>
      </c>
    </row>
    <row r="479" spans="1:11" ht="72" x14ac:dyDescent="0.3">
      <c r="A479" t="s">
        <v>5672</v>
      </c>
      <c r="B479" t="str">
        <f t="shared" si="11"/>
        <v>ℹ️ If VALUE INCONSISTENCY message appears on the right, please ensure that the reporting period end date is greater than the reporting period start date.</v>
      </c>
      <c r="C479" t="s">
        <v>6116</v>
      </c>
      <c r="D479" s="489" t="s">
        <v>8487</v>
      </c>
      <c r="E479" s="489" t="s">
        <v>8933</v>
      </c>
      <c r="F479" s="490" t="s">
        <v>8010</v>
      </c>
      <c r="G479" t="s">
        <v>9517</v>
      </c>
      <c r="H479" s="89" t="s">
        <v>7157</v>
      </c>
      <c r="I479" s="89" t="s">
        <v>6449</v>
      </c>
      <c r="J479" s="89" t="s">
        <v>7487</v>
      </c>
      <c r="K479" s="475" t="s">
        <v>6771</v>
      </c>
    </row>
    <row r="480" spans="1:11" ht="72" x14ac:dyDescent="0.3">
      <c r="A480" t="s">
        <v>5673</v>
      </c>
      <c r="B480" t="str">
        <f t="shared" si="11"/>
        <v>ℹ️  Lists can be expanded using the little [+] button on the left.  If the number of rows is not sufficient, those can be added by right clicking the second row and selecting "Insert row".</v>
      </c>
      <c r="C480" t="s">
        <v>6117</v>
      </c>
      <c r="D480" s="489" t="s">
        <v>8488</v>
      </c>
      <c r="E480" s="489" t="s">
        <v>8934</v>
      </c>
      <c r="F480" s="490" t="s">
        <v>8011</v>
      </c>
      <c r="G480" t="s">
        <v>9518</v>
      </c>
      <c r="H480" s="89" t="s">
        <v>7158</v>
      </c>
      <c r="I480" s="89" t="s">
        <v>6450</v>
      </c>
      <c r="J480" s="89" t="s">
        <v>7488</v>
      </c>
      <c r="K480" s="475" t="s">
        <v>6772</v>
      </c>
    </row>
    <row r="481" spans="1:11" ht="28.8" x14ac:dyDescent="0.3">
      <c r="A481" t="s">
        <v>5674</v>
      </c>
      <c r="B481" t="str">
        <f t="shared" si="11"/>
        <v>ℹ️ When "other" is chosen as undertaking legal form please fill the row below</v>
      </c>
      <c r="C481" t="s">
        <v>6118</v>
      </c>
      <c r="D481" s="489" t="s">
        <v>8489</v>
      </c>
      <c r="E481" s="489" t="s">
        <v>8935</v>
      </c>
      <c r="F481" s="490" t="s">
        <v>8012</v>
      </c>
      <c r="G481" t="s">
        <v>9519</v>
      </c>
      <c r="H481" s="89" t="s">
        <v>7159</v>
      </c>
      <c r="I481" s="89" t="s">
        <v>6451</v>
      </c>
      <c r="J481" s="89" t="s">
        <v>7489</v>
      </c>
      <c r="K481" s="475" t="s">
        <v>6773</v>
      </c>
    </row>
    <row r="482" spans="1:11" ht="57.6" x14ac:dyDescent="0.3">
      <c r="A482" t="s">
        <v>5675</v>
      </c>
      <c r="B482" t="str">
        <f t="shared" si="11"/>
        <v>ℹ️  Please select a NACE code rather than a category else an ERROR message will appear.</v>
      </c>
      <c r="C482" t="s">
        <v>6119</v>
      </c>
      <c r="D482" s="489" t="s">
        <v>8490</v>
      </c>
      <c r="E482" s="489" t="s">
        <v>8936</v>
      </c>
      <c r="F482" s="490" t="s">
        <v>8013</v>
      </c>
      <c r="G482" t="s">
        <v>9520</v>
      </c>
      <c r="H482" s="89" t="s">
        <v>7160</v>
      </c>
      <c r="I482" s="89" t="s">
        <v>6452</v>
      </c>
      <c r="J482" s="89" t="s">
        <v>7490</v>
      </c>
      <c r="K482" s="475" t="s">
        <v>6785</v>
      </c>
    </row>
    <row r="483" spans="1:11" ht="43.2" x14ac:dyDescent="0.3">
      <c r="A483" t="s">
        <v>5676</v>
      </c>
      <c r="B483" t="str">
        <f t="shared" si="11"/>
        <v>ℹ️  Please be careful to separate each street number and house number using the slash symbol "/" and not the comma ","</v>
      </c>
      <c r="C483" t="s">
        <v>6120</v>
      </c>
      <c r="D483" s="489" t="s">
        <v>8491</v>
      </c>
      <c r="E483" s="489" t="s">
        <v>8937</v>
      </c>
      <c r="F483" s="490" t="s">
        <v>8014</v>
      </c>
      <c r="G483" t="s">
        <v>9521</v>
      </c>
      <c r="H483" s="89" t="s">
        <v>7161</v>
      </c>
      <c r="I483" s="89" t="s">
        <v>6453</v>
      </c>
      <c r="J483" s="89" t="s">
        <v>7491</v>
      </c>
      <c r="K483" s="475" t="s">
        <v>6774</v>
      </c>
    </row>
    <row r="484" spans="1:11" ht="43.2" x14ac:dyDescent="0.3">
      <c r="A484" t="s">
        <v>5677</v>
      </c>
      <c r="B484" t="str">
        <f t="shared" si="11"/>
        <v xml:space="preserve">ℹ️  Please note that the formula present in this cell may be overwritten in case the undertaking wants to directly provide the value. </v>
      </c>
      <c r="C484" t="s">
        <v>6121</v>
      </c>
      <c r="D484" s="489" t="s">
        <v>8492</v>
      </c>
      <c r="E484" s="489" t="s">
        <v>8938</v>
      </c>
      <c r="F484" s="490" t="s">
        <v>8015</v>
      </c>
      <c r="G484" t="s">
        <v>9522</v>
      </c>
      <c r="H484" s="89" t="s">
        <v>7162</v>
      </c>
      <c r="I484" s="89" t="s">
        <v>6454</v>
      </c>
      <c r="J484" s="89" t="s">
        <v>7492</v>
      </c>
      <c r="K484" s="475" t="s">
        <v>6775</v>
      </c>
    </row>
    <row r="485" spans="1:11" ht="100.8" x14ac:dyDescent="0.3">
      <c r="A485" t="s">
        <v>5678</v>
      </c>
      <c r="B485" t="str">
        <f t="shared" si="11"/>
        <v>ℹ️  Scope 3 categories according to the GHG protocol might help to calculate the total Scope 3 GHG emissions. In case the undertaking wants to, it can directly provide the Total Scope 3 GHG emissions in the respective cell.</v>
      </c>
      <c r="C485" t="s">
        <v>6122</v>
      </c>
      <c r="D485" s="489" t="s">
        <v>8493</v>
      </c>
      <c r="E485" s="489" t="s">
        <v>8939</v>
      </c>
      <c r="F485" s="490" t="s">
        <v>8016</v>
      </c>
      <c r="G485" t="s">
        <v>9523</v>
      </c>
      <c r="H485" s="89" t="s">
        <v>7163</v>
      </c>
      <c r="I485" s="89" t="s">
        <v>6455</v>
      </c>
      <c r="J485" s="89" t="s">
        <v>7493</v>
      </c>
      <c r="K485" s="475" t="s">
        <v>6776</v>
      </c>
    </row>
    <row r="486" spans="1:11" ht="57.6" x14ac:dyDescent="0.3">
      <c r="A486" t="s">
        <v>5679</v>
      </c>
      <c r="B486" t="str">
        <f t="shared" si="11"/>
        <v>ℹ️  If a validation related to value inconsistency is displayed, please select a site ID that is different from one of those previously selected.</v>
      </c>
      <c r="C486" t="s">
        <v>6123</v>
      </c>
      <c r="D486" s="489" t="s">
        <v>8494</v>
      </c>
      <c r="E486" s="489" t="s">
        <v>8940</v>
      </c>
      <c r="F486" s="490" t="s">
        <v>8017</v>
      </c>
      <c r="G486" t="s">
        <v>9524</v>
      </c>
      <c r="H486" s="89" t="s">
        <v>7164</v>
      </c>
      <c r="I486" s="89" t="s">
        <v>6456</v>
      </c>
      <c r="J486" s="89" t="s">
        <v>7494</v>
      </c>
      <c r="K486" s="475" t="s">
        <v>6777</v>
      </c>
    </row>
    <row r="487" spans="1:11" ht="57.6" x14ac:dyDescent="0.3">
      <c r="A487" t="s">
        <v>5680</v>
      </c>
      <c r="B487" t="str">
        <f t="shared" si="11"/>
        <v>ℹ️  Please select a Type of waste (Hazardous or Non-Hazardous) rather than a category else an ERROR message will appear.</v>
      </c>
      <c r="C487" t="s">
        <v>6124</v>
      </c>
      <c r="D487" s="489" t="s">
        <v>8495</v>
      </c>
      <c r="E487" s="489" t="s">
        <v>8941</v>
      </c>
      <c r="F487" s="490" t="s">
        <v>8018</v>
      </c>
      <c r="G487" t="s">
        <v>9525</v>
      </c>
      <c r="H487" s="89" t="s">
        <v>7165</v>
      </c>
      <c r="I487" s="89" t="s">
        <v>6457</v>
      </c>
      <c r="J487" s="89" t="s">
        <v>7495</v>
      </c>
      <c r="K487" s="475" t="s">
        <v>6786</v>
      </c>
    </row>
    <row r="488" spans="1:11" ht="72" x14ac:dyDescent="0.3">
      <c r="A488" t="s">
        <v>5681</v>
      </c>
      <c r="B488" t="str">
        <f t="shared" si="11"/>
        <v xml:space="preserve">ℹ️  Please make sure that the total number of employees is the same as the one provided in the "General Information" sheet cell E55
</v>
      </c>
      <c r="C488" t="s">
        <v>6125</v>
      </c>
      <c r="D488" s="489" t="s">
        <v>8496</v>
      </c>
      <c r="E488" s="489" t="s">
        <v>8942</v>
      </c>
      <c r="F488" s="490" t="s">
        <v>8019</v>
      </c>
      <c r="G488" t="s">
        <v>9526</v>
      </c>
      <c r="H488" s="475" t="s">
        <v>7166</v>
      </c>
      <c r="I488" s="475" t="s">
        <v>6458</v>
      </c>
      <c r="J488" s="475" t="s">
        <v>7496</v>
      </c>
      <c r="K488" s="475" t="s">
        <v>6778</v>
      </c>
    </row>
    <row r="489" spans="1:11" ht="100.8" x14ac:dyDescent="0.3">
      <c r="A489" t="s">
        <v>5682</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t="s">
        <v>6126</v>
      </c>
      <c r="D489" s="489" t="s">
        <v>8497</v>
      </c>
      <c r="E489" s="489" t="s">
        <v>8943</v>
      </c>
      <c r="F489" s="490" t="s">
        <v>8020</v>
      </c>
      <c r="G489" t="s">
        <v>9527</v>
      </c>
      <c r="H489" s="89" t="s">
        <v>7167</v>
      </c>
      <c r="I489" s="89" t="s">
        <v>6459</v>
      </c>
      <c r="J489" s="89" t="s">
        <v>7497</v>
      </c>
      <c r="K489" s="475" t="s">
        <v>6779</v>
      </c>
    </row>
    <row r="490" spans="1:11" ht="28.8" x14ac:dyDescent="0.3">
      <c r="A490" t="s">
        <v>7538</v>
      </c>
      <c r="B490" t="str">
        <f t="shared" si="11"/>
        <v>ℹ️ Check EFRAG website for a non-exhaustive list of GHG calculators.</v>
      </c>
      <c r="C490" t="s">
        <v>7539</v>
      </c>
      <c r="D490" s="489" t="s">
        <v>8499</v>
      </c>
      <c r="E490" s="2" t="s">
        <v>8944</v>
      </c>
      <c r="F490" s="2" t="s">
        <v>8021</v>
      </c>
      <c r="G490" t="s">
        <v>9528</v>
      </c>
      <c r="H490" t="s">
        <v>7540</v>
      </c>
      <c r="I490" t="s">
        <v>7541</v>
      </c>
      <c r="J490" t="s">
        <v>7542</v>
      </c>
      <c r="K490" s="2" t="s">
        <v>7543</v>
      </c>
    </row>
    <row r="491" spans="1:11" x14ac:dyDescent="0.3">
      <c r="D491" s="489"/>
    </row>
    <row r="492" spans="1:11" x14ac:dyDescent="0.3">
      <c r="D492" s="489"/>
    </row>
    <row r="493" spans="1:11" x14ac:dyDescent="0.3">
      <c r="D493" s="489"/>
    </row>
    <row r="494" spans="1:11" x14ac:dyDescent="0.3">
      <c r="D494" s="489"/>
    </row>
    <row r="495" spans="1:11" x14ac:dyDescent="0.3">
      <c r="D495" s="489"/>
    </row>
    <row r="496" spans="1:11" x14ac:dyDescent="0.3">
      <c r="D496" s="489"/>
    </row>
    <row r="497" spans="4:4" x14ac:dyDescent="0.3">
      <c r="D497" s="489"/>
    </row>
    <row r="498" spans="4:4" x14ac:dyDescent="0.3">
      <c r="D498" s="489"/>
    </row>
    <row r="499" spans="4:4" x14ac:dyDescent="0.3">
      <c r="D499" s="489"/>
    </row>
    <row r="500" spans="4:4" x14ac:dyDescent="0.3">
      <c r="D500" s="489"/>
    </row>
    <row r="501" spans="4:4" x14ac:dyDescent="0.3">
      <c r="D501" s="489"/>
    </row>
    <row r="502" spans="4:4" x14ac:dyDescent="0.3">
      <c r="D502" s="489"/>
    </row>
    <row r="503" spans="4:4" x14ac:dyDescent="0.3">
      <c r="D503" s="489"/>
    </row>
    <row r="504" spans="4:4" x14ac:dyDescent="0.3">
      <c r="D504" s="489"/>
    </row>
    <row r="505" spans="4:4" x14ac:dyDescent="0.3">
      <c r="D505" s="489"/>
    </row>
    <row r="506" spans="4:4" x14ac:dyDescent="0.3">
      <c r="D506" s="489"/>
    </row>
    <row r="507" spans="4:4" x14ac:dyDescent="0.3">
      <c r="D507" s="489"/>
    </row>
    <row r="508" spans="4:4" x14ac:dyDescent="0.3">
      <c r="D508" s="489"/>
    </row>
    <row r="509" spans="4:4" x14ac:dyDescent="0.3">
      <c r="D509" s="489"/>
    </row>
    <row r="510" spans="4:4" x14ac:dyDescent="0.3">
      <c r="D510" s="489"/>
    </row>
    <row r="511" spans="4:4" x14ac:dyDescent="0.3">
      <c r="D511" s="489"/>
    </row>
    <row r="512" spans="4:4" x14ac:dyDescent="0.3">
      <c r="D512" s="489"/>
    </row>
    <row r="513" spans="4:4" x14ac:dyDescent="0.3">
      <c r="D513" s="489"/>
    </row>
    <row r="514" spans="4:4" x14ac:dyDescent="0.3">
      <c r="D514" s="489"/>
    </row>
    <row r="515" spans="4:4" x14ac:dyDescent="0.3">
      <c r="D515" s="489"/>
    </row>
    <row r="516" spans="4:4" x14ac:dyDescent="0.3">
      <c r="D516" s="489"/>
    </row>
    <row r="517" spans="4:4" x14ac:dyDescent="0.3">
      <c r="D517" s="489"/>
    </row>
    <row r="518" spans="4:4" x14ac:dyDescent="0.3">
      <c r="D518" s="489"/>
    </row>
    <row r="519" spans="4:4" x14ac:dyDescent="0.3">
      <c r="D519" s="489"/>
    </row>
    <row r="520" spans="4:4" x14ac:dyDescent="0.3">
      <c r="D520" s="489"/>
    </row>
    <row r="521" spans="4:4" x14ac:dyDescent="0.3">
      <c r="D521" s="489"/>
    </row>
    <row r="522" spans="4:4" x14ac:dyDescent="0.3">
      <c r="D522" s="489"/>
    </row>
    <row r="523" spans="4:4" x14ac:dyDescent="0.3">
      <c r="D523" s="489"/>
    </row>
    <row r="524" spans="4:4" x14ac:dyDescent="0.3">
      <c r="D524" s="489"/>
    </row>
    <row r="525" spans="4:4" x14ac:dyDescent="0.3">
      <c r="D525" s="489"/>
    </row>
    <row r="526" spans="4:4" x14ac:dyDescent="0.3">
      <c r="D526" s="489"/>
    </row>
    <row r="527" spans="4:4" x14ac:dyDescent="0.3">
      <c r="D527" s="489"/>
    </row>
    <row r="528" spans="4:4" x14ac:dyDescent="0.3">
      <c r="D528" s="489"/>
    </row>
    <row r="529" spans="4:4" x14ac:dyDescent="0.3">
      <c r="D529" s="489"/>
    </row>
    <row r="530" spans="4:4" x14ac:dyDescent="0.3">
      <c r="D530" s="489"/>
    </row>
    <row r="531" spans="4:4" x14ac:dyDescent="0.3">
      <c r="D531" s="489"/>
    </row>
    <row r="532" spans="4:4" x14ac:dyDescent="0.3">
      <c r="D532" s="489"/>
    </row>
    <row r="533" spans="4:4" x14ac:dyDescent="0.3">
      <c r="D533" s="489"/>
    </row>
    <row r="534" spans="4:4" x14ac:dyDescent="0.3">
      <c r="D534" s="489"/>
    </row>
    <row r="535" spans="4:4" x14ac:dyDescent="0.3">
      <c r="D535" s="489"/>
    </row>
    <row r="536" spans="4:4" x14ac:dyDescent="0.3">
      <c r="D536" s="489"/>
    </row>
    <row r="537" spans="4:4" x14ac:dyDescent="0.3">
      <c r="D537" s="489"/>
    </row>
    <row r="538" spans="4:4" x14ac:dyDescent="0.3">
      <c r="D538" s="489"/>
    </row>
    <row r="539" spans="4:4" x14ac:dyDescent="0.3">
      <c r="D539" s="489"/>
    </row>
    <row r="540" spans="4:4" x14ac:dyDescent="0.3">
      <c r="D540" s="489"/>
    </row>
    <row r="541" spans="4:4" x14ac:dyDescent="0.3">
      <c r="D541" s="489"/>
    </row>
    <row r="542" spans="4:4" x14ac:dyDescent="0.3">
      <c r="D542" s="489"/>
    </row>
    <row r="543" spans="4:4" x14ac:dyDescent="0.3">
      <c r="D543" s="489"/>
    </row>
    <row r="544" spans="4:4" x14ac:dyDescent="0.3">
      <c r="D544" s="489"/>
    </row>
    <row r="545" spans="4:4" x14ac:dyDescent="0.3">
      <c r="D545" s="489"/>
    </row>
    <row r="546" spans="4:4" x14ac:dyDescent="0.3">
      <c r="D546" s="489"/>
    </row>
    <row r="547" spans="4:4" x14ac:dyDescent="0.3">
      <c r="D547" s="489"/>
    </row>
    <row r="548" spans="4:4" x14ac:dyDescent="0.3">
      <c r="D548" s="489"/>
    </row>
    <row r="549" spans="4:4" x14ac:dyDescent="0.3">
      <c r="D549" s="489"/>
    </row>
    <row r="550" spans="4:4" x14ac:dyDescent="0.3">
      <c r="D550" s="489"/>
    </row>
    <row r="551" spans="4:4" x14ac:dyDescent="0.3">
      <c r="D551" s="489"/>
    </row>
    <row r="552" spans="4:4" x14ac:dyDescent="0.3">
      <c r="D552" s="489"/>
    </row>
    <row r="553" spans="4:4" x14ac:dyDescent="0.3">
      <c r="D553" s="489"/>
    </row>
    <row r="554" spans="4:4" x14ac:dyDescent="0.3">
      <c r="D554" s="489"/>
    </row>
    <row r="555" spans="4:4" x14ac:dyDescent="0.3">
      <c r="D555" s="489"/>
    </row>
    <row r="556" spans="4:4" x14ac:dyDescent="0.3">
      <c r="D556" s="489"/>
    </row>
    <row r="557" spans="4:4" x14ac:dyDescent="0.3">
      <c r="D557" s="489"/>
    </row>
    <row r="558" spans="4:4" x14ac:dyDescent="0.3">
      <c r="D558" s="489"/>
    </row>
    <row r="559" spans="4:4" x14ac:dyDescent="0.3">
      <c r="D559" s="489"/>
    </row>
    <row r="560" spans="4:4" x14ac:dyDescent="0.3">
      <c r="D560" s="489"/>
    </row>
    <row r="561" spans="4:4" x14ac:dyDescent="0.3">
      <c r="D561" s="489"/>
    </row>
    <row r="562" spans="4:4" x14ac:dyDescent="0.3">
      <c r="D562" s="489"/>
    </row>
    <row r="563" spans="4:4" x14ac:dyDescent="0.3">
      <c r="D563" s="489"/>
    </row>
    <row r="564" spans="4:4" x14ac:dyDescent="0.3">
      <c r="D564" s="489"/>
    </row>
    <row r="565" spans="4:4" x14ac:dyDescent="0.3">
      <c r="D565" s="489"/>
    </row>
    <row r="566" spans="4:4" x14ac:dyDescent="0.3">
      <c r="D566" s="489"/>
    </row>
    <row r="567" spans="4:4" x14ac:dyDescent="0.3">
      <c r="D567" s="489"/>
    </row>
    <row r="568" spans="4:4" x14ac:dyDescent="0.3">
      <c r="D568" s="489"/>
    </row>
    <row r="569" spans="4:4" x14ac:dyDescent="0.3">
      <c r="D569" s="489"/>
    </row>
    <row r="570" spans="4:4" x14ac:dyDescent="0.3">
      <c r="D570" s="489"/>
    </row>
    <row r="571" spans="4:4" x14ac:dyDescent="0.3">
      <c r="D571" s="489"/>
    </row>
    <row r="572" spans="4:4" x14ac:dyDescent="0.3">
      <c r="D572" s="489"/>
    </row>
    <row r="573" spans="4:4" x14ac:dyDescent="0.3">
      <c r="D573" s="489"/>
    </row>
    <row r="574" spans="4:4" x14ac:dyDescent="0.3">
      <c r="D574" s="489"/>
    </row>
    <row r="575" spans="4:4" x14ac:dyDescent="0.3">
      <c r="D575" s="489"/>
    </row>
    <row r="576" spans="4:4" x14ac:dyDescent="0.3">
      <c r="D576" s="489"/>
    </row>
    <row r="577" spans="4:4" x14ac:dyDescent="0.3">
      <c r="D577" s="489"/>
    </row>
    <row r="578" spans="4:4" x14ac:dyDescent="0.3">
      <c r="D578" s="489"/>
    </row>
    <row r="579" spans="4:4" x14ac:dyDescent="0.3">
      <c r="D579" s="489"/>
    </row>
    <row r="580" spans="4:4" x14ac:dyDescent="0.3">
      <c r="D580" s="489"/>
    </row>
    <row r="581" spans="4:4" x14ac:dyDescent="0.3">
      <c r="D581" s="489"/>
    </row>
    <row r="582" spans="4:4" x14ac:dyDescent="0.3">
      <c r="D582" s="489"/>
    </row>
    <row r="583" spans="4:4" x14ac:dyDescent="0.3">
      <c r="D583" s="489"/>
    </row>
    <row r="584" spans="4:4" x14ac:dyDescent="0.3">
      <c r="D584" s="489"/>
    </row>
    <row r="585" spans="4:4" x14ac:dyDescent="0.3">
      <c r="D585" s="489"/>
    </row>
    <row r="586" spans="4:4" x14ac:dyDescent="0.3">
      <c r="D586" s="489"/>
    </row>
    <row r="587" spans="4:4" x14ac:dyDescent="0.3">
      <c r="D587" s="489"/>
    </row>
    <row r="588" spans="4:4" x14ac:dyDescent="0.3">
      <c r="D588" s="489"/>
    </row>
    <row r="589" spans="4:4" x14ac:dyDescent="0.3">
      <c r="D589" s="489"/>
    </row>
    <row r="590" spans="4:4" x14ac:dyDescent="0.3">
      <c r="D590" s="489"/>
    </row>
    <row r="591" spans="4:4" x14ac:dyDescent="0.3">
      <c r="D591" s="489"/>
    </row>
    <row r="592" spans="4:4" x14ac:dyDescent="0.3">
      <c r="D592" s="489"/>
    </row>
    <row r="593" spans="4:4" x14ac:dyDescent="0.3">
      <c r="D593" s="489"/>
    </row>
    <row r="594" spans="4:4" x14ac:dyDescent="0.3">
      <c r="D594" s="489"/>
    </row>
    <row r="595" spans="4:4" x14ac:dyDescent="0.3">
      <c r="D595" s="489"/>
    </row>
    <row r="596" spans="4:4" x14ac:dyDescent="0.3">
      <c r="D596" s="489"/>
    </row>
    <row r="597" spans="4:4" x14ac:dyDescent="0.3">
      <c r="D597" s="489"/>
    </row>
    <row r="598" spans="4:4" x14ac:dyDescent="0.3">
      <c r="D598" s="489"/>
    </row>
    <row r="599" spans="4:4" x14ac:dyDescent="0.3">
      <c r="D599" s="489"/>
    </row>
    <row r="600" spans="4:4" x14ac:dyDescent="0.3">
      <c r="D600" s="489"/>
    </row>
    <row r="601" spans="4:4" x14ac:dyDescent="0.3">
      <c r="D601" s="489"/>
    </row>
    <row r="602" spans="4:4" x14ac:dyDescent="0.3">
      <c r="D602" s="489"/>
    </row>
    <row r="603" spans="4:4" x14ac:dyDescent="0.3">
      <c r="D603" s="489"/>
    </row>
    <row r="604" spans="4:4" x14ac:dyDescent="0.3">
      <c r="D604" s="489"/>
    </row>
    <row r="605" spans="4:4" x14ac:dyDescent="0.3">
      <c r="D605" s="489"/>
    </row>
    <row r="606" spans="4:4" x14ac:dyDescent="0.3">
      <c r="D606" s="489"/>
    </row>
    <row r="607" spans="4:4" x14ac:dyDescent="0.3">
      <c r="D607" s="489"/>
    </row>
    <row r="608" spans="4:4" x14ac:dyDescent="0.3">
      <c r="D608" s="489"/>
    </row>
    <row r="609" spans="4:4" x14ac:dyDescent="0.3">
      <c r="D609" s="489"/>
    </row>
    <row r="610" spans="4:4" x14ac:dyDescent="0.3">
      <c r="D610" s="489"/>
    </row>
    <row r="611" spans="4:4" x14ac:dyDescent="0.3">
      <c r="D611" s="489"/>
    </row>
    <row r="612" spans="4:4" x14ac:dyDescent="0.3">
      <c r="D612" s="489"/>
    </row>
    <row r="613" spans="4:4" x14ac:dyDescent="0.3">
      <c r="D613" s="489"/>
    </row>
    <row r="614" spans="4:4" x14ac:dyDescent="0.3">
      <c r="D614" s="489"/>
    </row>
    <row r="615" spans="4:4" x14ac:dyDescent="0.3">
      <c r="D615" s="489"/>
    </row>
    <row r="616" spans="4:4" x14ac:dyDescent="0.3">
      <c r="D616" s="489"/>
    </row>
    <row r="617" spans="4:4" x14ac:dyDescent="0.3">
      <c r="D617" s="489"/>
    </row>
    <row r="618" spans="4:4" x14ac:dyDescent="0.3">
      <c r="D618" s="489"/>
    </row>
    <row r="619" spans="4:4" x14ac:dyDescent="0.3">
      <c r="D619" s="489"/>
    </row>
    <row r="620" spans="4:4" x14ac:dyDescent="0.3">
      <c r="D620" s="489"/>
    </row>
    <row r="621" spans="4:4" x14ac:dyDescent="0.3">
      <c r="D621" s="489"/>
    </row>
    <row r="622" spans="4:4" x14ac:dyDescent="0.3">
      <c r="D622" s="489"/>
    </row>
    <row r="623" spans="4:4" x14ac:dyDescent="0.3">
      <c r="D623" s="489"/>
    </row>
    <row r="624" spans="4:4" x14ac:dyDescent="0.3">
      <c r="D624" s="489"/>
    </row>
    <row r="625" spans="4:4" x14ac:dyDescent="0.3">
      <c r="D625" s="489"/>
    </row>
    <row r="626" spans="4:4" x14ac:dyDescent="0.3">
      <c r="D626" s="489"/>
    </row>
    <row r="627" spans="4:4" x14ac:dyDescent="0.3">
      <c r="D627" s="489"/>
    </row>
    <row r="628" spans="4:4" x14ac:dyDescent="0.3">
      <c r="D628" s="489"/>
    </row>
    <row r="629" spans="4:4" x14ac:dyDescent="0.3">
      <c r="D629" s="489"/>
    </row>
    <row r="630" spans="4:4" x14ac:dyDescent="0.3">
      <c r="D630" s="489"/>
    </row>
    <row r="631" spans="4:4" x14ac:dyDescent="0.3">
      <c r="D631" s="489"/>
    </row>
    <row r="632" spans="4:4" x14ac:dyDescent="0.3">
      <c r="D632" s="489"/>
    </row>
    <row r="633" spans="4:4" x14ac:dyDescent="0.3">
      <c r="D633" s="489"/>
    </row>
    <row r="634" spans="4:4" x14ac:dyDescent="0.3">
      <c r="D634" s="489"/>
    </row>
    <row r="635" spans="4:4" x14ac:dyDescent="0.3">
      <c r="D635" s="489"/>
    </row>
    <row r="636" spans="4:4" x14ac:dyDescent="0.3">
      <c r="D636" s="489"/>
    </row>
    <row r="637" spans="4:4" x14ac:dyDescent="0.3">
      <c r="D637" s="489"/>
    </row>
    <row r="638" spans="4:4" x14ac:dyDescent="0.3">
      <c r="D638" s="489"/>
    </row>
    <row r="639" spans="4:4" x14ac:dyDescent="0.3">
      <c r="D639" s="489"/>
    </row>
    <row r="640" spans="4:4" x14ac:dyDescent="0.3">
      <c r="D640" s="489"/>
    </row>
    <row r="641" spans="4:4" x14ac:dyDescent="0.3">
      <c r="D641" s="489"/>
    </row>
    <row r="642" spans="4:4" x14ac:dyDescent="0.3">
      <c r="D642" s="489"/>
    </row>
    <row r="643" spans="4:4" x14ac:dyDescent="0.3">
      <c r="D643" s="489"/>
    </row>
    <row r="644" spans="4:4" x14ac:dyDescent="0.3">
      <c r="D644" s="489"/>
    </row>
    <row r="645" spans="4:4" x14ac:dyDescent="0.3">
      <c r="D645" s="489"/>
    </row>
    <row r="646" spans="4:4" x14ac:dyDescent="0.3">
      <c r="D646" s="489"/>
    </row>
    <row r="647" spans="4:4" x14ac:dyDescent="0.3">
      <c r="D647" s="489"/>
    </row>
    <row r="648" spans="4:4" x14ac:dyDescent="0.3">
      <c r="D648" s="489"/>
    </row>
    <row r="649" spans="4:4" x14ac:dyDescent="0.3">
      <c r="D649" s="489"/>
    </row>
    <row r="650" spans="4:4" x14ac:dyDescent="0.3">
      <c r="D650" s="489"/>
    </row>
    <row r="651" spans="4:4" x14ac:dyDescent="0.3">
      <c r="D651" s="489"/>
    </row>
    <row r="652" spans="4:4" x14ac:dyDescent="0.3">
      <c r="D652" s="489"/>
    </row>
    <row r="653" spans="4:4" x14ac:dyDescent="0.3">
      <c r="D653" s="489"/>
    </row>
    <row r="654" spans="4:4" x14ac:dyDescent="0.3">
      <c r="D654" s="489"/>
    </row>
    <row r="655" spans="4:4" x14ac:dyDescent="0.3">
      <c r="D655" s="489"/>
    </row>
    <row r="656" spans="4:4" x14ac:dyDescent="0.3">
      <c r="D656" s="489"/>
    </row>
    <row r="657" spans="4:4" x14ac:dyDescent="0.3">
      <c r="D657" s="489"/>
    </row>
    <row r="658" spans="4:4" x14ac:dyDescent="0.3">
      <c r="D658" s="489"/>
    </row>
    <row r="659" spans="4:4" x14ac:dyDescent="0.3">
      <c r="D659" s="489"/>
    </row>
    <row r="660" spans="4:4" x14ac:dyDescent="0.3">
      <c r="D660" s="489"/>
    </row>
    <row r="661" spans="4:4" x14ac:dyDescent="0.3">
      <c r="D661" s="489"/>
    </row>
    <row r="662" spans="4:4" x14ac:dyDescent="0.3">
      <c r="D662" s="489"/>
    </row>
    <row r="663" spans="4:4" x14ac:dyDescent="0.3">
      <c r="D663" s="489"/>
    </row>
    <row r="664" spans="4:4" x14ac:dyDescent="0.3">
      <c r="D664" s="489"/>
    </row>
    <row r="665" spans="4:4" x14ac:dyDescent="0.3">
      <c r="D665" s="489"/>
    </row>
    <row r="666" spans="4:4" x14ac:dyDescent="0.3">
      <c r="D666" s="489"/>
    </row>
    <row r="667" spans="4:4" x14ac:dyDescent="0.3">
      <c r="D667" s="489"/>
    </row>
    <row r="668" spans="4:4" x14ac:dyDescent="0.3">
      <c r="D668" s="489"/>
    </row>
    <row r="669" spans="4:4" x14ac:dyDescent="0.3">
      <c r="D669" s="489"/>
    </row>
    <row r="670" spans="4:4" x14ac:dyDescent="0.3">
      <c r="D670" s="489"/>
    </row>
    <row r="671" spans="4:4" x14ac:dyDescent="0.3">
      <c r="D671" s="489"/>
    </row>
    <row r="672" spans="4:4" x14ac:dyDescent="0.3">
      <c r="D672" s="489"/>
    </row>
    <row r="673" spans="4:4" x14ac:dyDescent="0.3">
      <c r="D673" s="489"/>
    </row>
    <row r="674" spans="4:4" x14ac:dyDescent="0.3">
      <c r="D674" s="489"/>
    </row>
    <row r="675" spans="4:4" x14ac:dyDescent="0.3">
      <c r="D675" s="489"/>
    </row>
    <row r="676" spans="4:4" x14ac:dyDescent="0.3">
      <c r="D676" s="489"/>
    </row>
    <row r="677" spans="4:4" x14ac:dyDescent="0.3">
      <c r="D677" s="489"/>
    </row>
    <row r="678" spans="4:4" x14ac:dyDescent="0.3">
      <c r="D678" s="489"/>
    </row>
    <row r="679" spans="4:4" x14ac:dyDescent="0.3">
      <c r="D679" s="489"/>
    </row>
    <row r="680" spans="4:4" x14ac:dyDescent="0.3">
      <c r="D680" s="489"/>
    </row>
    <row r="681" spans="4:4" x14ac:dyDescent="0.3">
      <c r="D681" s="489"/>
    </row>
    <row r="682" spans="4:4" x14ac:dyDescent="0.3">
      <c r="D682" s="489"/>
    </row>
    <row r="683" spans="4:4" x14ac:dyDescent="0.3">
      <c r="D683" s="489"/>
    </row>
    <row r="684" spans="4:4" x14ac:dyDescent="0.3">
      <c r="D684" s="489"/>
    </row>
    <row r="685" spans="4:4" x14ac:dyDescent="0.3">
      <c r="D685" s="489"/>
    </row>
    <row r="686" spans="4:4" x14ac:dyDescent="0.3">
      <c r="D686" s="489"/>
    </row>
    <row r="687" spans="4:4" x14ac:dyDescent="0.3">
      <c r="D687" s="489"/>
    </row>
    <row r="688" spans="4:4" x14ac:dyDescent="0.3">
      <c r="D688" s="489"/>
    </row>
    <row r="689" spans="4:4" x14ac:dyDescent="0.3">
      <c r="D689" s="489"/>
    </row>
    <row r="690" spans="4:4" x14ac:dyDescent="0.3">
      <c r="D690" s="489"/>
    </row>
    <row r="691" spans="4:4" x14ac:dyDescent="0.3">
      <c r="D691" s="489"/>
    </row>
    <row r="692" spans="4:4" x14ac:dyDescent="0.3">
      <c r="D692" s="489"/>
    </row>
    <row r="693" spans="4:4" x14ac:dyDescent="0.3">
      <c r="D693" s="489"/>
    </row>
    <row r="694" spans="4:4" x14ac:dyDescent="0.3">
      <c r="D694" s="489"/>
    </row>
    <row r="695" spans="4:4" x14ac:dyDescent="0.3">
      <c r="D695" s="489"/>
    </row>
    <row r="696" spans="4:4" x14ac:dyDescent="0.3">
      <c r="D696" s="489"/>
    </row>
    <row r="697" spans="4:4" x14ac:dyDescent="0.3">
      <c r="D697" s="489"/>
    </row>
    <row r="698" spans="4:4" x14ac:dyDescent="0.3">
      <c r="D698" s="489"/>
    </row>
    <row r="699" spans="4:4" x14ac:dyDescent="0.3">
      <c r="D699" s="489"/>
    </row>
    <row r="700" spans="4:4" x14ac:dyDescent="0.3">
      <c r="D700" s="489"/>
    </row>
    <row r="701" spans="4:4" x14ac:dyDescent="0.3">
      <c r="D701" s="489"/>
    </row>
    <row r="702" spans="4:4" x14ac:dyDescent="0.3">
      <c r="D702" s="489"/>
    </row>
    <row r="703" spans="4:4" x14ac:dyDescent="0.3">
      <c r="D703" s="489"/>
    </row>
    <row r="704" spans="4:4" x14ac:dyDescent="0.3">
      <c r="D704" s="489"/>
    </row>
    <row r="705" spans="4:4" x14ac:dyDescent="0.3">
      <c r="D705" s="489"/>
    </row>
    <row r="706" spans="4:4" x14ac:dyDescent="0.3">
      <c r="D706" s="489"/>
    </row>
    <row r="707" spans="4:4" x14ac:dyDescent="0.3">
      <c r="D707" s="489"/>
    </row>
    <row r="708" spans="4:4" x14ac:dyDescent="0.3">
      <c r="D708" s="489"/>
    </row>
    <row r="709" spans="4:4" x14ac:dyDescent="0.3">
      <c r="D709" s="489"/>
    </row>
    <row r="710" spans="4:4" x14ac:dyDescent="0.3">
      <c r="D710" s="489"/>
    </row>
    <row r="711" spans="4:4" x14ac:dyDescent="0.3">
      <c r="D711" s="489"/>
    </row>
    <row r="712" spans="4:4" x14ac:dyDescent="0.3">
      <c r="D712" s="489"/>
    </row>
    <row r="713" spans="4:4" x14ac:dyDescent="0.3">
      <c r="D713" s="489"/>
    </row>
    <row r="714" spans="4:4" x14ac:dyDescent="0.3">
      <c r="D714" s="489"/>
    </row>
    <row r="715" spans="4:4" x14ac:dyDescent="0.3">
      <c r="D715" s="489"/>
    </row>
    <row r="716" spans="4:4" x14ac:dyDescent="0.3">
      <c r="D716" s="489"/>
    </row>
    <row r="717" spans="4:4" x14ac:dyDescent="0.3">
      <c r="D717" s="489"/>
    </row>
    <row r="718" spans="4:4" x14ac:dyDescent="0.3">
      <c r="D718" s="489"/>
    </row>
    <row r="719" spans="4:4" x14ac:dyDescent="0.3">
      <c r="D719" s="489"/>
    </row>
    <row r="720" spans="4:4" x14ac:dyDescent="0.3">
      <c r="D720" s="489"/>
    </row>
    <row r="721" spans="4:4" x14ac:dyDescent="0.3">
      <c r="D721" s="489"/>
    </row>
    <row r="722" spans="4:4" x14ac:dyDescent="0.3">
      <c r="D722" s="489"/>
    </row>
    <row r="723" spans="4:4" x14ac:dyDescent="0.3">
      <c r="D723" s="489"/>
    </row>
    <row r="724" spans="4:4" x14ac:dyDescent="0.3">
      <c r="D724" s="489"/>
    </row>
    <row r="725" spans="4:4" x14ac:dyDescent="0.3">
      <c r="D725" s="489"/>
    </row>
    <row r="726" spans="4:4" x14ac:dyDescent="0.3">
      <c r="D726" s="489"/>
    </row>
    <row r="727" spans="4:4" x14ac:dyDescent="0.3">
      <c r="D727" s="489"/>
    </row>
    <row r="728" spans="4:4" x14ac:dyDescent="0.3">
      <c r="D728" s="489"/>
    </row>
    <row r="729" spans="4:4" x14ac:dyDescent="0.3">
      <c r="D729" s="489"/>
    </row>
    <row r="730" spans="4:4" x14ac:dyDescent="0.3">
      <c r="D730" s="489"/>
    </row>
    <row r="731" spans="4:4" x14ac:dyDescent="0.3">
      <c r="D731" s="489"/>
    </row>
    <row r="732" spans="4:4" x14ac:dyDescent="0.3">
      <c r="D732" s="489"/>
    </row>
    <row r="733" spans="4:4" x14ac:dyDescent="0.3">
      <c r="D733" s="489"/>
    </row>
    <row r="734" spans="4:4" x14ac:dyDescent="0.3">
      <c r="D734" s="489"/>
    </row>
    <row r="735" spans="4:4" x14ac:dyDescent="0.3">
      <c r="D735" s="489"/>
    </row>
    <row r="736" spans="4:4" x14ac:dyDescent="0.3">
      <c r="D736" s="489"/>
    </row>
    <row r="737" spans="4:4" x14ac:dyDescent="0.3">
      <c r="D737" s="489"/>
    </row>
    <row r="738" spans="4:4" x14ac:dyDescent="0.3">
      <c r="D738" s="489"/>
    </row>
    <row r="739" spans="4:4" x14ac:dyDescent="0.3">
      <c r="D739" s="489"/>
    </row>
    <row r="740" spans="4:4" x14ac:dyDescent="0.3">
      <c r="D740" s="489"/>
    </row>
    <row r="741" spans="4:4" x14ac:dyDescent="0.3">
      <c r="D741" s="489"/>
    </row>
    <row r="742" spans="4:4" x14ac:dyDescent="0.3">
      <c r="D742" s="489"/>
    </row>
    <row r="743" spans="4:4" x14ac:dyDescent="0.3">
      <c r="D743" s="489"/>
    </row>
    <row r="744" spans="4:4" x14ac:dyDescent="0.3">
      <c r="D744" s="489"/>
    </row>
    <row r="745" spans="4:4" x14ac:dyDescent="0.3">
      <c r="D745" s="489"/>
    </row>
    <row r="746" spans="4:4" x14ac:dyDescent="0.3">
      <c r="D746" s="489"/>
    </row>
    <row r="747" spans="4:4" x14ac:dyDescent="0.3">
      <c r="D747" s="489"/>
    </row>
    <row r="748" spans="4:4" x14ac:dyDescent="0.3">
      <c r="D748" s="489"/>
    </row>
    <row r="749" spans="4:4" x14ac:dyDescent="0.3">
      <c r="D749" s="489"/>
    </row>
    <row r="750" spans="4:4" x14ac:dyDescent="0.3">
      <c r="D750" s="489"/>
    </row>
    <row r="751" spans="4:4" x14ac:dyDescent="0.3">
      <c r="D751" s="489"/>
    </row>
    <row r="752" spans="4:4" x14ac:dyDescent="0.3">
      <c r="D752" s="489"/>
    </row>
    <row r="753" spans="4:4" x14ac:dyDescent="0.3">
      <c r="D753" s="489"/>
    </row>
    <row r="754" spans="4:4" x14ac:dyDescent="0.3">
      <c r="D754" s="489"/>
    </row>
    <row r="755" spans="4:4" x14ac:dyDescent="0.3">
      <c r="D755" s="489"/>
    </row>
    <row r="756" spans="4:4" x14ac:dyDescent="0.3">
      <c r="D756" s="489"/>
    </row>
    <row r="757" spans="4:4" x14ac:dyDescent="0.3">
      <c r="D757" s="489"/>
    </row>
    <row r="758" spans="4:4" x14ac:dyDescent="0.3">
      <c r="D758" s="489"/>
    </row>
    <row r="759" spans="4:4" x14ac:dyDescent="0.3">
      <c r="D759" s="489"/>
    </row>
    <row r="760" spans="4:4" x14ac:dyDescent="0.3">
      <c r="D760" s="489"/>
    </row>
    <row r="761" spans="4:4" x14ac:dyDescent="0.3">
      <c r="D761" s="489"/>
    </row>
    <row r="762" spans="4:4" x14ac:dyDescent="0.3">
      <c r="D762" s="489"/>
    </row>
    <row r="763" spans="4:4" x14ac:dyDescent="0.3">
      <c r="D763" s="489"/>
    </row>
    <row r="764" spans="4:4" x14ac:dyDescent="0.3">
      <c r="D764" s="489"/>
    </row>
    <row r="765" spans="4:4" x14ac:dyDescent="0.3">
      <c r="D765" s="489"/>
    </row>
    <row r="766" spans="4:4" x14ac:dyDescent="0.3">
      <c r="D766" s="489"/>
    </row>
    <row r="767" spans="4:4" x14ac:dyDescent="0.3">
      <c r="D767" s="489"/>
    </row>
    <row r="768" spans="4:4" x14ac:dyDescent="0.3">
      <c r="D768" s="489"/>
    </row>
    <row r="769" spans="4:4" x14ac:dyDescent="0.3">
      <c r="D769" s="489"/>
    </row>
    <row r="770" spans="4:4" x14ac:dyDescent="0.3">
      <c r="D770" s="489"/>
    </row>
    <row r="771" spans="4:4" x14ac:dyDescent="0.3">
      <c r="D771" s="489"/>
    </row>
    <row r="772" spans="4:4" x14ac:dyDescent="0.3">
      <c r="D772" s="489"/>
    </row>
    <row r="773" spans="4:4" x14ac:dyDescent="0.3">
      <c r="D773" s="489"/>
    </row>
    <row r="774" spans="4:4" x14ac:dyDescent="0.3">
      <c r="D774" s="489"/>
    </row>
    <row r="775" spans="4:4" x14ac:dyDescent="0.3">
      <c r="D775" s="489"/>
    </row>
    <row r="776" spans="4:4" x14ac:dyDescent="0.3">
      <c r="D776" s="489"/>
    </row>
    <row r="777" spans="4:4" x14ac:dyDescent="0.3">
      <c r="D777" s="489"/>
    </row>
    <row r="778" spans="4:4" x14ac:dyDescent="0.3">
      <c r="D778" s="489"/>
    </row>
    <row r="779" spans="4:4" x14ac:dyDescent="0.3">
      <c r="D779" s="489"/>
    </row>
    <row r="780" spans="4:4" x14ac:dyDescent="0.3">
      <c r="D780" s="489"/>
    </row>
    <row r="781" spans="4:4" x14ac:dyDescent="0.3">
      <c r="D781" s="489"/>
    </row>
    <row r="782" spans="4:4" x14ac:dyDescent="0.3">
      <c r="D782" s="489"/>
    </row>
    <row r="783" spans="4:4" x14ac:dyDescent="0.3">
      <c r="D783" s="489"/>
    </row>
    <row r="784" spans="4:4" x14ac:dyDescent="0.3">
      <c r="D784" s="489"/>
    </row>
    <row r="785" spans="4:4" x14ac:dyDescent="0.3">
      <c r="D785" s="489"/>
    </row>
    <row r="786" spans="4:4" x14ac:dyDescent="0.3">
      <c r="D786" s="489"/>
    </row>
    <row r="787" spans="4:4" x14ac:dyDescent="0.3">
      <c r="D787" s="489"/>
    </row>
    <row r="788" spans="4:4" x14ac:dyDescent="0.3">
      <c r="D788" s="489"/>
    </row>
    <row r="789" spans="4:4" x14ac:dyDescent="0.3">
      <c r="D789" s="489"/>
    </row>
    <row r="790" spans="4:4" x14ac:dyDescent="0.3">
      <c r="D790" s="489"/>
    </row>
    <row r="791" spans="4:4" x14ac:dyDescent="0.3">
      <c r="D791" s="489"/>
    </row>
    <row r="792" spans="4:4" x14ac:dyDescent="0.3">
      <c r="D792" s="489"/>
    </row>
    <row r="793" spans="4:4" x14ac:dyDescent="0.3">
      <c r="D793" s="489"/>
    </row>
    <row r="794" spans="4:4" x14ac:dyDescent="0.3">
      <c r="D794" s="489"/>
    </row>
    <row r="795" spans="4:4" x14ac:dyDescent="0.3">
      <c r="D795" s="489"/>
    </row>
    <row r="796" spans="4:4" x14ac:dyDescent="0.3">
      <c r="D796" s="489"/>
    </row>
    <row r="797" spans="4:4" x14ac:dyDescent="0.3">
      <c r="D797" s="489"/>
    </row>
    <row r="798" spans="4:4" x14ac:dyDescent="0.3">
      <c r="D798" s="489"/>
    </row>
    <row r="799" spans="4:4" x14ac:dyDescent="0.3">
      <c r="D799" s="489"/>
    </row>
    <row r="800" spans="4:4" x14ac:dyDescent="0.3">
      <c r="D800" s="489"/>
    </row>
    <row r="801" spans="4:4" x14ac:dyDescent="0.3">
      <c r="D801" s="489"/>
    </row>
    <row r="802" spans="4:4" x14ac:dyDescent="0.3">
      <c r="D802" s="489"/>
    </row>
    <row r="803" spans="4:4" x14ac:dyDescent="0.3">
      <c r="D803" s="489"/>
    </row>
    <row r="804" spans="4:4" x14ac:dyDescent="0.3">
      <c r="D804" s="489"/>
    </row>
    <row r="805" spans="4:4" x14ac:dyDescent="0.3">
      <c r="D805" s="489"/>
    </row>
    <row r="806" spans="4:4" x14ac:dyDescent="0.3">
      <c r="D806" s="489"/>
    </row>
    <row r="807" spans="4:4" x14ac:dyDescent="0.3">
      <c r="D807" s="489"/>
    </row>
    <row r="808" spans="4:4" x14ac:dyDescent="0.3">
      <c r="D808" s="489"/>
    </row>
    <row r="809" spans="4:4" x14ac:dyDescent="0.3">
      <c r="D809" s="489"/>
    </row>
    <row r="810" spans="4:4" x14ac:dyDescent="0.3">
      <c r="D810" s="489"/>
    </row>
    <row r="811" spans="4:4" x14ac:dyDescent="0.3">
      <c r="D811" s="489"/>
    </row>
    <row r="812" spans="4:4" x14ac:dyDescent="0.3">
      <c r="D812" s="489"/>
    </row>
    <row r="813" spans="4:4" x14ac:dyDescent="0.3">
      <c r="D813" s="489"/>
    </row>
    <row r="814" spans="4:4" x14ac:dyDescent="0.3">
      <c r="D814" s="489"/>
    </row>
    <row r="815" spans="4:4" x14ac:dyDescent="0.3">
      <c r="D815" s="489"/>
    </row>
    <row r="816" spans="4:4" x14ac:dyDescent="0.3">
      <c r="D816" s="489"/>
    </row>
    <row r="817" spans="4:4" x14ac:dyDescent="0.3">
      <c r="D817" s="489"/>
    </row>
    <row r="818" spans="4:4" x14ac:dyDescent="0.3">
      <c r="D818" s="489"/>
    </row>
    <row r="819" spans="4:4" x14ac:dyDescent="0.3">
      <c r="D819" s="489"/>
    </row>
    <row r="820" spans="4:4" x14ac:dyDescent="0.3">
      <c r="D820" s="489"/>
    </row>
    <row r="821" spans="4:4" x14ac:dyDescent="0.3">
      <c r="D821" s="489"/>
    </row>
    <row r="822" spans="4:4" x14ac:dyDescent="0.3">
      <c r="D822" s="489"/>
    </row>
    <row r="823" spans="4:4" x14ac:dyDescent="0.3">
      <c r="D823" s="489"/>
    </row>
    <row r="824" spans="4:4" x14ac:dyDescent="0.3">
      <c r="D824" s="489"/>
    </row>
  </sheetData>
  <sheetProtection algorithmName="SHA-512" hashValue="LUwkPKvSqEzpvQzNTPZQo1ixKzflKkPwUWkFXLKvrFzS7Aml3vtdb2Aj5C0zJ3ZTxd9cZ5lIE+HDl13RekGJ6g==" saltValue="1VH9U0u5Pgitrd5brBpRRA==" spinCount="100000" sheet="1" objects="1" scenarios="1"/>
  <autoFilter ref="A1:B490" xr:uid="{DA085A03-4878-4426-A2CC-5DD7C004193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 - -</v>
      </c>
      <c r="C1" t="s">
        <v>4358</v>
      </c>
      <c r="D1" t="s">
        <v>3555</v>
      </c>
      <c r="E1" t="s">
        <v>3556</v>
      </c>
      <c r="F1" t="s">
        <v>3557</v>
      </c>
      <c r="G1" t="s">
        <v>3558</v>
      </c>
    </row>
    <row r="2" spans="1:7" ht="13.95" customHeight="1" x14ac:dyDescent="0.3">
      <c r="A2" t="s">
        <v>4372</v>
      </c>
      <c r="B2" t="str">
        <f>template_reporting_period_startdate</f>
        <v>-</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792</vt:i4>
      </vt:variant>
    </vt:vector>
  </HeadingPairs>
  <TitlesOfParts>
    <vt:vector size="805"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2025-11-25T14:36:21Z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